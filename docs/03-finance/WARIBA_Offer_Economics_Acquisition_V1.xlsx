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b71af3202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d0517f5da06a4ff3"/>
    <x:sheet xmlns:r="http://schemas.openxmlformats.org/officeDocument/2006/relationships" name="Pricing" sheetId="2" r:id="Rb02741444fd2409a"/>
    <x:sheet xmlns:r="http://schemas.openxmlformats.org/officeDocument/2006/relationships" name="Rules" sheetId="3" r:id="R3fff42e4a6cd41ed"/>
    <x:sheet xmlns:r="http://schemas.openxmlformats.org/officeDocument/2006/relationships" name="Scenario Summary" sheetId="4" r:id="R6b832dd54a8d408d"/>
    <x:sheet xmlns:r="http://schemas.openxmlformats.org/officeDocument/2006/relationships" name="Assumptions" sheetId="5" r:id="R9aa1a44a5c7b4522"/>
    <x:sheet xmlns:r="http://schemas.openxmlformats.org/officeDocument/2006/relationships" name="Country CAC" sheetId="6" r:id="R7728f2b77cbf4263"/>
    <x:sheet xmlns:r="http://schemas.openxmlformats.org/officeDocument/2006/relationships" name="Unit Economics" sheetId="7" r:id="Rb8ff2ef4fab74c08"/>
    <x:sheet xmlns:r="http://schemas.openxmlformats.org/officeDocument/2006/relationships" name="Stress Tests" sheetId="8" r:id="Rf28a6c12330a42a5"/>
    <x:sheet xmlns:r="http://schemas.openxmlformats.org/officeDocument/2006/relationships" name="Size Gates" sheetId="9" r:id="R79302601791e4ee3"/>
    <x:sheet xmlns:r="http://schemas.openxmlformats.org/officeDocument/2006/relationships" name="Sensitivity" sheetId="10" r:id="R3b4d99aa72bc41fb"/>
    <x:sheet xmlns:r="http://schemas.openxmlformats.org/officeDocument/2006/relationships" name="Competitors" sheetId="11" r:id="R6df85f15a8194720"/>
    <x:sheet xmlns:r="http://schemas.openxmlformats.org/officeDocument/2006/relationships" name="Council 45" sheetId="12" r:id="R1d2c3352c1fc4442"/>
    <x:sheet xmlns:r="http://schemas.openxmlformats.org/officeDocument/2006/relationships" name="Sources &amp; Checks" sheetId="13" r:id="Ra845e99d837c4a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 &quot;XOF&quot;"/>
    <x:numFmt numFmtId="202" formatCode="0.00x"/>
    <x:numFmt numFmtId="203" formatCode="#,##0"/>
  </x:numFmts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00122E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sz val="11"/>
      <x:color rgb="FF172033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122E"/>
      </x:patternFill>
    </x:fill>
    <x:fill>
      <x:patternFill patternType="solid">
        <x:fgColor rgb="FFFFBB7E"/>
      </x:patternFill>
    </x:fill>
    <x:fill>
      <x:patternFill patternType="solid">
        <x:fgColor rgb="FF3E6AEF"/>
      </x:patternFill>
    </x:fill>
    <x:fill>
      <x:patternFill patternType="solid">
        <x:fgColor rgb="FFF4F7FB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6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2"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ont>
        <x:color rgb="FF7C4A03"/>
      </x:font>
      <x:fill>
        <x:patternFill patternType="solid">
          <x:bgColor rgb="FFFFF3CD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5502b59a94ae8" /><Relationship Type="http://schemas.openxmlformats.org/officeDocument/2006/relationships/theme" Target="/xl/theme/theme1.xml" Id="R4cd42efc0c524484" /><Relationship Type="http://schemas.microsoft.com/office/2022/11/relationships/FeaturePropertyBag" Target="/xl/featurePropertyBag/featurePropertyBag.xml" Id="R1ccb9dbaf7f94ae2" /><Relationship Type="http://schemas.openxmlformats.org/officeDocument/2006/relationships/sharedStrings" Target="/xl/sharedStrings.xml" Id="R26dc1c4faaa24532" /><Relationship Type="http://schemas.openxmlformats.org/officeDocument/2006/relationships/worksheet" Target="/xl/worksheets/sheet1.xml" Id="Rd0517f5da06a4ff3" /><Relationship Type="http://schemas.openxmlformats.org/officeDocument/2006/relationships/worksheet" Target="/xl/worksheets/sheet2.xml" Id="Rb02741444fd2409a" /><Relationship Type="http://schemas.openxmlformats.org/officeDocument/2006/relationships/worksheet" Target="/xl/worksheets/sheet3.xml" Id="R3fff42e4a6cd41ed" /><Relationship Type="http://schemas.openxmlformats.org/officeDocument/2006/relationships/worksheet" Target="/xl/worksheets/sheet4.xml" Id="R6b832dd54a8d408d" /><Relationship Type="http://schemas.openxmlformats.org/officeDocument/2006/relationships/worksheet" Target="/xl/worksheets/sheet5.xml" Id="R9aa1a44a5c7b4522" /><Relationship Type="http://schemas.openxmlformats.org/officeDocument/2006/relationships/worksheet" Target="/xl/worksheets/sheet6.xml" Id="R7728f2b77cbf4263" /><Relationship Type="http://schemas.openxmlformats.org/officeDocument/2006/relationships/worksheet" Target="/xl/worksheets/sheet7.xml" Id="Rb8ff2ef4fab74c08" /><Relationship Type="http://schemas.openxmlformats.org/officeDocument/2006/relationships/worksheet" Target="/xl/worksheets/sheet8.xml" Id="Rf28a6c12330a42a5" /><Relationship Type="http://schemas.openxmlformats.org/officeDocument/2006/relationships/worksheet" Target="/xl/worksheets/sheet9.xml" Id="R79302601791e4ee3" /><Relationship Type="http://schemas.openxmlformats.org/officeDocument/2006/relationships/worksheet" Target="/xl/worksheets/sheet10.xml" Id="R3b4d99aa72bc41fb" /><Relationship Type="http://schemas.openxmlformats.org/officeDocument/2006/relationships/worksheet" Target="/xl/worksheets/sheet11.xml" Id="R6df85f15a8194720" /><Relationship Type="http://schemas.openxmlformats.org/officeDocument/2006/relationships/worksheet" Target="/xl/worksheets/sheet12.xml" Id="R1d2c3352c1fc4442" /><Relationship Type="http://schemas.openxmlformats.org/officeDocument/2006/relationships/worksheet" Target="/xl/worksheets/sheet13.xml" Id="Ra845e99d837c4a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c9340cbec947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Contribution margin par scénario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CM</c:v>
          </c:tx>
          <c:cat>
            <c:strRef>
              <c:f>'Executive'!$A$18:$A$20</c:f>
              <c:strCache>
                <c:ptCount val="0"/>
              </c:strCache>
            </c:strRef>
          </c:cat>
          <c:val>
            <c:numRef>
              <c:f>'Executive'!$B$18:$B$20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16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c9340cbec9478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6c4f7bc52b446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7" max="7" width="13" hidden="0" customWidth="1"/>
    <x:col min="8" max="8" width="13" hidden="0" customWidth="1"/>
    <x:col min="6" max="6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3" t="str">
        <x:v>WARIBA Offer Economics &amp; Acquisition V1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Décision: GO PILOTE révocable — pas LOCK | contrôle 26 août 2026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7" t="str">
        <x:v>KPI</x:v>
      </x:c>
      <x:c r="B5" s="7" t="str">
        <x:v>Valeur</x:v>
      </x:c>
      <x:c r="D5" s="7" t="str">
        <x:v>KPI</x:v>
      </x:c>
      <x:c r="E5" s="7" t="str">
        <x:v>Valeur</x:v>
      </x:c>
      <x:c r="G5" s="7" t="str">
        <x:v>Décision</x:v>
      </x:c>
      <x:c r="H5" s="7" t="str">
        <x:v>Statut</x:v>
      </x:c>
    </x:row>
    <x:row r="6">
      <x:c r="A6" t="str">
        <x:v>Base — CM portefeuille</x:v>
      </x:c>
      <x:c r="B6" s="8" t="n">
        <x:v>0.601412</x:v>
      </x:c>
      <x:c r="D6" t="str">
        <x:v>Stress — contribution / achat</x:v>
      </x:c>
      <x:c r="E6" s="9" t="n">
        <x:v>8212.314</x:v>
      </x:c>
      <x:c r="G6" t="str">
        <x:v>5K paid scale</x:v>
      </x:c>
      <x:c r="H6" t="str">
        <x:v>NO</x:v>
      </x:c>
    </x:row>
    <x:row r="7">
      <x:c r="A7" t="str">
        <x:v>Stress — CM portefeuille</x:v>
      </x:c>
      <x:c r="B7" s="8" t="n">
        <x:v>0.165275</x:v>
      </x:c>
      <x:c r="D7" t="str">
        <x:v>Stress — LTV/CAC</x:v>
      </x:c>
      <x:c r="E7" s="10" t="n">
        <x:v>1.500427</x:v>
      </x:c>
      <x:c r="G7" t="str">
        <x:v>FLEX target 2/3</x:v>
      </x:c>
      <x:c r="H7" t="str">
        <x:v>REJET</x:v>
      </x:c>
    </x:row>
    <x:row r="8">
      <x:c r="A8" t="str">
        <x:v>Disaster — CM portefeuille</x:v>
      </x:c>
      <x:c r="B8" s="8" t="n">
        <x:v>-1.435261</x:v>
      </x:c>
      <x:c r="D8" t="str">
        <x:v>Stress — réserve 2,5x / 1 000</x:v>
      </x:c>
      <x:c r="E8" s="9" t="n">
        <x:v>24965177.702</x:v>
      </x:c>
      <x:c r="G8" t="str">
        <x:v>Wave/Mobile Money</x:v>
      </x:c>
      <x:c r="H8" t="str">
        <x:v>À VALIDER</x:v>
      </x:c>
    </x:row>
    <x:row r="10">
      <x:c r="A10" s="11" t="str">
        <x:v>Lecture du conseil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</x:row>
    <x:row r="11">
      <x:c r="A11" s="15" t="str">
        <x:v>Le portefeuille est rentable en Stress, mais échoue en Disaster. Le 5K payé et un mix trop bas de gamme détruisent la marge. Le pilote doit être découpé par produit × taille × pays × canal, avec CAC caps, réserve 2,5x du P90 30 jours, règles côté serveur et arrêt automatique. Tous les chiffres non observés restent HYPOTHÈSE; toutes les rules/prix/caps restent CANDIDAT.</x:v>
      </x:c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7">
      <x:c r="A17" s="7" t="str">
        <x:v>Scénario</x:v>
      </x:c>
      <x:c r="B17" s="7" t="str">
        <x:v>CM</x:v>
      </x:c>
      <x:c r="C17" s="7" t="str">
        <x:v>Contribution XOF</x:v>
      </x:c>
      <x:c r="D17" s="7" t="str">
        <x:v>Réserve 2,5x XOF</x:v>
      </x:c>
    </x:row>
    <x:row r="18">
      <x:c r="A18" t="str">
        <x:v>Base</x:v>
      </x:c>
      <x:c r="B18" s="8" t="n">
        <x:v>0.601412</x:v>
      </x:c>
      <x:c r="C18" s="16" t="n">
        <x:v>27298.368</x:v>
      </x:c>
      <x:c r="D18" s="16" t="n">
        <x:v>3198.465</x:v>
      </x:c>
    </x:row>
    <x:row r="19">
      <x:c r="A19" t="str">
        <x:v>Stress</x:v>
      </x:c>
      <x:c r="B19" s="8" t="n">
        <x:v>0.165275</x:v>
      </x:c>
      <x:c r="C19" s="16" t="n">
        <x:v>8212.314</x:v>
      </x:c>
      <x:c r="D19" s="16" t="n">
        <x:v>24965.178</x:v>
      </x:c>
    </x:row>
    <x:row r="20">
      <x:c r="A20" t="str">
        <x:v>Disaster</x:v>
      </x:c>
      <x:c r="B20" s="8" t="n">
        <x:v>-1.435261</x:v>
      </x:c>
      <x:c r="C20" s="16" t="n">
        <x:v>-80232.155</x:v>
      </x:c>
      <x:c r="D20" s="16" t="n">
        <x:v>170206.929</x:v>
      </x:c>
    </x:row>
    <x:row r="21">
      <x:c r="A21" t="str">
        <x:v>Seuil LOCK</x:v>
      </x:c>
      <x:c r="B21" s="8" t="n">
        <x:v>0.15</x:v>
      </x:c>
      <x:c r="C21" s="16" t="n">
        <x:v>0</x:v>
      </x:c>
      <x:c r="D21" s="16" t="n">
        <x:v>0</x:v>
      </x:c>
    </x:row>
  </x:sheetData>
  <x:mergeCells>
    <x:mergeCell ref="A1:L2"/>
    <x:mergeCell ref="A3:L3"/>
    <x:mergeCell ref="A10:L10"/>
    <x:mergeCell ref="A11:L15"/>
  </x:mergeCells>
  <x:pageMargins left="0.7" right="0.7" top="0.75" bottom="0.75" header="0.3" footer="0.3"/>
  <x:drawing xmlns:r="http://schemas.openxmlformats.org/officeDocument/2006/relationships" r:id="R6b6c4f7bc52b4463"/>
</x:worksheet>
</file>

<file path=xl/worksheets/sheet2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5.889999866485596" hidden="0" customWidth="1"/>
    <x:col min="3" max="3" width="12.890000343322754" hidden="0" customWidth="1"/>
    <x:col min="4" max="4" width="11.329999923706055" hidden="0" customWidth="1"/>
    <x:col min="5" max="5" width="18" hidden="0" customWidth="1"/>
    <x:col min="6" max="6" width="14.329999923706055" hidden="0" customWidth="1"/>
    <x:col min="7" max="7" width="14.220000267028809" hidden="0" customWidth="1"/>
    <x:col min="8" max="8" width="12.109999656677246" hidden="0" customWidth="1"/>
  </x:cols>
  <x:sheetData>
    <x:row r="1" ht="24" hidden="0" customHeight="1">
      <x:c r="A1" s="22" t="str">
        <x:v>Produit</x:v>
      </x:c>
      <x:c r="B1" s="22" t="str">
        <x:v>Taille_K</x:v>
      </x:c>
      <x:c r="C1" s="22" t="str">
        <x:v>Prix_upfront_XOF</x:v>
      </x:c>
      <x:c r="D1" s="22" t="str">
        <x:v>Activation_XOF</x:v>
      </x:c>
      <x:c r="E1" s="22" t="str">
        <x:v>Prix_total_si_succès_XOF</x:v>
      </x:c>
      <x:c r="F1" s="22" t="str">
        <x:v>Cap_payout_1_USD</x:v>
      </x:c>
      <x:c r="G1" s="22" t="str">
        <x:v>Cap_payout_1_XOF</x:v>
      </x:c>
      <x:c r="H1" s="22" t="str">
        <x:v>Cap1_sur_prix_x</x:v>
      </x:c>
      <x:c r="I1" s="7" t="str">
        <x:v>Total formule</x:v>
      </x:c>
      <x:c r="J1" s="7" t="str">
        <x:v>Cap XOF formule</x:v>
      </x:c>
      <x:c r="K1" s="7" t="str">
        <x:v>Multiple formule</x:v>
      </x:c>
    </x:row>
    <x:row r="2" ht="15" hidden="0" customHeight="1">
      <x:c r="A2" s="25" t="str">
        <x:v>ONE</x:v>
      </x:c>
      <x:c r="B2" s="25" t="n">
        <x:v>5</x:v>
      </x:c>
      <x:c r="C2" s="27" t="n">
        <x:v>19900</x:v>
      </x:c>
      <x:c r="D2" s="27" t="n">
        <x:v>0</x:v>
      </x:c>
      <x:c r="E2" s="27" t="n">
        <x:v>19900</x:v>
      </x:c>
      <x:c r="F2" s="27" t="n">
        <x:v>250</x:v>
      </x:c>
      <x:c r="G2" s="27" t="n">
        <x:v>150000</x:v>
      </x:c>
      <x:c r="H2" s="27" t="n">
        <x:v>7.5376884422110555</x:v>
      </x:c>
      <x:c r="I2" s="16" t="n">
        <x:f>C2+D2</x:f>
        <x:v>19900</x:v>
      </x:c>
      <x:c r="J2" s="16" t="n">
        <x:f>F2*600</x:f>
        <x:v>150000</x:v>
      </x:c>
      <x:c r="K2" s="10" t="n">
        <x:f>J2/I2</x:f>
        <x:v>7.5376884422110555</x:v>
      </x:c>
    </x:row>
    <x:row r="3" ht="15" hidden="0" customHeight="1">
      <x:c r="A3" s="25" t="str">
        <x:v>ONE</x:v>
      </x:c>
      <x:c r="B3" s="25" t="n">
        <x:v>10</x:v>
      </x:c>
      <x:c r="C3" s="27" t="n">
        <x:v>34900</x:v>
      </x:c>
      <x:c r="D3" s="27" t="n">
        <x:v>0</x:v>
      </x:c>
      <x:c r="E3" s="27" t="n">
        <x:v>34900</x:v>
      </x:c>
      <x:c r="F3" s="27" t="n">
        <x:v>400</x:v>
      </x:c>
      <x:c r="G3" s="27" t="n">
        <x:v>240000</x:v>
      </x:c>
      <x:c r="H3" s="27" t="n">
        <x:v>6.876790830945558</x:v>
      </x:c>
      <x:c r="I3" s="16" t="n">
        <x:f>C3+D3</x:f>
        <x:v>34900</x:v>
      </x:c>
      <x:c r="J3" s="16" t="n">
        <x:f>F3*600</x:f>
        <x:v>240000</x:v>
      </x:c>
      <x:c r="K3" s="10" t="n">
        <x:f>J3/I3</x:f>
        <x:v>6.876790830945558</x:v>
      </x:c>
    </x:row>
    <x:row r="4" ht="15" hidden="0" customHeight="1">
      <x:c r="A4" s="25" t="str">
        <x:v>ONE</x:v>
      </x:c>
      <x:c r="B4" s="25" t="n">
        <x:v>25</x:v>
      </x:c>
      <x:c r="C4" s="27" t="n">
        <x:v>69900</x:v>
      </x:c>
      <x:c r="D4" s="27" t="n">
        <x:v>0</x:v>
      </x:c>
      <x:c r="E4" s="27" t="n">
        <x:v>69900</x:v>
      </x:c>
      <x:c r="F4" s="27" t="n">
        <x:v>900</x:v>
      </x:c>
      <x:c r="G4" s="27" t="n">
        <x:v>540000</x:v>
      </x:c>
      <x:c r="H4" s="27" t="n">
        <x:v>7.725321888412017</x:v>
      </x:c>
      <x:c r="I4" s="16" t="n">
        <x:f>C4+D4</x:f>
        <x:v>69900</x:v>
      </x:c>
      <x:c r="J4" s="16" t="n">
        <x:f>F4*600</x:f>
        <x:v>540000</x:v>
      </x:c>
      <x:c r="K4" s="10" t="n">
        <x:f>J4/I4</x:f>
        <x:v>7.725321888412017</x:v>
      </x:c>
    </x:row>
    <x:row r="5" ht="15" hidden="0" customHeight="1">
      <x:c r="A5" s="25" t="str">
        <x:v>ONE</x:v>
      </x:c>
      <x:c r="B5" s="25" t="n">
        <x:v>50</x:v>
      </x:c>
      <x:c r="C5" s="27" t="n">
        <x:v>119900</x:v>
      </x:c>
      <x:c r="D5" s="27" t="n">
        <x:v>0</x:v>
      </x:c>
      <x:c r="E5" s="27" t="n">
        <x:v>119900</x:v>
      </x:c>
      <x:c r="F5" s="27" t="n">
        <x:v>1500</x:v>
      </x:c>
      <x:c r="G5" s="27" t="n">
        <x:v>900000</x:v>
      </x:c>
      <x:c r="H5" s="27" t="n">
        <x:v>7.506255212677231</x:v>
      </x:c>
      <x:c r="I5" s="16" t="n">
        <x:f>C5+D5</x:f>
        <x:v>119900</x:v>
      </x:c>
      <x:c r="J5" s="16" t="n">
        <x:f>F5*600</x:f>
        <x:v>900000</x:v>
      </x:c>
      <x:c r="K5" s="10" t="n">
        <x:f>J5/I5</x:f>
        <x:v>7.506255212677231</x:v>
      </x:c>
    </x:row>
    <x:row r="6" ht="15" hidden="0" customHeight="1">
      <x:c r="A6" s="25" t="str">
        <x:v>ONE</x:v>
      </x:c>
      <x:c r="B6" s="25" t="n">
        <x:v>100</x:v>
      </x:c>
      <x:c r="C6" s="27" t="n">
        <x:v>199900</x:v>
      </x:c>
      <x:c r="D6" s="27" t="n">
        <x:v>0</x:v>
      </x:c>
      <x:c r="E6" s="27" t="n">
        <x:v>199900</x:v>
      </x:c>
      <x:c r="F6" s="27" t="n">
        <x:v>2500</x:v>
      </x:c>
      <x:c r="G6" s="27" t="n">
        <x:v>1500000</x:v>
      </x:c>
      <x:c r="H6" s="27" t="n">
        <x:v>7.503751875937969</x:v>
      </x:c>
      <x:c r="I6" s="16" t="n">
        <x:f>C6+D6</x:f>
        <x:v>199900</x:v>
      </x:c>
      <x:c r="J6" s="16" t="n">
        <x:f>F6*600</x:f>
        <x:v>1500000</x:v>
      </x:c>
      <x:c r="K6" s="10" t="n">
        <x:f>J6/I6</x:f>
        <x:v>7.503751875937969</x:v>
      </x:c>
    </x:row>
    <x:row r="7" ht="15" hidden="0" customHeight="1">
      <x:c r="A7" s="25" t="str">
        <x:v>FLEX</x:v>
      </x:c>
      <x:c r="B7" s="25" t="n">
        <x:v>5</x:v>
      </x:c>
      <x:c r="C7" s="27" t="n">
        <x:v>9900</x:v>
      </x:c>
      <x:c r="D7" s="27" t="n">
        <x:v>25900</x:v>
      </x:c>
      <x:c r="E7" s="27" t="n">
        <x:v>35800</x:v>
      </x:c>
      <x:c r="F7" s="27" t="n">
        <x:v>250</x:v>
      </x:c>
      <x:c r="G7" s="27" t="n">
        <x:v>150000</x:v>
      </x:c>
      <x:c r="H7" s="27" t="n">
        <x:v>4.189944134078212</x:v>
      </x:c>
      <x:c r="I7" s="16" t="n">
        <x:f>C7+D7</x:f>
        <x:v>35800</x:v>
      </x:c>
      <x:c r="J7" s="16" t="n">
        <x:f>F7*600</x:f>
        <x:v>150000</x:v>
      </x:c>
      <x:c r="K7" s="10" t="n">
        <x:f>J7/I7</x:f>
        <x:v>4.189944134078212</x:v>
      </x:c>
    </x:row>
    <x:row r="8" ht="15" hidden="0" customHeight="1">
      <x:c r="A8" s="25" t="str">
        <x:v>FLEX</x:v>
      </x:c>
      <x:c r="B8" s="25" t="n">
        <x:v>10</x:v>
      </x:c>
      <x:c r="C8" s="27" t="n">
        <x:v>14900</x:v>
      </x:c>
      <x:c r="D8" s="27" t="n">
        <x:v>39900</x:v>
      </x:c>
      <x:c r="E8" s="27" t="n">
        <x:v>54800</x:v>
      </x:c>
      <x:c r="F8" s="27" t="n">
        <x:v>400</x:v>
      </x:c>
      <x:c r="G8" s="27" t="n">
        <x:v>240000</x:v>
      </x:c>
      <x:c r="H8" s="27" t="n">
        <x:v>4.37956204379562</x:v>
      </x:c>
      <x:c r="I8" s="16" t="n">
        <x:f>C8+D8</x:f>
        <x:v>54800</x:v>
      </x:c>
      <x:c r="J8" s="16" t="n">
        <x:f>F8*600</x:f>
        <x:v>240000</x:v>
      </x:c>
      <x:c r="K8" s="10" t="n">
        <x:f>J8/I8</x:f>
        <x:v>4.37956204379562</x:v>
      </x:c>
    </x:row>
    <x:row r="9" ht="15" hidden="0" customHeight="1">
      <x:c r="A9" s="25" t="str">
        <x:v>FLEX</x:v>
      </x:c>
      <x:c r="B9" s="25" t="n">
        <x:v>25</x:v>
      </x:c>
      <x:c r="C9" s="27" t="n">
        <x:v>24900</x:v>
      </x:c>
      <x:c r="D9" s="27" t="n">
        <x:v>109900</x:v>
      </x:c>
      <x:c r="E9" s="27" t="n">
        <x:v>134800</x:v>
      </x:c>
      <x:c r="F9" s="27" t="n">
        <x:v>900</x:v>
      </x:c>
      <x:c r="G9" s="27" t="n">
        <x:v>540000</x:v>
      </x:c>
      <x:c r="H9" s="27" t="n">
        <x:v>4.005934718100891</x:v>
      </x:c>
      <x:c r="I9" s="16" t="n">
        <x:f>C9+D9</x:f>
        <x:v>134800</x:v>
      </x:c>
      <x:c r="J9" s="16" t="n">
        <x:f>F9*600</x:f>
        <x:v>540000</x:v>
      </x:c>
      <x:c r="K9" s="10" t="n">
        <x:f>J9/I9</x:f>
        <x:v>4.005934718100891</x:v>
      </x:c>
    </x:row>
    <x:row r="10" ht="15" hidden="0" customHeight="1">
      <x:c r="A10" s="25" t="str">
        <x:v>FLEX</x:v>
      </x:c>
      <x:c r="B10" s="25" t="n">
        <x:v>50</x:v>
      </x:c>
      <x:c r="C10" s="27" t="n">
        <x:v>34900</x:v>
      </x:c>
      <x:c r="D10" s="27" t="n">
        <x:v>184900</x:v>
      </x:c>
      <x:c r="E10" s="27" t="n">
        <x:v>219800</x:v>
      </x:c>
      <x:c r="F10" s="27" t="n">
        <x:v>1500</x:v>
      </x:c>
      <x:c r="G10" s="27" t="n">
        <x:v>900000</x:v>
      </x:c>
      <x:c r="H10" s="27" t="n">
        <x:v>4.094631483166515</x:v>
      </x:c>
      <x:c r="I10" s="16" t="n">
        <x:f>C10+D10</x:f>
        <x:v>219800</x:v>
      </x:c>
      <x:c r="J10" s="16" t="n">
        <x:f>F10*600</x:f>
        <x:v>900000</x:v>
      </x:c>
      <x:c r="K10" s="10" t="n">
        <x:f>J10/I10</x:f>
        <x:v>4.094631483166515</x:v>
      </x:c>
    </x:row>
    <x:row r="11" ht="15" hidden="0" customHeight="1">
      <x:c r="A11" s="25" t="str">
        <x:v>FLEX</x:v>
      </x:c>
      <x:c r="B11" s="25" t="n">
        <x:v>100</x:v>
      </x:c>
      <x:c r="C11" s="27" t="n">
        <x:v>44900</x:v>
      </x:c>
      <x:c r="D11" s="27" t="n">
        <x:v>269900</x:v>
      </x:c>
      <x:c r="E11" s="27" t="n">
        <x:v>314800</x:v>
      </x:c>
      <x:c r="F11" s="27" t="n">
        <x:v>2500</x:v>
      </x:c>
      <x:c r="G11" s="27" t="n">
        <x:v>1500000</x:v>
      </x:c>
      <x:c r="H11" s="27" t="n">
        <x:v>4.7649301143583225</x:v>
      </x:c>
      <x:c r="I11" s="16" t="n">
        <x:f>C11+D11</x:f>
        <x:v>314800</x:v>
      </x:c>
      <x:c r="J11" s="16" t="n">
        <x:f>F11*600</x:f>
        <x:v>1500000</x:v>
      </x:c>
      <x:c r="K11" s="10" t="n">
        <x:f>J11/I11</x:f>
        <x:v>4.7649301143583225</x:v>
      </x:c>
    </x:row>
    <x:row r="12" ht="15" hidden="0" customHeight="1">
      <x:c r="A12" s="25" t="str">
        <x:v>INSTANT</x:v>
      </x:c>
      <x:c r="B12" s="25" t="n">
        <x:v>5</x:v>
      </x:c>
      <x:c r="C12" s="27" t="n">
        <x:v>39900</x:v>
      </x:c>
      <x:c r="D12" s="27" t="n">
        <x:v>0</x:v>
      </x:c>
      <x:c r="E12" s="27" t="n">
        <x:v>39900</x:v>
      </x:c>
      <x:c r="F12" s="27" t="n">
        <x:v>250</x:v>
      </x:c>
      <x:c r="G12" s="27" t="n">
        <x:v>150000</x:v>
      </x:c>
      <x:c r="H12" s="27" t="n">
        <x:v>3.7593984962406015</x:v>
      </x:c>
      <x:c r="I12" s="16" t="n">
        <x:f>C12+D12</x:f>
        <x:v>39900</x:v>
      </x:c>
      <x:c r="J12" s="16" t="n">
        <x:f>F12*600</x:f>
        <x:v>150000</x:v>
      </x:c>
      <x:c r="K12" s="10" t="n">
        <x:f>J12/I12</x:f>
        <x:v>3.7593984962406015</x:v>
      </x:c>
    </x:row>
    <x:row r="13" ht="15" hidden="0" customHeight="1">
      <x:c r="A13" s="25" t="str">
        <x:v>INSTANT</x:v>
      </x:c>
      <x:c r="B13" s="25" t="n">
        <x:v>10</x:v>
      </x:c>
      <x:c r="C13" s="27" t="n">
        <x:v>59900</x:v>
      </x:c>
      <x:c r="D13" s="27" t="n">
        <x:v>0</x:v>
      </x:c>
      <x:c r="E13" s="27" t="n">
        <x:v>59900</x:v>
      </x:c>
      <x:c r="F13" s="27" t="n">
        <x:v>400</x:v>
      </x:c>
      <x:c r="G13" s="27" t="n">
        <x:v>240000</x:v>
      </x:c>
      <x:c r="H13" s="27" t="n">
        <x:v>4.006677796327212</x:v>
      </x:c>
      <x:c r="I13" s="16" t="n">
        <x:f>C13+D13</x:f>
        <x:v>59900</x:v>
      </x:c>
      <x:c r="J13" s="16" t="n">
        <x:f>F13*600</x:f>
        <x:v>240000</x:v>
      </x:c>
      <x:c r="K13" s="10" t="n">
        <x:f>J13/I13</x:f>
        <x:v>4.006677796327212</x:v>
      </x:c>
    </x:row>
    <x:row r="14" ht="15" hidden="0" customHeight="1">
      <x:c r="A14" s="25" t="str">
        <x:v>INSTANT</x:v>
      </x:c>
      <x:c r="B14" s="25" t="n">
        <x:v>25</x:v>
      </x:c>
      <x:c r="C14" s="27" t="n">
        <x:v>99900</x:v>
      </x:c>
      <x:c r="D14" s="27" t="n">
        <x:v>0</x:v>
      </x:c>
      <x:c r="E14" s="27" t="n">
        <x:v>99900</x:v>
      </x:c>
      <x:c r="F14" s="27" t="n">
        <x:v>900</x:v>
      </x:c>
      <x:c r="G14" s="27" t="n">
        <x:v>540000</x:v>
      </x:c>
      <x:c r="H14" s="27" t="n">
        <x:v>5.405405405405405</x:v>
      </x:c>
      <x:c r="I14" s="16" t="n">
        <x:f>C14+D14</x:f>
        <x:v>99900</x:v>
      </x:c>
      <x:c r="J14" s="16" t="n">
        <x:f>F14*600</x:f>
        <x:v>540000</x:v>
      </x:c>
      <x:c r="K14" s="10" t="n">
        <x:f>J14/I14</x:f>
        <x:v>5.405405405405405</x:v>
      </x:c>
    </x:row>
    <x:row r="15" ht="15" hidden="0" customHeight="1">
      <x:c r="A15" s="25" t="str">
        <x:v>INSTANT</x:v>
      </x:c>
      <x:c r="B15" s="25" t="n">
        <x:v>50</x:v>
      </x:c>
      <x:c r="C15" s="27" t="n">
        <x:v>169900</x:v>
      </x:c>
      <x:c r="D15" s="27" t="n">
        <x:v>0</x:v>
      </x:c>
      <x:c r="E15" s="27" t="n">
        <x:v>169900</x:v>
      </x:c>
      <x:c r="F15" s="27" t="n">
        <x:v>1500</x:v>
      </x:c>
      <x:c r="G15" s="27" t="n">
        <x:v>900000</x:v>
      </x:c>
      <x:c r="H15" s="27" t="n">
        <x:v>5.29723366686286</x:v>
      </x:c>
      <x:c r="I15" s="16" t="n">
        <x:f>C15+D15</x:f>
        <x:v>169900</x:v>
      </x:c>
      <x:c r="J15" s="16" t="n">
        <x:f>F15*600</x:f>
        <x:v>900000</x:v>
      </x:c>
      <x:c r="K15" s="10" t="n">
        <x:f>J15/I15</x:f>
        <x:v>5.29723366686286</x:v>
      </x:c>
    </x:row>
    <x:row r="16" ht="15" hidden="0" customHeight="1">
      <x:c r="A16" s="26" t="str">
        <x:v>INSTANT</x:v>
      </x:c>
      <x:c r="B16" s="26" t="n">
        <x:v>100</x:v>
      </x:c>
      <x:c r="C16" s="28" t="n">
        <x:v>279900</x:v>
      </x:c>
      <x:c r="D16" s="28" t="n">
        <x:v>0</x:v>
      </x:c>
      <x:c r="E16" s="28" t="n">
        <x:v>279900</x:v>
      </x:c>
      <x:c r="F16" s="28" t="n">
        <x:v>2500</x:v>
      </x:c>
      <x:c r="G16" s="28" t="n">
        <x:v>1500000</x:v>
      </x:c>
      <x:c r="H16" s="28" t="n">
        <x:v>5.359056806002144</x:v>
      </x:c>
      <x:c r="I16" s="16" t="n">
        <x:f>C16+D16</x:f>
        <x:v>279900</x:v>
      </x:c>
      <x:c r="J16" s="16" t="n">
        <x:f>F16*600</x:f>
        <x:v>1500000</x:v>
      </x:c>
      <x:c r="K16" s="10" t="n">
        <x:f>J16/I16</x:f>
        <x:v>5.359056806002144</x:v>
      </x:c>
    </x:row>
  </x:sheetData>
  <x:conditionalFormatting sqref="A2:H16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11.5600004196167" hidden="0" customWidth="1"/>
    <x:col min="3" max="3" width="14.109999656677246" hidden="0" customWidth="1"/>
    <x:col min="4" max="4" width="14.109999656677246" hidden="0" customWidth="1"/>
    <x:col min="5" max="5" width="7.78000020980835" hidden="0" customWidth="1"/>
    <x:col min="6" max="6" width="10.220000267028809" hidden="0" customWidth="1"/>
    <x:col min="7" max="7" width="42" hidden="0" customWidth="1"/>
    <x:col min="8" max="8" width="10.4399995803833" hidden="0" customWidth="1"/>
    <x:col min="9" max="9" width="18" hidden="0" customWidth="1"/>
    <x:col min="10" max="10" width="42" hidden="0" customWidth="1"/>
    <x:col min="11" max="11" width="18" hidden="0" customWidth="1"/>
  </x:cols>
  <x:sheetData>
    <x:row r="1" ht="15" hidden="0" customHeight="1">
      <x:c r="A1" s="22" t="str">
        <x:v>Produit</x:v>
      </x:c>
      <x:c r="B1" s="22" t="str">
        <x:v>Target_eval_pct</x:v>
      </x:c>
      <x:c r="C1" s="22" t="str">
        <x:v>Daily_loss_soft_pct</x:v>
      </x:c>
      <x:c r="D1" s="22" t="str">
        <x:v>Max_loss_EOD_pct</x:v>
      </x:c>
      <x:c r="E1" s="22" t="str">
        <x:v>Buffer_pct</x:v>
      </x:c>
      <x:c r="F1" s="22" t="str">
        <x:v>Best_Day_pct</x:v>
      </x:c>
      <x:c r="G1" s="22" t="str">
        <x:v>Performance_Days</x:v>
      </x:c>
      <x:c r="H1" s="22" t="str">
        <x:v>Seuil_jour_pct</x:v>
      </x:c>
      <x:c r="I1" s="22" t="str">
        <x:v>Split</x:v>
      </x:c>
      <x:c r="J1" s="22" t="str">
        <x:v>Leverage_variant</x:v>
      </x:c>
      <x:c r="K1" s="22" t="str">
        <x:v>Statut</x:v>
      </x:c>
    </x:row>
    <x:row r="2" ht="15" hidden="0" customHeight="1">
      <x:c r="A2" s="25" t="str">
        <x:v>ONE</x:v>
      </x:c>
      <x:c r="B2" s="25" t="n">
        <x:v>8</x:v>
      </x:c>
      <x:c r="C2" s="25" t="n">
        <x:v>3</x:v>
      </x:c>
      <x:c r="D2" s="25" t="n">
        <x:v>8</x:v>
      </x:c>
      <x:c r="E2" s="25" t="n">
        <x:v>2</x:v>
      </x:c>
      <x:c r="F2" s="25" t="n">
        <x:v>35</x:v>
      </x:c>
      <x:c r="G2" s="25" t="n">
        <x:v>5</x:v>
      </x:c>
      <x:c r="H2" s="25" t="n">
        <x:v>0.5</x:v>
      </x:c>
      <x:c r="I2" s="25" t="str">
        <x:v>80% #1-2; 85% #3-4; 90% #5+</x:v>
      </x:c>
      <x:c r="J2" s="25" t="str">
        <x:v>Équilibré</x:v>
      </x:c>
      <x:c r="K2" s="25" t="str">
        <x:v>CANDIDAT — pas LOCK</x:v>
      </x:c>
    </x:row>
    <x:row r="3" ht="15" hidden="0" customHeight="1">
      <x:c r="A3" s="25" t="str">
        <x:v>FLEX</x:v>
      </x:c>
      <x:c r="B3" s="25" t="n">
        <x:v>4</x:v>
      </x:c>
      <x:c r="C3" s="25" t="n">
        <x:v>3</x:v>
      </x:c>
      <x:c r="D3" s="25" t="n">
        <x:v>6</x:v>
      </x:c>
      <x:c r="E3" s="25" t="n">
        <x:v>3</x:v>
      </x:c>
      <x:c r="F3" s="25" t="n">
        <x:v>35</x:v>
      </x:c>
      <x:c r="G3" s="25" t="n">
        <x:v>5</x:v>
      </x:c>
      <x:c r="H3" s="25" t="n">
        <x:v>0.5</x:v>
      </x:c>
      <x:c r="I3" s="25" t="str">
        <x:v>80% #1-2; 85% #3-4; 90% #5+</x:v>
      </x:c>
      <x:c r="J3" s="25" t="str">
        <x:v>Équilibré</x:v>
      </x:c>
      <x:c r="K3" s="25" t="str">
        <x:v>CANDIDAT — pas LOCK</x:v>
      </x:c>
    </x:row>
    <x:row r="4" ht="15" hidden="0" customHeight="1">
      <x:c r="A4" s="26" t="str">
        <x:v>INSTANT</x:v>
      </x:c>
      <x:c r="B4" s="26" t="n">
        <x:v>0</x:v>
      </x:c>
      <x:c r="C4" s="26" t="n">
        <x:v>2</x:v>
      </x:c>
      <x:c r="D4" s="26" t="n">
        <x:v>5</x:v>
      </x:c>
      <x:c r="E4" s="26" t="n">
        <x:v>3</x:v>
      </x:c>
      <x:c r="F4" s="26" t="n">
        <x:v>30</x:v>
      </x:c>
      <x:c r="G4" s="26" t="n">
        <x:v>5</x:v>
      </x:c>
      <x:c r="H4" s="26" t="n">
        <x:v>0.5</x:v>
      </x:c>
      <x:c r="I4" s="26" t="str">
        <x:v>80% #1-2; 85% #3-4; 90% #5+</x:v>
      </x:c>
      <x:c r="J4" s="26" t="str">
        <x:v>Conservateur</x:v>
      </x:c>
      <x:c r="K4" s="26" t="str">
        <x:v>CANDIDAT — pas LOCK</x:v>
      </x:c>
    </x:row>
  </x:sheetData>
  <x:conditionalFormatting sqref="A2:K4">
    <x:cfRule type="expression" dxfId="1" priority="1">
      <x:formula>MOD(ROW(),2)=0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5600004196167" hidden="0" customWidth="1"/>
    <x:col min="2" max="2" width="8.220000267028809" hidden="0" customWidth="1"/>
    <x:col min="3" max="3" width="15.329999923706055" hidden="0" customWidth="1"/>
    <x:col min="4" max="4" width="18" hidden="0" customWidth="1"/>
    <x:col min="5" max="5" width="18" hidden="0" customWidth="1"/>
    <x:col min="6" max="6" width="16.440000534057617" hidden="0" customWidth="1"/>
    <x:col min="7" max="7" width="12.779999732971191" hidden="0" customWidth="1"/>
    <x:col min="8" max="8" width="18" hidden="0" customWidth="1"/>
    <x:col min="9" max="9" width="18" hidden="0" customWidth="1"/>
    <x:col min="10" max="10" width="10.670000076293945" hidden="0" customWidth="1"/>
    <x:col min="11" max="11" width="12.109999656677246" hidden="0" customWidth="1"/>
    <x:col min="12" max="12" width="6.78000020980835" hidden="0" customWidth="1"/>
    <x:col min="13" max="13" width="9.5600004196167" hidden="0" customWidth="1"/>
  </x:cols>
  <x:sheetData>
    <x:row r="1" ht="15" hidden="0" customHeight="1">
      <x:c r="A1" s="22" t="str">
        <x:v>CA_attendu_XOF</x:v>
      </x:c>
      <x:c r="B1" s="22" t="str">
        <x:v>CAC_XOF</x:v>
      </x:c>
      <x:c r="C1" s="22" t="str">
        <x:v>Payout_attendu_XOF</x:v>
      </x:c>
      <x:c r="D1" s="22" t="str">
        <x:v>LTV_contribution_avant_CAC_XOF</x:v>
      </x:c>
      <x:c r="E1" s="22" t="str">
        <x:v>Contribution_après_CAC_XOF</x:v>
      </x:c>
      <x:c r="F1" s="22" t="str">
        <x:v>Break_even_CAC_XOF</x:v>
      </x:c>
      <x:c r="G1" s="22" t="str">
        <x:v>Réserve_30j_XOF</x:v>
      </x:c>
      <x:c r="H1" s="22" t="str">
        <x:v>Réserve_requise_2_5x_XOF</x:v>
      </x:c>
      <x:c r="I1" s="22" t="str">
        <x:v>Contribution_margin_pct</x:v>
      </x:c>
      <x:c r="J1" s="22" t="str">
        <x:v>LTV_sur_CAC</x:v>
      </x:c>
      <x:c r="K1" s="22" t="str">
        <x:v>Cap1_sur_prix_x</x:v>
      </x:c>
      <x:c r="L1" s="22" t="str">
        <x:v>Scénario</x:v>
      </x:c>
      <x:c r="M1" s="22" t="str">
        <x:v>Produit</x:v>
      </x:c>
      <x:c r="N1" s="7" t="str">
        <x:v>CM formule</x:v>
      </x:c>
      <x:c r="O1" s="7" t="str">
        <x:v>LTV/CAC formule</x:v>
      </x:c>
      <x:c r="P1" s="7" t="str">
        <x:v>Réserve / 1000</x:v>
      </x:c>
    </x:row>
    <x:row r="2" ht="15" hidden="0" customHeight="1">
      <x:c r="A2" s="25" t="n">
        <x:v>60900.00000000001</x:v>
      </x:c>
      <x:c r="B2" s="25" t="n">
        <x:v>12100.000000000002</x:v>
      </x:c>
      <x:c r="C2" s="25" t="n">
        <x:v>2640.591360000001</x:v>
      </x:c>
      <x:c r="D2" s="25" t="n">
        <x:v>52663.802726400005</x:v>
      </x:c>
      <x:c r="E2" s="25" t="n">
        <x:v>40563.802726400005</x:v>
      </x:c>
      <x:c r="F2" s="25" t="n">
        <x:v>52663.802726400005</x:v>
      </x:c>
      <x:c r="G2" s="25" t="n">
        <x:v>1452.325248</x:v>
      </x:c>
      <x:c r="H2" s="25" t="n">
        <x:v>3630.813120000001</x:v>
      </x:c>
      <x:c r="I2" s="25" t="n">
        <x:v>0.6660722943579639</x:v>
      </x:c>
      <x:c r="J2" s="25" t="n">
        <x:v>4.35238039061157</x:v>
      </x:c>
      <x:c r="K2" s="25" t="n">
        <x:v>7.37991570763792</x:v>
      </x:c>
      <x:c r="L2" s="25" t="str">
        <x:v>Base</x:v>
      </x:c>
      <x:c r="M2" s="25" t="str">
        <x:v>ONE</x:v>
      </x:c>
      <x:c r="N2" s="8" t="n">
        <x:f>E2/A2</x:f>
        <x:v>0.6660722943579639</x:v>
      </x:c>
      <x:c r="O2" s="10" t="n">
        <x:f>D2/B2</x:f>
        <x:v>4.35238039061157</x:v>
      </x:c>
      <x:c r="P2" s="16" t="n">
        <x:f>H2*1000</x:f>
        <x:v>3630813.120000001</x:v>
      </x:c>
    </x:row>
    <x:row r="3" ht="15" hidden="0" customHeight="1">
      <x:c r="A3" s="25" t="n">
        <x:v>29800.750000000004</x:v>
      </x:c>
      <x:c r="B3" s="25" t="n">
        <x:v>8470.000000000002</x:v>
      </x:c>
      <x:c r="C3" s="25" t="n">
        <x:v>1859.1249600000003</x:v>
      </x:c>
      <x:c r="D3" s="25" t="n">
        <x:v>23876.4947904</x:v>
      </x:c>
      <x:c r="E3" s="25" t="n">
        <x:v>15406.494790399998</x:v>
      </x:c>
      <x:c r="F3" s="25" t="n">
        <x:v>23876.4947904</x:v>
      </x:c>
      <x:c r="G3" s="25" t="n">
        <x:v>1022.5187280000002</x:v>
      </x:c>
      <x:c r="H3" s="25" t="n">
        <x:v>2556.2968200000005</x:v>
      </x:c>
      <x:c r="I3" s="25" t="n">
        <x:v>0.5169834581478653</x:v>
      </x:c>
      <x:c r="J3" s="25" t="n">
        <x:v>2.8189486175206606</x:v>
      </x:c>
      <x:c r="K3" s="25" t="n">
        <x:v>4.215279554376355</x:v>
      </x:c>
      <x:c r="L3" s="25" t="str">
        <x:v>Base</x:v>
      </x:c>
      <x:c r="M3" s="25" t="str">
        <x:v>FLEX</x:v>
      </x:c>
      <x:c r="N3" s="8" t="n">
        <x:f>E3/A3</x:f>
        <x:v>0.5169834581478653</x:v>
      </x:c>
      <x:c r="O3" s="10" t="n">
        <x:f>D3/B3</x:f>
        <x:v>2.8189486175206606</x:v>
      </x:c>
      <x:c r="P3" s="16" t="n">
        <x:f>H3*1000</x:f>
        <x:v>2556296.8200000003</x:v>
      </x:c>
    </x:row>
    <x:row r="4" ht="15" hidden="0" customHeight="1">
      <x:c r="A4" s="25" t="n">
        <x:v>92400.00000000001</x:v>
      </x:c>
      <x:c r="B4" s="25" t="n">
        <x:v>18755.000000000004</x:v>
      </x:c>
      <x:c r="C4" s="25" t="n">
        <x:v>4185.043200000001</x:v>
      </x:c>
      <x:c r="D4" s="25" t="n">
        <x:v>77608.30636800002</x:v>
      </x:c>
      <x:c r="E4" s="25" t="n">
        <x:v>58853.306368</x:v>
      </x:c>
      <x:c r="F4" s="25" t="n">
        <x:v>77608.30636800002</x:v>
      </x:c>
      <x:c r="G4" s="25" t="n">
        <x:v>2301.7737600000005</x:v>
      </x:c>
      <x:c r="H4" s="25" t="n">
        <x:v>5754.434400000002</x:v>
      </x:c>
      <x:c r="I4" s="25" t="n">
        <x:v>0.636940545108225</x:v>
      </x:c>
      <x:c r="J4" s="25" t="n">
        <x:v>4.138006204638764</x:v>
      </x:c>
      <x:c r="K4" s="25" t="n">
        <x:v>4.555742204639202</x:v>
      </x:c>
      <x:c r="L4" s="25" t="str">
        <x:v>Base</x:v>
      </x:c>
      <x:c r="M4" s="25" t="str">
        <x:v>INSTANT</x:v>
      </x:c>
      <x:c r="N4" s="8" t="n">
        <x:f>E4/A4</x:f>
        <x:v>0.636940545108225</x:v>
      </x:c>
      <x:c r="O4" s="10" t="n">
        <x:f>D4/B4</x:f>
        <x:v>4.138006204638764</x:v>
      </x:c>
      <x:c r="P4" s="16" t="n">
        <x:f>H4*1000</x:f>
        <x:v>5754434.400000002</x:v>
      </x:c>
    </x:row>
    <x:row r="5" ht="15" hidden="0" customHeight="1">
      <x:c r="A5" s="25" t="n">
        <x:v>45390.450000000004</x:v>
      </x:c>
      <x:c r="B5" s="25" t="n">
        <x:v>10587.500000000002</x:v>
      </x:c>
      <x:c r="C5" s="25" t="n">
        <x:v>2326.1567040000004</x:v>
      </x:c>
      <x:c r="D5" s="25" t="n">
        <x:v>37885.86832896</x:v>
      </x:c>
      <x:c r="E5" s="25" t="n">
        <x:v>27298.36832896</x:v>
      </x:c>
      <x:c r="F5" s="25" t="n">
        <x:v>37885.86832896</x:v>
      </x:c>
      <x:c r="G5" s="25" t="n">
        <x:v>1279.3861872000002</x:v>
      </x:c>
      <x:c r="H5" s="25" t="n">
        <x:v>3198.465468000001</x:v>
      </x:c>
      <x:c r="I5" s="25" t="n">
        <x:v>0.6014121545162032</x:v>
      </x:c>
      <x:c r="J5" s="25" t="n">
        <x:v>3.5783582837270362</x:v>
      </x:c>
      <x:c r="K5" s="25" t="n">
        <x:v>5.198716665381109</x:v>
      </x:c>
      <x:c r="L5" s="25" t="str">
        <x:v>Base</x:v>
      </x:c>
      <x:c r="M5" s="25" t="str">
        <x:v>PORTFOLIO</x:v>
      </x:c>
      <x:c r="N5" s="8" t="n">
        <x:f>E5/A5</x:f>
        <x:v>0.6014121545162032</x:v>
      </x:c>
      <x:c r="O5" s="10" t="n">
        <x:f>D5/B5</x:f>
        <x:v>3.5783582837270362</x:v>
      </x:c>
      <x:c r="P5" s="16" t="n">
        <x:f>H5*1000</x:f>
        <x:v>3198465.468000001</x:v>
      </x:c>
    </x:row>
    <x:row r="6" ht="15" hidden="0" customHeight="1">
      <x:c r="A6" s="25" t="n">
        <x:v>60900.00000000001</x:v>
      </x:c>
      <x:c r="B6" s="25" t="n">
        <x:v>18755.000000000004</x:v>
      </x:c>
      <x:c r="C6" s="25" t="n">
        <x:v>13377.830400000004</x:v>
      </x:c>
      <x:c r="D6" s="25" t="n">
        <x:v>37729.002144</x:v>
      </x:c>
      <x:c r="E6" s="25" t="n">
        <x:v>18974.002144</x:v>
      </x:c>
      <x:c r="F6" s="25" t="n">
        <x:v>37729.002144</x:v>
      </x:c>
      <x:c r="G6" s="25" t="n">
        <x:v>8695.589760000004</x:v>
      </x:c>
      <x:c r="H6" s="25" t="n">
        <x:v>21738.97440000001</x:v>
      </x:c>
      <x:c r="I6" s="25" t="n">
        <x:v>0.31155996952380943</x:v>
      </x:c>
      <x:c r="J6" s="25" t="n">
        <x:v>2.0116770004798714</x:v>
      </x:c>
      <x:c r="K6" s="25" t="n">
        <x:v>7.37991570763792</x:v>
      </x:c>
      <x:c r="L6" s="25" t="str">
        <x:v>Stress</x:v>
      </x:c>
      <x:c r="M6" s="25" t="str">
        <x:v>ONE</x:v>
      </x:c>
      <x:c r="N6" s="8" t="n">
        <x:f>E6/A6</x:f>
        <x:v>0.31155996952380943</x:v>
      </x:c>
      <x:c r="O6" s="10" t="n">
        <x:f>D6/B6</x:f>
        <x:v>2.0116770004798714</x:v>
      </x:c>
      <x:c r="P6" s="16" t="n">
        <x:f>H6*1000</x:f>
        <x:v>21738974.40000001</x:v>
      </x:c>
    </x:row>
    <x:row r="7" ht="15" hidden="0" customHeight="1">
      <x:c r="A7" s="25" t="n">
        <x:v>36964.48000000001</x:v>
      </x:c>
      <x:c r="B7" s="25" t="n">
        <x:v>13128.500000000002</x:v>
      </x:c>
      <x:c r="C7" s="25" t="n">
        <x:v>14731.352064000004</x:v>
      </x:c>
      <x:c r="D7" s="25" t="n">
        <x:v>13997.216855039998</x:v>
      </x:c>
      <x:c r="E7" s="25" t="n">
        <x:v>868.7168550399981</x:v>
      </x:c>
      <x:c r="F7" s="25" t="n">
        <x:v>13997.216855039998</x:v>
      </x:c>
      <x:c r="G7" s="25" t="n">
        <x:v>9575.378841600002</x:v>
      </x:c>
      <x:c r="H7" s="25" t="n">
        <x:v>23938.447104000006</x:v>
      </x:c>
      <x:c r="I7" s="25" t="n">
        <x:v>0.023501395259449012</x:v>
      </x:c>
      <x:c r="J7" s="25" t="n">
        <x:v>1.0661703054454048</x:v>
      </x:c>
      <x:c r="K7" s="25" t="n">
        <x:v>4.215279554376355</x:v>
      </x:c>
      <x:c r="L7" s="25" t="str">
        <x:v>Stress</x:v>
      </x:c>
      <x:c r="M7" s="25" t="str">
        <x:v>FLEX</x:v>
      </x:c>
      <x:c r="N7" s="8" t="n">
        <x:f>E7/A7</x:f>
        <x:v>0.023501395259449012</x:v>
      </x:c>
      <x:c r="O7" s="10" t="n">
        <x:f>D7/B7</x:f>
        <x:v>1.0661703054454048</x:v>
      </x:c>
      <x:c r="P7" s="16" t="n">
        <x:f>H7*1000</x:f>
        <x:v>23938447.104000006</x:v>
      </x:c>
    </x:row>
    <x:row r="8" ht="15" hidden="0" customHeight="1">
      <x:c r="A8" s="25" t="n">
        <x:v>92400.00000000001</x:v>
      </x:c>
      <x:c r="B8" s="25" t="n">
        <x:v>29070.250000000004</x:v>
      </x:c>
      <x:c r="C8" s="25" t="n">
        <x:v>25110.259200000004</x:v>
      </x:c>
      <x:c r="D8" s="25" t="n">
        <x:v>49059.086912000006</x:v>
      </x:c>
      <x:c r="E8" s="25" t="n">
        <x:v>19988.836911999995</x:v>
      </x:c>
      <x:c r="F8" s="25" t="n">
        <x:v>49059.086912000006</x:v>
      </x:c>
      <x:c r="G8" s="25" t="n">
        <x:v>16321.668480000004</x:v>
      </x:c>
      <x:c r="H8" s="25" t="n">
        <x:v>40804.17120000002</x:v>
      </x:c>
      <x:c r="I8" s="25" t="n">
        <x:v>0.21632940380952373</x:v>
      </x:c>
      <x:c r="J8" s="25" t="n">
        <x:v>1.687604575536846</x:v>
      </x:c>
      <x:c r="K8" s="25" t="n">
        <x:v>4.555742204639202</x:v>
      </x:c>
      <x:c r="L8" s="25" t="str">
        <x:v>Stress</x:v>
      </x:c>
      <x:c r="M8" s="25" t="str">
        <x:v>INSTANT</x:v>
      </x:c>
      <x:c r="N8" s="8" t="n">
        <x:f>E8/A8</x:f>
        <x:v>0.21632940380952373</x:v>
      </x:c>
      <x:c r="O8" s="10" t="n">
        <x:f>D8/B8</x:f>
        <x:v>1.687604575536846</x:v>
      </x:c>
      <x:c r="P8" s="16" t="n">
        <x:f>H8*1000</x:f>
        <x:v>40804171.20000002</x:v>
      </x:c>
    </x:row>
    <x:row r="9" ht="15" hidden="0" customHeight="1">
      <x:c r="A9" s="25" t="n">
        <x:v>49688.68800000001</x:v>
      </x:c>
      <x:c r="B9" s="25" t="n">
        <x:v>16410.625</x:v>
      </x:c>
      <x:c r="C9" s="25" t="n">
        <x:v>15363.186278400004</x:v>
      </x:c>
      <x:c r="D9" s="25" t="n">
        <x:v>24622.939447424</x:v>
      </x:c>
      <x:c r="E9" s="25" t="n">
        <x:v>8212.314447423998</x:v>
      </x:c>
      <x:c r="F9" s="25" t="n">
        <x:v>24622.939447424</x:v>
      </x:c>
      <x:c r="G9" s="25" t="n">
        <x:v>9986.071080960004</x:v>
      </x:c>
      <x:c r="H9" s="25" t="n">
        <x:v>24965.177702400008</x:v>
      </x:c>
      <x:c r="I9" s="25" t="n">
        <x:v>0.16527533283680174</x:v>
      </x:c>
      <x:c r="J9" s="25" t="n">
        <x:v>1.5004266715877062</x:v>
      </x:c>
      <x:c r="K9" s="25" t="n">
        <x:v>5.198716665381109</x:v>
      </x:c>
      <x:c r="L9" s="25" t="str">
        <x:v>Stress</x:v>
      </x:c>
      <x:c r="M9" s="25" t="str">
        <x:v>PORTFOLIO</x:v>
      </x:c>
      <x:c r="N9" s="8" t="n">
        <x:f>E9/A9</x:f>
        <x:v>0.16527533283680174</x:v>
      </x:c>
      <x:c r="O9" s="10" t="n">
        <x:f>D9/B9</x:f>
        <x:v>1.5004266715877062</x:v>
      </x:c>
      <x:c r="P9" s="16" t="n">
        <x:f>H9*1000</x:f>
        <x:v>24965177.702400006</x:v>
      </x:c>
    </x:row>
    <x:row r="10" ht="15" hidden="0" customHeight="1">
      <x:c r="A10" s="25" t="n">
        <x:v>60900.00000000001</x:v>
      </x:c>
      <x:c r="B10" s="25" t="n">
        <x:v>29040.000000000004</x:v>
      </x:c>
      <x:c r="C10" s="25" t="n">
        <x:v>66099.88800000004</x:v>
      </x:c>
      <x:c r="D10" s="25" t="n">
        <x:v>-23188.58520000001</x:v>
      </x:c>
      <x:c r="E10" s="25" t="n">
        <x:v>-52228.58520000002</x:v>
      </x:c>
      <x:c r="F10" s="25" t="n">
        <x:v>-23188.58520000001</x:v>
      </x:c>
      <x:c r="G10" s="25" t="n">
        <x:v>49574.91600000001</x:v>
      </x:c>
      <x:c r="H10" s="25" t="n">
        <x:v>123937.29000000001</x:v>
      </x:c>
      <x:c r="I10" s="25" t="n">
        <x:v>-0.8576122364532023</x:v>
      </x:c>
      <x:c r="J10" s="25" t="n">
        <x:v>-0.7985050000000002</x:v>
      </x:c>
      <x:c r="K10" s="25" t="n">
        <x:v>7.37991570763792</x:v>
      </x:c>
      <x:c r="L10" s="25" t="str">
        <x:v>Disaster</x:v>
      </x:c>
      <x:c r="M10" s="25" t="str">
        <x:v>ONE</x:v>
      </x:c>
      <x:c r="N10" s="8" t="n">
        <x:f>E10/A10</x:f>
        <x:v>-0.8576122364532023</x:v>
      </x:c>
      <x:c r="O10" s="10" t="n">
        <x:f>D10/B10</x:f>
        <x:v>-0.7985050000000002</x:v>
      </x:c>
      <x:c r="P10" s="16" t="n">
        <x:f>H10*1000</x:f>
        <x:v>123937290.00000001</x:v>
      </x:c>
    </x:row>
    <x:row r="11" ht="15" hidden="0" customHeight="1">
      <x:c r="A11" s="25" t="n">
        <x:v>47317.9</x:v>
      </x:c>
      <x:c r="B11" s="25" t="n">
        <x:v>20328</x:v>
      </x:c>
      <x:c r="C11" s="25" t="n">
        <x:v>97167.7296</x:v>
      </x:c>
      <x:c r="D11" s="25" t="n">
        <x:v>-68542.98984000001</x:v>
      </x:c>
      <x:c r="E11" s="25" t="n">
        <x:v>-88870.98984</x:v>
      </x:c>
      <x:c r="F11" s="25" t="n">
        <x:v>-68542.98984000001</x:v>
      </x:c>
      <x:c r="G11" s="25" t="n">
        <x:v>72875.7972</x:v>
      </x:c>
      <x:c r="H11" s="25" t="n">
        <x:v>182189.49300000005</x:v>
      </x:c>
      <x:c r="I11" s="25" t="n">
        <x:v>-1.8781685121275455</x:v>
      </x:c>
      <x:c r="J11" s="25" t="n">
        <x:v>-3.371851133412043</x:v>
      </x:c>
      <x:c r="K11" s="25" t="n">
        <x:v>4.215279554376355</x:v>
      </x:c>
      <x:c r="L11" s="25" t="str">
        <x:v>Disaster</x:v>
      </x:c>
      <x:c r="M11" s="25" t="str">
        <x:v>FLEX</x:v>
      </x:c>
      <x:c r="N11" s="8" t="n">
        <x:f>E11/A11</x:f>
        <x:v>-1.8781685121275455</x:v>
      </x:c>
      <x:c r="O11" s="10" t="n">
        <x:f>D11/B11</x:f>
        <x:v>-3.371851133412043</x:v>
      </x:c>
      <x:c r="P11" s="16" t="n">
        <x:f>H11*1000</x:f>
        <x:v>182189493.00000006</x:v>
      </x:c>
    </x:row>
    <x:row r="12" ht="15" hidden="0" customHeight="1">
      <x:c r="A12" s="25" t="n">
        <x:v>92400.00000000001</x:v>
      </x:c>
      <x:c r="B12" s="25" t="n">
        <x:v>45012</x:v>
      </x:c>
      <x:c r="C12" s="25" t="n">
        <x:v>126464.24700000003</x:v>
      </x:c>
      <x:c r="D12" s="25" t="n">
        <x:v>-67397.85317500003</x:v>
      </x:c>
      <x:c r="E12" s="25" t="n">
        <x:v>-112409.85317500003</x:v>
      </x:c>
      <x:c r="F12" s="25" t="n">
        <x:v>-67397.85317500003</x:v>
      </x:c>
      <x:c r="G12" s="25" t="n">
        <x:v>94848.18525000002</x:v>
      </x:c>
      <x:c r="H12" s="25" t="n">
        <x:v>237120.46312500007</x:v>
      </x:c>
      <x:c r="I12" s="25" t="n">
        <x:v>-1.2165568525432902</x:v>
      </x:c>
      <x:c r="J12" s="25" t="n">
        <x:v>-1.4973307823469302</x:v>
      </x:c>
      <x:c r="K12" s="25" t="n">
        <x:v>4.555742204639202</x:v>
      </x:c>
      <x:c r="L12" s="25" t="str">
        <x:v>Disaster</x:v>
      </x:c>
      <x:c r="M12" s="25" t="str">
        <x:v>INSTANT</x:v>
      </x:c>
      <x:c r="N12" s="8" t="n">
        <x:f>E12/A12</x:f>
        <x:v>-1.2165568525432902</x:v>
      </x:c>
      <x:c r="O12" s="10" t="n">
        <x:f>D12/B12</x:f>
        <x:v>-1.4973307823469302</x:v>
      </x:c>
      <x:c r="P12" s="16" t="n">
        <x:f>H12*1000</x:f>
        <x:v>237120463.12500006</x:v>
      </x:c>
    </x:row>
    <x:row r="13" ht="15" hidden="0" customHeight="1">
      <x:c r="A13" s="26" t="n">
        <x:v>55900.740000000005</x:v>
      </x:c>
      <x:c r="B13" s="26" t="n">
        <x:v>25410</x:v>
      </x:c>
      <x:c r="C13" s="26" t="n">
        <x:v>90777.02886000002</x:v>
      </x:c>
      <x:c r="D13" s="26" t="n">
        <x:v>-54822.15478150001</x:v>
      </x:c>
      <x:c r="E13" s="26" t="n">
        <x:v>-80232.15478150001</x:v>
      </x:c>
      <x:c r="F13" s="26" t="n">
        <x:v>-54822.15478150001</x:v>
      </x:c>
      <x:c r="G13" s="26" t="n">
        <x:v>68082.771645</x:v>
      </x:c>
      <x:c r="H13" s="26" t="n">
        <x:v>170206.92911250005</x:v>
      </x:c>
      <x:c r="I13" s="26" t="n">
        <x:v>-1.4352610498805563</x:v>
      </x:c>
      <x:c r="J13" s="26" t="n">
        <x:v>-2.157503139767808</x:v>
      </x:c>
      <x:c r="K13" s="26" t="n">
        <x:v>5.198716665381109</x:v>
      </x:c>
      <x:c r="L13" s="26" t="str">
        <x:v>Disaster</x:v>
      </x:c>
      <x:c r="M13" s="26" t="str">
        <x:v>PORTFOLIO</x:v>
      </x:c>
      <x:c r="N13" s="8" t="n">
        <x:f>E13/A13</x:f>
        <x:v>-1.4352610498805563</x:v>
      </x:c>
      <x:c r="O13" s="10" t="n">
        <x:f>D13/B13</x:f>
        <x:v>-2.157503139767808</x:v>
      </x:c>
      <x:c r="P13" s="16" t="n">
        <x:f>H13*1000</x:f>
        <x:v>170206929.11250004</x:v>
      </x:c>
    </x:row>
  </x:sheetData>
  <x:conditionalFormatting sqref="A2:M13">
    <x:cfRule type="expression" dxfId="2" priority="1">
      <x:formula>MOD(ROW(),2)=0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78000020980835" hidden="0" customWidth="1"/>
    <x:col min="2" max="2" width="18" hidden="0" customWidth="1"/>
    <x:col min="3" max="3" width="4.889999866485596" hidden="0" customWidth="1"/>
    <x:col min="4" max="4" width="10.220000267028809" hidden="0" customWidth="1"/>
  </x:cols>
  <x:sheetData>
    <x:row r="1" ht="15" hidden="0" customHeight="1">
      <x:c r="A1" s="22" t="str">
        <x:v>Scénario</x:v>
      </x:c>
      <x:c r="B1" s="22" t="str">
        <x:v>Variable</x:v>
      </x:c>
      <x:c r="C1" s="22" t="str">
        <x:v>Valeur</x:v>
      </x:c>
      <x:c r="D1" s="22" t="str">
        <x:v>Statut</x:v>
      </x:c>
    </x:row>
    <x:row r="2" ht="15" hidden="0" customHeight="1">
      <x:c r="A2" s="25" t="str">
        <x:v>Base</x:v>
      </x:c>
      <x:c r="B2" s="25" t="str">
        <x:v>Pass ONE target 8</x:v>
      </x:c>
      <x:c r="C2" s="25" t="n">
        <x:v>0.08</x:v>
      </x:c>
      <x:c r="D2" s="25" t="str">
        <x:v>HYPOTHÈSE</x:v>
      </x:c>
    </x:row>
    <x:row r="3" ht="15" hidden="0" customHeight="1">
      <x:c r="A3" s="25" t="str">
        <x:v>Base</x:v>
      </x:c>
      <x:c r="B3" s="25" t="str">
        <x:v>Activation FLEX</x:v>
      </x:c>
      <x:c r="C3" s="25" t="n">
        <x:v>0.7</x:v>
      </x:c>
      <x:c r="D3" s="25" t="str">
        <x:v>HYPOTHÈSE</x:v>
      </x:c>
    </x:row>
    <x:row r="4" ht="15" hidden="0" customHeight="1">
      <x:c r="A4" s="25" t="str">
        <x:v>Base</x:v>
      </x:c>
      <x:c r="B4" s="25" t="str">
        <x:v>Frais encaissement</x:v>
      </x:c>
      <x:c r="C4" s="25" t="n">
        <x:v>0.04</x:v>
      </x:c>
      <x:c r="D4" s="25" t="str">
        <x:v>HYPOTHÈSE</x:v>
      </x:c>
    </x:row>
    <x:row r="5" ht="15" hidden="0" customHeight="1">
      <x:c r="A5" s="25" t="str">
        <x:v>Base</x:v>
      </x:c>
      <x:c r="B5" s="25" t="str">
        <x:v>Fraude/chargeback</x:v>
      </x:c>
      <x:c r="C5" s="25" t="n">
        <x:v>0.012</x:v>
      </x:c>
      <x:c r="D5" s="25" t="str">
        <x:v>HYPOTHÈSE</x:v>
      </x:c>
    </x:row>
    <x:row r="6" ht="15" hidden="0" customHeight="1">
      <x:c r="A6" s="25" t="str">
        <x:v>Base</x:v>
      </x:c>
      <x:c r="B6" s="25" t="str">
        <x:v>Support par vente XOF</x:v>
      </x:c>
      <x:c r="C6" s="25" t="n">
        <x:v>1200</x:v>
      </x:c>
      <x:c r="D6" s="25" t="str">
        <x:v>HYPOTHÈSE</x:v>
      </x:c>
    </x:row>
    <x:row r="7" ht="15" hidden="0" customHeight="1">
      <x:c r="A7" s="25" t="str">
        <x:v>Base</x:v>
      </x:c>
      <x:c r="B7" s="25" t="str">
        <x:v>Infra évaluation XOF</x:v>
      </x:c>
      <x:c r="C7" s="25" t="n">
        <x:v>900</x:v>
      </x:c>
      <x:c r="D7" s="25" t="str">
        <x:v>HYPOTHÈSE</x:v>
      </x:c>
    </x:row>
    <x:row r="8" ht="15" hidden="0" customHeight="1">
      <x:c r="A8" s="25" t="str">
        <x:v>Base</x:v>
      </x:c>
      <x:c r="B8" s="25" t="str">
        <x:v>Pass FLEX target 2</x:v>
      </x:c>
      <x:c r="C8" s="25" t="n">
        <x:v>0.26</x:v>
      </x:c>
      <x:c r="D8" s="25" t="str">
        <x:v>HYPOTHÈSE</x:v>
      </x:c>
    </x:row>
    <x:row r="9" ht="15" hidden="0" customHeight="1">
      <x:c r="A9" s="25" t="str">
        <x:v>Base</x:v>
      </x:c>
      <x:c r="B9" s="25" t="str">
        <x:v>Pass FLEX target 3</x:v>
      </x:c>
      <x:c r="C9" s="25" t="n">
        <x:v>0.2</x:v>
      </x:c>
      <x:c r="D9" s="25" t="str">
        <x:v>HYPOTHÈSE</x:v>
      </x:c>
    </x:row>
    <x:row r="10" ht="15" hidden="0" customHeight="1">
      <x:c r="A10" s="25" t="str">
        <x:v>Base</x:v>
      </x:c>
      <x:c r="B10" s="25" t="str">
        <x:v>Pass FLEX target 4</x:v>
      </x:c>
      <x:c r="C10" s="25" t="n">
        <x:v>0.15</x:v>
      </x:c>
      <x:c r="D10" s="25" t="str">
        <x:v>HYPOTHÈSE</x:v>
      </x:c>
    </x:row>
    <x:row r="11" ht="15" hidden="0" customHeight="1">
      <x:c r="A11" s="25" t="str">
        <x:v>Base</x:v>
      </x:c>
      <x:c r="B11" s="25" t="str">
        <x:v>Payout incidence ONE</x:v>
      </x:c>
      <x:c r="C11" s="25" t="n">
        <x:v>0.22</x:v>
      </x:c>
      <x:c r="D11" s="25" t="str">
        <x:v>HYPOTHÈSE</x:v>
      </x:c>
    </x:row>
    <x:row r="12" ht="15" hidden="0" customHeight="1">
      <x:c r="A12" s="25" t="str">
        <x:v>Base</x:v>
      </x:c>
      <x:c r="B12" s="25" t="str">
        <x:v>Cycles ONE</x:v>
      </x:c>
      <x:c r="C12" s="25" t="n">
        <x:v>1.3</x:v>
      </x:c>
      <x:c r="D12" s="25" t="str">
        <x:v>HYPOTHÈSE</x:v>
      </x:c>
    </x:row>
    <x:row r="13" ht="15" hidden="0" customHeight="1">
      <x:c r="A13" s="25" t="str">
        <x:v>Base</x:v>
      </x:c>
      <x:c r="B13" s="25" t="str">
        <x:v>Payout incidence FLEX</x:v>
      </x:c>
      <x:c r="C13" s="25" t="n">
        <x:v>0.22</x:v>
      </x:c>
      <x:c r="D13" s="25" t="str">
        <x:v>HYPOTHÈSE</x:v>
      </x:c>
    </x:row>
    <x:row r="14" ht="15" hidden="0" customHeight="1">
      <x:c r="A14" s="25" t="str">
        <x:v>Base</x:v>
      </x:c>
      <x:c r="B14" s="25" t="str">
        <x:v>Cycles FLEX</x:v>
      </x:c>
      <x:c r="C14" s="25" t="n">
        <x:v>1.3</x:v>
      </x:c>
      <x:c r="D14" s="25" t="str">
        <x:v>HYPOTHÈSE</x:v>
      </x:c>
    </x:row>
    <x:row r="15" ht="15" hidden="0" customHeight="1">
      <x:c r="A15" s="25" t="str">
        <x:v>Base</x:v>
      </x:c>
      <x:c r="B15" s="25" t="str">
        <x:v>Payout incidence INSTANT</x:v>
      </x:c>
      <x:c r="C15" s="25" t="n">
        <x:v>0.1</x:v>
      </x:c>
      <x:c r="D15" s="25" t="str">
        <x:v>HYPOTHÈSE</x:v>
      </x:c>
    </x:row>
    <x:row r="16" ht="15" hidden="0" customHeight="1">
      <x:c r="A16" s="25" t="str">
        <x:v>Base</x:v>
      </x:c>
      <x:c r="B16" s="25" t="str">
        <x:v>Cycles INSTANT</x:v>
      </x:c>
      <x:c r="C16" s="25" t="n">
        <x:v>1.2</x:v>
      </x:c>
      <x:c r="D16" s="25" t="str">
        <x:v>HYPOTHÈSE</x:v>
      </x:c>
    </x:row>
    <x:row r="17" ht="15" hidden="0" customHeight="1">
      <x:c r="A17" s="25" t="str">
        <x:v>Stress</x:v>
      </x:c>
      <x:c r="B17" s="25" t="str">
        <x:v>Pass ONE target 8</x:v>
      </x:c>
      <x:c r="C17" s="25" t="n">
        <x:v>0.12</x:v>
      </x:c>
      <x:c r="D17" s="25" t="str">
        <x:v>HYPOTHÈSE</x:v>
      </x:c>
    </x:row>
    <x:row r="18" ht="15" hidden="0" customHeight="1">
      <x:c r="A18" s="25" t="str">
        <x:v>Stress</x:v>
      </x:c>
      <x:c r="B18" s="25" t="str">
        <x:v>Activation FLEX</x:v>
      </x:c>
      <x:c r="C18" s="25" t="n">
        <x:v>0.78</x:v>
      </x:c>
      <x:c r="D18" s="25" t="str">
        <x:v>HYPOTHÈSE</x:v>
      </x:c>
    </x:row>
    <x:row r="19" ht="15" hidden="0" customHeight="1">
      <x:c r="A19" s="25" t="str">
        <x:v>Stress</x:v>
      </x:c>
      <x:c r="B19" s="25" t="str">
        <x:v>Frais encaissement</x:v>
      </x:c>
      <x:c r="C19" s="25" t="n">
        <x:v>0.06</x:v>
      </x:c>
      <x:c r="D19" s="25" t="str">
        <x:v>HYPOTHÈSE</x:v>
      </x:c>
    </x:row>
    <x:row r="20" ht="15" hidden="0" customHeight="1">
      <x:c r="A20" s="25" t="str">
        <x:v>Stress</x:v>
      </x:c>
      <x:c r="B20" s="25" t="str">
        <x:v>Fraude/chargeback</x:v>
      </x:c>
      <x:c r="C20" s="25" t="n">
        <x:v>0.025</x:v>
      </x:c>
      <x:c r="D20" s="25" t="str">
        <x:v>HYPOTHÈSE</x:v>
      </x:c>
    </x:row>
    <x:row r="21" ht="15" hidden="0" customHeight="1">
      <x:c r="A21" s="25" t="str">
        <x:v>Stress</x:v>
      </x:c>
      <x:c r="B21" s="25" t="str">
        <x:v>Support par vente XOF</x:v>
      </x:c>
      <x:c r="C21" s="25" t="n">
        <x:v>2200</x:v>
      </x:c>
      <x:c r="D21" s="25" t="str">
        <x:v>HYPOTHÈSE</x:v>
      </x:c>
    </x:row>
    <x:row r="22" ht="15" hidden="0" customHeight="1">
      <x:c r="A22" s="25" t="str">
        <x:v>Stress</x:v>
      </x:c>
      <x:c r="B22" s="25" t="str">
        <x:v>Infra évaluation XOF</x:v>
      </x:c>
      <x:c r="C22" s="25" t="n">
        <x:v>1400</x:v>
      </x:c>
      <x:c r="D22" s="25" t="str">
        <x:v>HYPOTHÈSE</x:v>
      </x:c>
    </x:row>
    <x:row r="23" ht="15" hidden="0" customHeight="1">
      <x:c r="A23" s="25" t="str">
        <x:v>Stress</x:v>
      </x:c>
      <x:c r="B23" s="25" t="str">
        <x:v>Pass FLEX target 2</x:v>
      </x:c>
      <x:c r="C23" s="25" t="n">
        <x:v>0.38</x:v>
      </x:c>
      <x:c r="D23" s="25" t="str">
        <x:v>HYPOTHÈSE</x:v>
      </x:c>
    </x:row>
    <x:row r="24" ht="15" hidden="0" customHeight="1">
      <x:c r="A24" s="25" t="str">
        <x:v>Stress</x:v>
      </x:c>
      <x:c r="B24" s="25" t="str">
        <x:v>Pass FLEX target 3</x:v>
      </x:c>
      <x:c r="C24" s="25" t="n">
        <x:v>0.3</x:v>
      </x:c>
      <x:c r="D24" s="25" t="str">
        <x:v>HYPOTHÈSE</x:v>
      </x:c>
    </x:row>
    <x:row r="25" ht="15" hidden="0" customHeight="1">
      <x:c r="A25" s="25" t="str">
        <x:v>Stress</x:v>
      </x:c>
      <x:c r="B25" s="25" t="str">
        <x:v>Pass FLEX target 4</x:v>
      </x:c>
      <x:c r="C25" s="25" t="n">
        <x:v>0.24</x:v>
      </x:c>
      <x:c r="D25" s="25" t="str">
        <x:v>HYPOTHÈSE</x:v>
      </x:c>
    </x:row>
    <x:row r="26" ht="15" hidden="0" customHeight="1">
      <x:c r="A26" s="25" t="str">
        <x:v>Stress</x:v>
      </x:c>
      <x:c r="B26" s="25" t="str">
        <x:v>Payout incidence ONE</x:v>
      </x:c>
      <x:c r="C26" s="25" t="n">
        <x:v>0.33</x:v>
      </x:c>
      <x:c r="D26" s="25" t="str">
        <x:v>HYPOTHÈSE</x:v>
      </x:c>
    </x:row>
    <x:row r="27" ht="15" hidden="0" customHeight="1">
      <x:c r="A27" s="25" t="str">
        <x:v>Stress</x:v>
      </x:c>
      <x:c r="B27" s="25" t="str">
        <x:v>Cycles ONE</x:v>
      </x:c>
      <x:c r="C27" s="25" t="n">
        <x:v>1.8</x:v>
      </x:c>
      <x:c r="D27" s="25" t="str">
        <x:v>HYPOTHÈSE</x:v>
      </x:c>
    </x:row>
    <x:row r="28" ht="15" hidden="0" customHeight="1">
      <x:c r="A28" s="25" t="str">
        <x:v>Stress</x:v>
      </x:c>
      <x:c r="B28" s="25" t="str">
        <x:v>Payout incidence FLEX</x:v>
      </x:c>
      <x:c r="C28" s="25" t="n">
        <x:v>0.33</x:v>
      </x:c>
      <x:c r="D28" s="25" t="str">
        <x:v>HYPOTHÈSE</x:v>
      </x:c>
    </x:row>
    <x:row r="29" ht="15" hidden="0" customHeight="1">
      <x:c r="A29" s="25" t="str">
        <x:v>Stress</x:v>
      </x:c>
      <x:c r="B29" s="25" t="str">
        <x:v>Cycles FLEX</x:v>
      </x:c>
      <x:c r="C29" s="25" t="n">
        <x:v>1.8</x:v>
      </x:c>
      <x:c r="D29" s="25" t="str">
        <x:v>HYPOTHÈSE</x:v>
      </x:c>
    </x:row>
    <x:row r="30" ht="15" hidden="0" customHeight="1">
      <x:c r="A30" s="25" t="str">
        <x:v>Stress</x:v>
      </x:c>
      <x:c r="B30" s="25" t="str">
        <x:v>Payout incidence INSTANT</x:v>
      </x:c>
      <x:c r="C30" s="25" t="n">
        <x:v>0.18</x:v>
      </x:c>
      <x:c r="D30" s="25" t="str">
        <x:v>HYPOTHÈSE</x:v>
      </x:c>
    </x:row>
    <x:row r="31" ht="15" hidden="0" customHeight="1">
      <x:c r="A31" s="25" t="str">
        <x:v>Stress</x:v>
      </x:c>
      <x:c r="B31" s="25" t="str">
        <x:v>Cycles INSTANT</x:v>
      </x:c>
      <x:c r="C31" s="25" t="n">
        <x:v>1.6</x:v>
      </x:c>
      <x:c r="D31" s="25" t="str">
        <x:v>HYPOTHÈSE</x:v>
      </x:c>
    </x:row>
    <x:row r="32" ht="15" hidden="0" customHeight="1">
      <x:c r="A32" s="25" t="str">
        <x:v>Disaster</x:v>
      </x:c>
      <x:c r="B32" s="25" t="str">
        <x:v>Pass ONE target 8</x:v>
      </x:c>
      <x:c r="C32" s="25" t="n">
        <x:v>0.18</x:v>
      </x:c>
      <x:c r="D32" s="25" t="str">
        <x:v>HYPOTHÈSE</x:v>
      </x:c>
    </x:row>
    <x:row r="33" ht="15" hidden="0" customHeight="1">
      <x:c r="A33" s="25" t="str">
        <x:v>Disaster</x:v>
      </x:c>
      <x:c r="B33" s="25" t="str">
        <x:v>Activation FLEX</x:v>
      </x:c>
      <x:c r="C33" s="25" t="n">
        <x:v>0.85</x:v>
      </x:c>
      <x:c r="D33" s="25" t="str">
        <x:v>HYPOTHÈSE</x:v>
      </x:c>
    </x:row>
    <x:row r="34" ht="15" hidden="0" customHeight="1">
      <x:c r="A34" s="25" t="str">
        <x:v>Disaster</x:v>
      </x:c>
      <x:c r="B34" s="25" t="str">
        <x:v>Frais encaissement</x:v>
      </x:c>
      <x:c r="C34" s="25" t="n">
        <x:v>0.08</x:v>
      </x:c>
      <x:c r="D34" s="25" t="str">
        <x:v>HYPOTHÈSE</x:v>
      </x:c>
    </x:row>
    <x:row r="35" ht="15" hidden="0" customHeight="1">
      <x:c r="A35" s="25" t="str">
        <x:v>Disaster</x:v>
      </x:c>
      <x:c r="B35" s="25" t="str">
        <x:v>Fraude/chargeback</x:v>
      </x:c>
      <x:c r="C35" s="25" t="n">
        <x:v>0.05</x:v>
      </x:c>
      <x:c r="D35" s="25" t="str">
        <x:v>HYPOTHÈSE</x:v>
      </x:c>
    </x:row>
    <x:row r="36" ht="15" hidden="0" customHeight="1">
      <x:c r="A36" s="25" t="str">
        <x:v>Disaster</x:v>
      </x:c>
      <x:c r="B36" s="25" t="str">
        <x:v>Support par vente XOF</x:v>
      </x:c>
      <x:c r="C36" s="25" t="n">
        <x:v>3800</x:v>
      </x:c>
      <x:c r="D36" s="25" t="str">
        <x:v>HYPOTHÈSE</x:v>
      </x:c>
    </x:row>
    <x:row r="37" ht="15" hidden="0" customHeight="1">
      <x:c r="A37" s="25" t="str">
        <x:v>Disaster</x:v>
      </x:c>
      <x:c r="B37" s="25" t="str">
        <x:v>Infra évaluation XOF</x:v>
      </x:c>
      <x:c r="C37" s="25" t="n">
        <x:v>2200</x:v>
      </x:c>
      <x:c r="D37" s="25" t="str">
        <x:v>HYPOTHÈSE</x:v>
      </x:c>
    </x:row>
    <x:row r="38" ht="15" hidden="0" customHeight="1">
      <x:c r="A38" s="25" t="str">
        <x:v>Disaster</x:v>
      </x:c>
      <x:c r="B38" s="25" t="str">
        <x:v>Pass FLEX target 2</x:v>
      </x:c>
      <x:c r="C38" s="25" t="n">
        <x:v>0.55</x:v>
      </x:c>
      <x:c r="D38" s="25" t="str">
        <x:v>HYPOTHÈSE</x:v>
      </x:c>
    </x:row>
    <x:row r="39" ht="15" hidden="0" customHeight="1">
      <x:c r="A39" s="25" t="str">
        <x:v>Disaster</x:v>
      </x:c>
      <x:c r="B39" s="25" t="str">
        <x:v>Pass FLEX target 3</x:v>
      </x:c>
      <x:c r="C39" s="25" t="n">
        <x:v>0.45</x:v>
      </x:c>
      <x:c r="D39" s="25" t="str">
        <x:v>HYPOTHÈSE</x:v>
      </x:c>
    </x:row>
    <x:row r="40" ht="15" hidden="0" customHeight="1">
      <x:c r="A40" s="25" t="str">
        <x:v>Disaster</x:v>
      </x:c>
      <x:c r="B40" s="25" t="str">
        <x:v>Pass FLEX target 4</x:v>
      </x:c>
      <x:c r="C40" s="25" t="n">
        <x:v>0.36</x:v>
      </x:c>
      <x:c r="D40" s="25" t="str">
        <x:v>HYPOTHÈSE</x:v>
      </x:c>
    </x:row>
    <x:row r="41" ht="15" hidden="0" customHeight="1">
      <x:c r="A41" s="25" t="str">
        <x:v>Disaster</x:v>
      </x:c>
      <x:c r="B41" s="25" t="str">
        <x:v>Payout incidence ONE</x:v>
      </x:c>
      <x:c r="C41" s="25" t="n">
        <x:v>0.5</x:v>
      </x:c>
      <x:c r="D41" s="25" t="str">
        <x:v>HYPOTHÈSE</x:v>
      </x:c>
    </x:row>
    <x:row r="42" ht="15" hidden="0" customHeight="1">
      <x:c r="A42" s="25" t="str">
        <x:v>Disaster</x:v>
      </x:c>
      <x:c r="B42" s="25" t="str">
        <x:v>Cycles ONE</x:v>
      </x:c>
      <x:c r="C42" s="25" t="n">
        <x:v>2.6</x:v>
      </x:c>
      <x:c r="D42" s="25" t="str">
        <x:v>HYPOTHÈSE</x:v>
      </x:c>
    </x:row>
    <x:row r="43" ht="15" hidden="0" customHeight="1">
      <x:c r="A43" s="25" t="str">
        <x:v>Disaster</x:v>
      </x:c>
      <x:c r="B43" s="25" t="str">
        <x:v>Payout incidence FLEX</x:v>
      </x:c>
      <x:c r="C43" s="25" t="n">
        <x:v>0.5</x:v>
      </x:c>
      <x:c r="D43" s="25" t="str">
        <x:v>HYPOTHÈSE</x:v>
      </x:c>
    </x:row>
    <x:row r="44" ht="15" hidden="0" customHeight="1">
      <x:c r="A44" s="25" t="str">
        <x:v>Disaster</x:v>
      </x:c>
      <x:c r="B44" s="25" t="str">
        <x:v>Cycles FLEX</x:v>
      </x:c>
      <x:c r="C44" s="25" t="n">
        <x:v>2.6</x:v>
      </x:c>
      <x:c r="D44" s="25" t="str">
        <x:v>HYPOTHÈSE</x:v>
      </x:c>
    </x:row>
    <x:row r="45" ht="15" hidden="0" customHeight="1">
      <x:c r="A45" s="25" t="str">
        <x:v>Disaster</x:v>
      </x:c>
      <x:c r="B45" s="25" t="str">
        <x:v>Payout incidence INSTANT</x:v>
      </x:c>
      <x:c r="C45" s="25" t="n">
        <x:v>0.35</x:v>
      </x:c>
      <x:c r="D45" s="25" t="str">
        <x:v>HYPOTHÈSE</x:v>
      </x:c>
    </x:row>
    <x:row r="46" ht="15" hidden="0" customHeight="1">
      <x:c r="A46" s="25" t="str">
        <x:v>Disaster</x:v>
      </x:c>
      <x:c r="B46" s="25" t="str">
        <x:v>Cycles INSTANT</x:v>
      </x:c>
      <x:c r="C46" s="25" t="n">
        <x:v>2.2</x:v>
      </x:c>
      <x:c r="D46" s="25" t="str">
        <x:v>HYPOTHÈSE</x:v>
      </x:c>
    </x:row>
    <x:row r="47" ht="15" hidden="0" customHeight="1">
      <x:c r="A47" s="25" t="str">
        <x:v>Tous</x:v>
      </x:c>
      <x:c r="B47" s="25" t="str">
        <x:v>XOF par USD planification</x:v>
      </x:c>
      <x:c r="C47" s="25" t="n">
        <x:v>600</x:v>
      </x:c>
      <x:c r="D47" s="25" t="str">
        <x:v>HYPOTHÈSE</x:v>
      </x:c>
    </x:row>
    <x:row r="48" ht="15" hidden="0" customHeight="1">
      <x:c r="A48" s="26" t="str">
        <x:v>Tous</x:v>
      </x:c>
      <x:c r="B48" s="26" t="str">
        <x:v>Reserve coverage</x:v>
      </x:c>
      <x:c r="C48" s="26" t="n">
        <x:v>2.5</x:v>
      </x:c>
      <x:c r="D48" s="26" t="str">
        <x:v>CANDIDAT</x:v>
      </x:c>
    </x:row>
  </x:sheetData>
  <x:conditionalFormatting sqref="A2:D48">
    <x:cfRule type="expression" dxfId="3" priority="1">
      <x:formula>MOD(ROW(),2)=0</x:formula>
    </x:cfRule>
  </x:conditionalFormatting>
  <x:conditionalFormatting sqref="D2:D48">
    <x:cfRule type="expression" dxfId="4" priority="2">
      <x:formula>D2="HYPOTHÈSE"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109999656677246" hidden="0" customWidth="1"/>
    <x:col min="2" max="2" width="18" hidden="0" customWidth="1"/>
    <x:col min="3" max="3" width="42" hidden="0" customWidth="1"/>
    <x:col min="4" max="4" width="15.670000076293945" hidden="0" customWidth="1"/>
    <x:col min="5" max="5" width="16.219999313354492" hidden="0" customWidth="1"/>
    <x:col min="6" max="6" width="18" hidden="0" customWidth="1"/>
    <x:col min="7" max="7" width="18" hidden="0" customWidth="1"/>
    <x:col min="8" max="8" width="18" hidden="0" customWidth="1"/>
    <x:col min="9" max="9" width="10.220000267028809" hidden="0" customWidth="1"/>
    <x:col min="10" max="10" width="42" hidden="0" customWidth="1"/>
    <x:col min="11" max="11" width="42" hidden="0" customWidth="1"/>
  </x:cols>
  <x:sheetData>
    <x:row r="1" ht="15" hidden="0" customHeight="1">
      <x:c r="A1" s="22" t="str">
        <x:v>Pays</x:v>
      </x:c>
      <x:c r="B1" s="22" t="str">
        <x:v>Audience_Facebook_fin_2025</x:v>
      </x:c>
      <x:c r="C1" s="22" t="str">
        <x:v>Source_audience</x:v>
      </x:c>
      <x:c r="D1" s="22" t="str">
        <x:v>CAC_ONE_Base_XOF</x:v>
      </x:c>
      <x:c r="E1" s="22" t="str">
        <x:v>CAC_FLEX_Base_XOF</x:v>
      </x:c>
      <x:c r="F1" s="22" t="str">
        <x:v>CAC_INSTANT_Base_XOF</x:v>
      </x:c>
      <x:c r="G1" s="22" t="str">
        <x:v>CAC_Stress_multiplicateur</x:v>
      </x:c>
      <x:c r="H1" s="22" t="str">
        <x:v>CAC_Disaster_multiplicateur</x:v>
      </x:c>
      <x:c r="I1" s="22" t="str">
        <x:v>Statut_CAC</x:v>
      </x:c>
      <x:c r="J1" s="22" t="str">
        <x:v>Wave_signal_public</x:v>
      </x:c>
      <x:c r="K1" s="22" t="str">
        <x:v>Condition</x:v>
      </x:c>
      <x:c r="L1" s="7" t="str">
        <x:v>ONE Stress</x:v>
      </x:c>
      <x:c r="M1" s="7" t="str">
        <x:v>FLEX Stress</x:v>
      </x:c>
      <x:c r="N1" s="7" t="str">
        <x:v>INSTANT Stress</x:v>
      </x:c>
      <x:c r="O1" s="7" t="str">
        <x:v>ONE Disaster</x:v>
      </x:c>
      <x:c r="P1" s="7" t="str">
        <x:v>FLEX Disaster</x:v>
      </x:c>
      <x:c r="Q1" s="7" t="str">
        <x:v>INSTANT Disaster</x:v>
      </x:c>
    </x:row>
    <x:row r="2" ht="15" hidden="0" customHeight="1">
      <x:c r="A2" s="25" t="str">
        <x:v>Côte d’Ivoire</x:v>
      </x:c>
      <x:c r="B2" s="25" t="n">
        <x:v>8400000</x:v>
      </x:c>
      <x:c r="C2" s="25" t="str">
        <x:v>https://datareportal.com/reports/digital-2026-cote-divoire</x:v>
      </x:c>
      <x:c r="D2" s="27" t="n">
        <x:v>11000</x:v>
      </x:c>
      <x:c r="E2" s="27" t="n">
        <x:v>7700</x:v>
      </x:c>
      <x:c r="F2" s="27" t="n">
        <x:v>17050</x:v>
      </x:c>
      <x:c r="G2" s="27" t="n">
        <x:v>1.55</x:v>
      </x:c>
      <x:c r="H2" s="27" t="n">
        <x:v>2.4</x:v>
      </x:c>
      <x:c r="I2" s="27" t="str">
        <x:v>HYPOTHÈSE</x:v>
      </x:c>
      <x:c r="J2" s="27" t="str">
        <x:v>CGU pays + Wave Business public</x:v>
      </x:c>
      <x:c r="K2" s="27" t="str">
        <x:v>Test conversion 30 jours; avis legal et contrat PSP</x:v>
      </x:c>
      <x:c r="L2" s="16" t="n">
        <x:f>D2*G2</x:f>
        <x:v>17050</x:v>
      </x:c>
      <x:c r="M2" s="16" t="n">
        <x:f>E2*G2</x:f>
        <x:v>11935</x:v>
      </x:c>
      <x:c r="N2" s="16" t="n">
        <x:f>F2*G2</x:f>
        <x:v>26427.5</x:v>
      </x:c>
      <x:c r="O2" s="16" t="n">
        <x:f>D2*H2</x:f>
        <x:v>26400</x:v>
      </x:c>
      <x:c r="P2" s="16" t="n">
        <x:f>E2*H2</x:f>
        <x:v>18480</x:v>
      </x:c>
      <x:c r="Q2" s="16" t="n">
        <x:f>F2*H2</x:f>
        <x:v>40920</x:v>
      </x:c>
    </x:row>
    <x:row r="3" ht="15" hidden="0" customHeight="1">
      <x:c r="A3" s="25" t="str">
        <x:v>Cameroun</x:v>
      </x:c>
      <x:c r="B3" s="25" t="n">
        <x:v>5900000</x:v>
      </x:c>
      <x:c r="C3" s="25" t="str">
        <x:v>https://datareportal.com/reports/digital-2026-cameroon</x:v>
      </x:c>
      <x:c r="D3" s="27" t="n">
        <x:v>12000</x:v>
      </x:c>
      <x:c r="E3" s="27" t="n">
        <x:v>8400</x:v>
      </x:c>
      <x:c r="F3" s="27" t="n">
        <x:v>18600</x:v>
      </x:c>
      <x:c r="G3" s="27" t="n">
        <x:v>1.55</x:v>
      </x:c>
      <x:c r="H3" s="27" t="n">
        <x:v>2.4</x:v>
      </x:c>
      <x:c r="I3" s="27" t="str">
        <x:v>HYPOTHÈSE</x:v>
      </x:c>
      <x:c r="J3" s="27" t="str">
        <x:v>CGU pays; readiness API/payout à confirmer</x:v>
      </x:c>
      <x:c r="K3" s="27" t="str">
        <x:v>Test conversion 30 jours; fiscalité et payout transfrontalier</x:v>
      </x:c>
      <x:c r="L3" s="16" t="n">
        <x:f>D3*G3</x:f>
        <x:v>18600</x:v>
      </x:c>
      <x:c r="M3" s="16" t="n">
        <x:f>E3*G3</x:f>
        <x:v>13020</x:v>
      </x:c>
      <x:c r="N3" s="16" t="n">
        <x:f>F3*G3</x:f>
        <x:v>28830</x:v>
      </x:c>
      <x:c r="O3" s="16" t="n">
        <x:f>D3*H3</x:f>
        <x:v>28800</x:v>
      </x:c>
      <x:c r="P3" s="16" t="n">
        <x:f>E3*H3</x:f>
        <x:v>20160</x:v>
      </x:c>
      <x:c r="Q3" s="16" t="n">
        <x:f>F3*H3</x:f>
        <x:v>44640</x:v>
      </x:c>
    </x:row>
    <x:row r="4" ht="15" hidden="0" customHeight="1">
      <x:c r="A4" s="25" t="str">
        <x:v>Sénégal</x:v>
      </x:c>
      <x:c r="B4" s="25" t="n">
        <x:v>3600000</x:v>
      </x:c>
      <x:c r="C4" s="25" t="str">
        <x:v>https://datareportal.com/reports/digital-2026-senegal</x:v>
      </x:c>
      <x:c r="D4" s="27" t="n">
        <x:v>15000</x:v>
      </x:c>
      <x:c r="E4" s="27" t="n">
        <x:v>10500</x:v>
      </x:c>
      <x:c r="F4" s="27" t="n">
        <x:v>23250</x:v>
      </x:c>
      <x:c r="G4" s="27" t="n">
        <x:v>1.55</x:v>
      </x:c>
      <x:c r="H4" s="27" t="n">
        <x:v>2.4</x:v>
      </x:c>
      <x:c r="I4" s="27" t="str">
        <x:v>HYPOTHÈSE</x:v>
      </x:c>
      <x:c r="J4" s="27" t="str">
        <x:v>Wave Business et APIs publics</x:v>
      </x:c>
      <x:c r="K4" s="27" t="str">
        <x:v>Pilote prioritaire; contrôle disponibilité payout et limites</x:v>
      </x:c>
      <x:c r="L4" s="16" t="n">
        <x:f>D4*G4</x:f>
        <x:v>23250</x:v>
      </x:c>
      <x:c r="M4" s="16" t="n">
        <x:f>E4*G4</x:f>
        <x:v>16275</x:v>
      </x:c>
      <x:c r="N4" s="16" t="n">
        <x:f>F4*G4</x:f>
        <x:v>36037.5</x:v>
      </x:c>
      <x:c r="O4" s="16" t="n">
        <x:f>D4*H4</x:f>
        <x:v>36000</x:v>
      </x:c>
      <x:c r="P4" s="16" t="n">
        <x:f>E4*H4</x:f>
        <x:v>25200</x:v>
      </x:c>
      <x:c r="Q4" s="16" t="n">
        <x:f>F4*H4</x:f>
        <x:v>55800</x:v>
      </x:c>
    </x:row>
    <x:row r="5" ht="15" hidden="0" customHeight="1">
      <x:c r="A5" s="25" t="str">
        <x:v>Bénin</x:v>
      </x:c>
      <x:c r="B5" s="25" t="n">
        <x:v>2500000</x:v>
      </x:c>
      <x:c r="C5" s="25" t="str">
        <x:v>https://datareportal.com/reports/digital-2026-benin</x:v>
      </x:c>
      <x:c r="D5" s="27" t="n">
        <x:v>10000</x:v>
      </x:c>
      <x:c r="E5" s="27" t="n">
        <x:v>7000</x:v>
      </x:c>
      <x:c r="F5" s="27" t="n">
        <x:v>15500</x:v>
      </x:c>
      <x:c r="G5" s="27" t="n">
        <x:v>1.55</x:v>
      </x:c>
      <x:c r="H5" s="27" t="n">
        <x:v>2.4</x:v>
      </x:c>
      <x:c r="I5" s="27" t="str">
        <x:v>HYPOTHÈSE</x:v>
      </x:c>
      <x:c r="J5" s="27" t="str">
        <x:v>Non démontré sur la page CGU Wave consultée</x:v>
      </x:c>
      <x:c r="K5" s="27" t="str">
        <x:v>PSP agréé local requis; ne pas promettre Wave</x:v>
      </x:c>
      <x:c r="L5" s="16" t="n">
        <x:f>D5*G5</x:f>
        <x:v>15500</x:v>
      </x:c>
      <x:c r="M5" s="16" t="n">
        <x:f>E5*G5</x:f>
        <x:v>10850</x:v>
      </x:c>
      <x:c r="N5" s="16" t="n">
        <x:f>F5*G5</x:f>
        <x:v>24025</x:v>
      </x:c>
      <x:c r="O5" s="16" t="n">
        <x:f>D5*H5</x:f>
        <x:v>24000</x:v>
      </x:c>
      <x:c r="P5" s="16" t="n">
        <x:f>E5*H5</x:f>
        <x:v>16800</x:v>
      </x:c>
      <x:c r="Q5" s="16" t="n">
        <x:f>F5*H5</x:f>
        <x:v>37200</x:v>
      </x:c>
    </x:row>
    <x:row r="6" ht="15" hidden="0" customHeight="1">
      <x:c r="A6" s="25" t="str">
        <x:v>Burkina Faso</x:v>
      </x:c>
      <x:c r="B6" s="25" t="n">
        <x:v>3900000</x:v>
      </x:c>
      <x:c r="C6" s="25" t="str">
        <x:v>https://datareportal.com/reports/digital-2026-burkina-faso</x:v>
      </x:c>
      <x:c r="D6" s="27" t="n">
        <x:v>11500</x:v>
      </x:c>
      <x:c r="E6" s="27" t="n">
        <x:v>8050</x:v>
      </x:c>
      <x:c r="F6" s="27" t="n">
        <x:v>17825</x:v>
      </x:c>
      <x:c r="G6" s="27" t="n">
        <x:v>1.55</x:v>
      </x:c>
      <x:c r="H6" s="27" t="n">
        <x:v>2.4</x:v>
      </x:c>
      <x:c r="I6" s="27" t="str">
        <x:v>HYPOTHÈSE</x:v>
      </x:c>
      <x:c r="J6" s="27" t="str">
        <x:v>CGU pays; readiness API/payout à confirmer</x:v>
      </x:c>
      <x:c r="K6" s="27" t="str">
        <x:v>PSP agréé local et tests de liquidité</x:v>
      </x:c>
      <x:c r="L6" s="16" t="n">
        <x:f>D6*G6</x:f>
        <x:v>17825</x:v>
      </x:c>
      <x:c r="M6" s="16" t="n">
        <x:f>E6*G6</x:f>
        <x:v>12477.5</x:v>
      </x:c>
      <x:c r="N6" s="16" t="n">
        <x:f>F6*G6</x:f>
        <x:v>27628.75</x:v>
      </x:c>
      <x:c r="O6" s="16" t="n">
        <x:f>D6*H6</x:f>
        <x:v>27600</x:v>
      </x:c>
      <x:c r="P6" s="16" t="n">
        <x:f>E6*H6</x:f>
        <x:v>19320</x:v>
      </x:c>
      <x:c r="Q6" s="16" t="n">
        <x:f>F6*H6</x:f>
        <x:v>42780</x:v>
      </x:c>
    </x:row>
    <x:row r="7" ht="15" hidden="0" customHeight="1">
      <x:c r="A7" s="26" t="str">
        <x:v>Togo</x:v>
      </x:c>
      <x:c r="B7" s="26" t="n">
        <x:v>644000</x:v>
      </x:c>
      <x:c r="C7" s="26" t="str">
        <x:v>https://datareportal.com/reports/digital-2026-togo</x:v>
      </x:c>
      <x:c r="D7" s="28" t="n">
        <x:v>14000</x:v>
      </x:c>
      <x:c r="E7" s="28" t="n">
        <x:v>9800</x:v>
      </x:c>
      <x:c r="F7" s="28" t="n">
        <x:v>21700</x:v>
      </x:c>
      <x:c r="G7" s="28" t="n">
        <x:v>1.55</x:v>
      </x:c>
      <x:c r="H7" s="28" t="n">
        <x:v>2.4</x:v>
      </x:c>
      <x:c r="I7" s="28" t="str">
        <x:v>HYPOTHÈSE</x:v>
      </x:c>
      <x:c r="J7" s="28" t="str">
        <x:v>Non démontré sur la page CGU Wave consultée</x:v>
      </x:c>
      <x:c r="K7" s="28" t="str">
        <x:v>Audience Meta anormale/volatile; pilote organique seulement</x:v>
      </x:c>
      <x:c r="L7" s="16" t="n">
        <x:f>D7*G7</x:f>
        <x:v>21700</x:v>
      </x:c>
      <x:c r="M7" s="16" t="n">
        <x:f>E7*G7</x:f>
        <x:v>15190</x:v>
      </x:c>
      <x:c r="N7" s="16" t="n">
        <x:f>F7*G7</x:f>
        <x:v>33635</x:v>
      </x:c>
      <x:c r="O7" s="16" t="n">
        <x:f>D7*H7</x:f>
        <x:v>33600</x:v>
      </x:c>
      <x:c r="P7" s="16" t="n">
        <x:f>E7*H7</x:f>
        <x:v>23520</x:v>
      </x:c>
      <x:c r="Q7" s="16" t="n">
        <x:f>F7*H7</x:f>
        <x:v>52080</x:v>
      </x:c>
    </x:row>
  </x:sheetData>
  <x:conditionalFormatting sqref="A2:K7">
    <x:cfRule type="expression" dxfId="5" priority="1">
      <x:formula>MOD(ROW(),2)=0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5.889999866485596" hidden="0" customWidth="1"/>
    <x:col min="3" max="3" width="10.109999656677246" hidden="0" customWidth="1"/>
    <x:col min="4" max="4" width="6.78000020980835" hidden="0" customWidth="1"/>
    <x:col min="5" max="5" width="8.890000343322754" hidden="0" customWidth="1"/>
    <x:col min="6" max="6" width="9.329999923706055" hidden="0" customWidth="1"/>
    <x:col min="7" max="7" width="7.78000020980835" hidden="0" customWidth="1"/>
    <x:col min="8" max="8" width="10.220000267028809" hidden="0" customWidth="1"/>
    <x:col min="9" max="9" width="24" hidden="0" customWidth="1"/>
    <x:col min="10" max="10" width="7.78000020980835" hidden="0" customWidth="1"/>
    <x:col min="11" max="11" width="12.890000343322754" hidden="0" customWidth="1"/>
    <x:col min="12" max="12" width="11.329999923706055" hidden="0" customWidth="1"/>
    <x:col min="13" max="13" width="18" hidden="0" customWidth="1"/>
    <x:col min="14" max="14" width="7.440000057220459" hidden="0" customWidth="1"/>
    <x:col min="15" max="15" width="11.109999656677246" hidden="0" customWidth="1"/>
    <x:col min="16" max="16" width="24" hidden="0" customWidth="1"/>
    <x:col min="17" max="17" width="17.219999313354492" hidden="0" customWidth="1"/>
    <x:col min="18" max="18" width="9.5600004196167" hidden="0" customWidth="1"/>
    <x:col min="19" max="19" width="12.5600004196167" hidden="0" customWidth="1"/>
    <x:col min="20" max="20" width="18" hidden="0" customWidth="1"/>
    <x:col min="21" max="21" width="18" hidden="0" customWidth="1"/>
    <x:col min="22" max="22" width="17.780000686645508" hidden="0" customWidth="1"/>
    <x:col min="23" max="23" width="15.329999923706055" hidden="0" customWidth="1"/>
    <x:col min="24" max="24" width="13.329999923706055" hidden="0" customWidth="1"/>
    <x:col min="25" max="25" width="7.440000057220459" hidden="0" customWidth="1"/>
    <x:col min="26" max="26" width="18" hidden="0" customWidth="1"/>
    <x:col min="27" max="27" width="18" hidden="0" customWidth="1"/>
    <x:col min="28" max="28" width="18" hidden="0" customWidth="1"/>
    <x:col min="29" max="29" width="10.670000076293945" hidden="0" customWidth="1"/>
    <x:col min="30" max="30" width="16.440000534057617" hidden="0" customWidth="1"/>
    <x:col min="31" max="31" width="12.779999732971191" hidden="0" customWidth="1"/>
    <x:col min="32" max="32" width="18" hidden="0" customWidth="1"/>
    <x:col min="33" max="33" width="18" hidden="0" customWidth="1"/>
    <x:col min="34" max="34" width="12.109999656677246" hidden="0" customWidth="1"/>
  </x:cols>
  <x:sheetData>
    <x:row r="1" ht="15" hidden="0" customHeight="1">
      <x:c r="A1" s="22" t="str">
        <x:v>Produit</x:v>
      </x:c>
      <x:c r="B1" s="22" t="str">
        <x:v>Taille_K</x:v>
      </x:c>
      <x:c r="C1" s="22" t="str">
        <x:v>Pays</x:v>
      </x:c>
      <x:c r="D1" s="22" t="str">
        <x:v>Scénario</x:v>
      </x:c>
      <x:c r="E1" s="22" t="str">
        <x:v>Target_ONE</x:v>
      </x:c>
      <x:c r="F1" s="22" t="str">
        <x:v>Target_FLEX</x:v>
      </x:c>
      <x:c r="G1" s="22" t="str">
        <x:v>Buffer_pct</x:v>
      </x:c>
      <x:c r="H1" s="22" t="str">
        <x:v>Best_Day_pct</x:v>
      </x:c>
      <x:c r="I1" s="22" t="str">
        <x:v>Leverage</x:v>
      </x:c>
      <x:c r="J1" s="22" t="str">
        <x:v>Cap_scale</x:v>
      </x:c>
      <x:c r="K1" s="22" t="str">
        <x:v>Prix_upfront_XOF</x:v>
      </x:c>
      <x:c r="L1" s="22" t="str">
        <x:v>Activation_XOF</x:v>
      </x:c>
      <x:c r="M1" s="22" t="str">
        <x:v>Prix_total_si_succès_XOF</x:v>
      </x:c>
      <x:c r="N1" s="22" t="str">
        <x:v>Pass_rate</x:v>
      </x:c>
      <x:c r="O1" s="22" t="str">
        <x:v>Activation_rate</x:v>
      </x:c>
      <x:c r="P1" s="22" t="str">
        <x:v>Performance_entry_rate</x:v>
      </x:c>
      <x:c r="Q1" s="22" t="str">
        <x:v>Payout_incidence_cond</x:v>
      </x:c>
      <x:c r="R1" s="22" t="str">
        <x:v>Cycles_cond</x:v>
      </x:c>
      <x:c r="S1" s="22" t="str">
        <x:v>CA_attendu_XOF</x:v>
      </x:c>
      <x:c r="T1" s="22" t="str">
        <x:v>Frais_encaissement_XOF</x:v>
      </x:c>
      <x:c r="U1" s="22" t="str">
        <x:v>Fraude_chargeback_XOF</x:v>
      </x:c>
      <x:c r="V1" s="22" t="str">
        <x:v>Support_infra_KYC_XOF</x:v>
      </x:c>
      <x:c r="W1" s="22" t="str">
        <x:v>Payout_attendu_XOF</x:v>
      </x:c>
      <x:c r="X1" s="22" t="str">
        <x:v>Frais_payout_XOF</x:v>
      </x:c>
      <x:c r="Y1" s="22" t="str">
        <x:v>CAC_XOF</x:v>
      </x:c>
      <x:c r="Z1" s="22" t="str">
        <x:v>LTV_contribution_avant_CAC_XOF</x:v>
      </x:c>
      <x:c r="AA1" s="22" t="str">
        <x:v>Contribution_après_CAC_XOF</x:v>
      </x:c>
      <x:c r="AB1" s="22" t="str">
        <x:v>Contribution_margin_pct</x:v>
      </x:c>
      <x:c r="AC1" s="22" t="str">
        <x:v>LTV_sur_CAC</x:v>
      </x:c>
      <x:c r="AD1" s="22" t="str">
        <x:v>Break_even_CAC_XOF</x:v>
      </x:c>
      <x:c r="AE1" s="22" t="str">
        <x:v>Réserve_30j_XOF</x:v>
      </x:c>
      <x:c r="AF1" s="22" t="str">
        <x:v>Réserve_requise_2_5x_XOF</x:v>
      </x:c>
      <x:c r="AG1" s="22" t="str">
        <x:v>Coverage_autofinancé_x</x:v>
      </x:c>
      <x:c r="AH1" s="22" t="str">
        <x:v>Cap1_sur_prix_x</x:v>
      </x:c>
      <x:c r="AI1" s="7" t="str">
        <x:v>Contribution check</x:v>
      </x:c>
      <x:c r="AJ1" s="7" t="str">
        <x:v>CM check</x:v>
      </x:c>
      <x:c r="AK1" s="7" t="str">
        <x:v>LTV/CAC check</x:v>
      </x:c>
    </x:row>
    <x:row r="2" ht="15" hidden="0" customHeight="1">
      <x:c r="A2" s="25" t="str">
        <x:v>ONE</x:v>
      </x:c>
      <x:c r="B2" s="25" t="n">
        <x:v>5</x:v>
      </x:c>
      <x:c r="C2" s="25" t="str">
        <x:v>Côte d’Ivoire</x:v>
      </x:c>
      <x:c r="D2" s="25" t="str">
        <x:v>Base</x:v>
      </x:c>
      <x:c r="E2" s="25" t="n">
        <x:v>8</x:v>
      </x:c>
      <x:c r="F2" s="25" t="n">
        <x:v>4</x:v>
      </x:c>
      <x:c r="G2" s="25" t="n">
        <x:v>2</x:v>
      </x:c>
      <x:c r="H2" s="25" t="n">
        <x:v>35</x:v>
      </x:c>
      <x:c r="I2" s="25" t="str">
        <x:v>Équilibré</x:v>
      </x:c>
      <x:c r="J2" s="25" t="n">
        <x:v>1</x:v>
      </x:c>
      <x:c r="K2" s="25" t="n">
        <x:v>19900</x:v>
      </x:c>
      <x:c r="L2" s="25" t="n">
        <x:v>0</x:v>
      </x:c>
      <x:c r="M2" s="25" t="n">
        <x:v>19900</x:v>
      </x:c>
      <x:c r="N2" s="25" t="n">
        <x:v>0.08</x:v>
      </x:c>
      <x:c r="O2" s="25" t="n">
        <x:v>1</x:v>
      </x:c>
      <x:c r="P2" s="25" t="n">
        <x:v>0.08</x:v>
      </x:c>
      <x:c r="Q2" s="25" t="n">
        <x:v>0.198</x:v>
      </x:c>
      <x:c r="R2" s="25" t="n">
        <x:v>1.3</x:v>
      </x:c>
      <x:c r="S2" s="25" t="n">
        <x:v>19900</x:v>
      </x:c>
      <x:c r="T2" s="25" t="n">
        <x:v>796</x:v>
      </x:c>
      <x:c r="U2" s="25" t="n">
        <x:v>238.8</x:v>
      </x:c>
      <x:c r="V2" s="25" t="n">
        <x:v>2402.4</x:v>
      </x:c>
      <x:c r="W2" s="25" t="n">
        <x:v>574.0416</x:v>
      </x:c>
      <x:c r="X2" s="25" t="n">
        <x:v>5.740416000000001</x:v>
      </x:c>
      <x:c r="Y2" s="25" t="n">
        <x:v>11000</x:v>
      </x:c>
      <x:c r="Z2" s="25" t="n">
        <x:v>15883.017983999998</x:v>
      </x:c>
      <x:c r="AA2" s="25" t="n">
        <x:v>4883.017983999998</x:v>
      </x:c>
      <x:c r="AB2" s="25" t="n">
        <x:v>0.24537778814070343</x:v>
      </x:c>
      <x:c r="AC2" s="25" t="n">
        <x:v>1.4439107258181816</x:v>
      </x:c>
      <x:c r="AD2" s="25" t="n">
        <x:v>15883.017983999998</x:v>
      </x:c>
      <x:c r="AE2" s="25" t="n">
        <x:v>315.72288000000003</x:v>
      </x:c>
      <x:c r="AF2" s="25" t="n">
        <x:v>789.3072000000001</x:v>
      </x:c>
      <x:c r="AG2" s="25" t="n">
        <x:v>17.302515421118667</x:v>
      </x:c>
      <x:c r="AH2" s="25" t="n">
        <x:v>7.5376884422110555</x:v>
      </x:c>
      <x:c r="AI2" t="n">
        <x:f>Z2-Y2</x:f>
        <x:v>4883.017983999998</x:v>
      </x:c>
      <x:c r="AJ2" t="n">
        <x:f>AA2/S2</x:f>
        <x:v>0.24537778814070343</x:v>
      </x:c>
      <x:c r="AK2" t="n">
        <x:f>Z2/Y2</x:f>
        <x:v>1.4439107258181816</x:v>
      </x:c>
    </x:row>
    <x:row r="3" ht="15" hidden="0" customHeight="1">
      <x:c r="A3" s="25" t="str">
        <x:v>ONE</x:v>
      </x:c>
      <x:c r="B3" s="25" t="n">
        <x:v>5</x:v>
      </x:c>
      <x:c r="C3" s="25" t="str">
        <x:v>Cameroun</x:v>
      </x:c>
      <x:c r="D3" s="25" t="str">
        <x:v>Base</x:v>
      </x:c>
      <x:c r="E3" s="25" t="n">
        <x:v>8</x:v>
      </x:c>
      <x:c r="F3" s="25" t="n">
        <x:v>4</x:v>
      </x:c>
      <x:c r="G3" s="25" t="n">
        <x:v>2</x:v>
      </x:c>
      <x:c r="H3" s="25" t="n">
        <x:v>35</x:v>
      </x:c>
      <x:c r="I3" s="25" t="str">
        <x:v>Équilibré</x:v>
      </x:c>
      <x:c r="J3" s="25" t="n">
        <x:v>1</x:v>
      </x:c>
      <x:c r="K3" s="25" t="n">
        <x:v>19900</x:v>
      </x:c>
      <x:c r="L3" s="25" t="n">
        <x:v>0</x:v>
      </x:c>
      <x:c r="M3" s="25" t="n">
        <x:v>19900</x:v>
      </x:c>
      <x:c r="N3" s="25" t="n">
        <x:v>0.08</x:v>
      </x:c>
      <x:c r="O3" s="25" t="n">
        <x:v>1</x:v>
      </x:c>
      <x:c r="P3" s="25" t="n">
        <x:v>0.08</x:v>
      </x:c>
      <x:c r="Q3" s="25" t="n">
        <x:v>0.198</x:v>
      </x:c>
      <x:c r="R3" s="25" t="n">
        <x:v>1.3</x:v>
      </x:c>
      <x:c r="S3" s="25" t="n">
        <x:v>19900</x:v>
      </x:c>
      <x:c r="T3" s="25" t="n">
        <x:v>796</x:v>
      </x:c>
      <x:c r="U3" s="25" t="n">
        <x:v>238.8</x:v>
      </x:c>
      <x:c r="V3" s="25" t="n">
        <x:v>2402.4</x:v>
      </x:c>
      <x:c r="W3" s="25" t="n">
        <x:v>574.0416</x:v>
      </x:c>
      <x:c r="X3" s="25" t="n">
        <x:v>5.740416000000001</x:v>
      </x:c>
      <x:c r="Y3" s="25" t="n">
        <x:v>12000</x:v>
      </x:c>
      <x:c r="Z3" s="25" t="n">
        <x:v>15883.017983999998</x:v>
      </x:c>
      <x:c r="AA3" s="25" t="n">
        <x:v>3883.0179839999983</x:v>
      </x:c>
      <x:c r="AB3" s="25" t="n">
        <x:v>0.1951265318592964</x:v>
      </x:c>
      <x:c r="AC3" s="25" t="n">
        <x:v>1.3235848319999999</x:v>
      </x:c>
      <x:c r="AD3" s="25" t="n">
        <x:v>15883.017983999998</x:v>
      </x:c>
      <x:c r="AE3" s="25" t="n">
        <x:v>315.72288000000003</x:v>
      </x:c>
      <x:c r="AF3" s="25" t="n">
        <x:v>789.3072000000001</x:v>
      </x:c>
      <x:c r="AG3" s="25" t="n">
        <x:v>14.13518082693278</x:v>
      </x:c>
      <x:c r="AH3" s="25" t="n">
        <x:v>7.5376884422110555</x:v>
      </x:c>
      <x:c r="AI3" t="n">
        <x:f>Z3-Y3</x:f>
        <x:v>3883.0179839999983</x:v>
      </x:c>
      <x:c r="AJ3" t="n">
        <x:f>AA3/S3</x:f>
        <x:v>0.1951265318592964</x:v>
      </x:c>
      <x:c r="AK3" t="n">
        <x:f>Z3/Y3</x:f>
        <x:v>1.3235848319999999</x:v>
      </x:c>
    </x:row>
    <x:row r="4" ht="15" hidden="0" customHeight="1">
      <x:c r="A4" s="25" t="str">
        <x:v>ONE</x:v>
      </x:c>
      <x:c r="B4" s="25" t="n">
        <x:v>5</x:v>
      </x:c>
      <x:c r="C4" s="25" t="str">
        <x:v>Sénégal</x:v>
      </x:c>
      <x:c r="D4" s="25" t="str">
        <x:v>Base</x:v>
      </x:c>
      <x:c r="E4" s="25" t="n">
        <x:v>8</x:v>
      </x:c>
      <x:c r="F4" s="25" t="n">
        <x:v>4</x:v>
      </x:c>
      <x:c r="G4" s="25" t="n">
        <x:v>2</x:v>
      </x:c>
      <x:c r="H4" s="25" t="n">
        <x:v>35</x:v>
      </x:c>
      <x:c r="I4" s="25" t="str">
        <x:v>Équilibré</x:v>
      </x:c>
      <x:c r="J4" s="25" t="n">
        <x:v>1</x:v>
      </x:c>
      <x:c r="K4" s="25" t="n">
        <x:v>19900</x:v>
      </x:c>
      <x:c r="L4" s="25" t="n">
        <x:v>0</x:v>
      </x:c>
      <x:c r="M4" s="25" t="n">
        <x:v>19900</x:v>
      </x:c>
      <x:c r="N4" s="25" t="n">
        <x:v>0.08</x:v>
      </x:c>
      <x:c r="O4" s="25" t="n">
        <x:v>1</x:v>
      </x:c>
      <x:c r="P4" s="25" t="n">
        <x:v>0.08</x:v>
      </x:c>
      <x:c r="Q4" s="25" t="n">
        <x:v>0.198</x:v>
      </x:c>
      <x:c r="R4" s="25" t="n">
        <x:v>1.3</x:v>
      </x:c>
      <x:c r="S4" s="25" t="n">
        <x:v>19900</x:v>
      </x:c>
      <x:c r="T4" s="25" t="n">
        <x:v>796</x:v>
      </x:c>
      <x:c r="U4" s="25" t="n">
        <x:v>238.8</x:v>
      </x:c>
      <x:c r="V4" s="25" t="n">
        <x:v>2402.4</x:v>
      </x:c>
      <x:c r="W4" s="25" t="n">
        <x:v>574.0416</x:v>
      </x:c>
      <x:c r="X4" s="25" t="n">
        <x:v>5.740416000000001</x:v>
      </x:c>
      <x:c r="Y4" s="25" t="n">
        <x:v>15000</x:v>
      </x:c>
      <x:c r="Z4" s="25" t="n">
        <x:v>15883.017983999998</x:v>
      </x:c>
      <x:c r="AA4" s="25" t="n">
        <x:v>883.0179839999983</x:v>
      </x:c>
      <x:c r="AB4" s="25" t="n">
        <x:v>0.04437276301507529</x:v>
      </x:c>
      <x:c r="AC4" s="25" t="n">
        <x:v>1.0588678656</x:v>
      </x:c>
      <x:c r="AD4" s="25" t="n">
        <x:v>15883.017983999998</x:v>
      </x:c>
      <x:c r="AE4" s="25" t="n">
        <x:v>315.72288000000003</x:v>
      </x:c>
      <x:c r="AF4" s="25" t="n">
        <x:v>789.3072000000001</x:v>
      </x:c>
      <x:c r="AG4" s="25" t="n">
        <x:v>4.633177044375115</x:v>
      </x:c>
      <x:c r="AH4" s="25" t="n">
        <x:v>7.5376884422110555</x:v>
      </x:c>
      <x:c r="AI4" t="n">
        <x:f>Z4-Y4</x:f>
        <x:v>883.0179839999983</x:v>
      </x:c>
      <x:c r="AJ4" t="n">
        <x:f>AA4/S4</x:f>
        <x:v>0.04437276301507529</x:v>
      </x:c>
      <x:c r="AK4" t="n">
        <x:f>Z4/Y4</x:f>
        <x:v>1.0588678656</x:v>
      </x:c>
    </x:row>
    <x:row r="5" ht="15" hidden="0" customHeight="1">
      <x:c r="A5" s="25" t="str">
        <x:v>ONE</x:v>
      </x:c>
      <x:c r="B5" s="25" t="n">
        <x:v>5</x:v>
      </x:c>
      <x:c r="C5" s="25" t="str">
        <x:v>Bénin</x:v>
      </x:c>
      <x:c r="D5" s="25" t="str">
        <x:v>Base</x:v>
      </x:c>
      <x:c r="E5" s="25" t="n">
        <x:v>8</x:v>
      </x:c>
      <x:c r="F5" s="25" t="n">
        <x:v>4</x:v>
      </x:c>
      <x:c r="G5" s="25" t="n">
        <x:v>2</x:v>
      </x:c>
      <x:c r="H5" s="25" t="n">
        <x:v>35</x:v>
      </x:c>
      <x:c r="I5" s="25" t="str">
        <x:v>Équilibré</x:v>
      </x:c>
      <x:c r="J5" s="25" t="n">
        <x:v>1</x:v>
      </x:c>
      <x:c r="K5" s="25" t="n">
        <x:v>19900</x:v>
      </x:c>
      <x:c r="L5" s="25" t="n">
        <x:v>0</x:v>
      </x:c>
      <x:c r="M5" s="25" t="n">
        <x:v>19900</x:v>
      </x:c>
      <x:c r="N5" s="25" t="n">
        <x:v>0.08</x:v>
      </x:c>
      <x:c r="O5" s="25" t="n">
        <x:v>1</x:v>
      </x:c>
      <x:c r="P5" s="25" t="n">
        <x:v>0.08</x:v>
      </x:c>
      <x:c r="Q5" s="25" t="n">
        <x:v>0.198</x:v>
      </x:c>
      <x:c r="R5" s="25" t="n">
        <x:v>1.3</x:v>
      </x:c>
      <x:c r="S5" s="25" t="n">
        <x:v>19900</x:v>
      </x:c>
      <x:c r="T5" s="25" t="n">
        <x:v>796</x:v>
      </x:c>
      <x:c r="U5" s="25" t="n">
        <x:v>238.8</x:v>
      </x:c>
      <x:c r="V5" s="25" t="n">
        <x:v>2402.4</x:v>
      </x:c>
      <x:c r="W5" s="25" t="n">
        <x:v>574.0416</x:v>
      </x:c>
      <x:c r="X5" s="25" t="n">
        <x:v>5.740416000000001</x:v>
      </x:c>
      <x:c r="Y5" s="25" t="n">
        <x:v>10000</x:v>
      </x:c>
      <x:c r="Z5" s="25" t="n">
        <x:v>15883.017983999998</x:v>
      </x:c>
      <x:c r="AA5" s="25" t="n">
        <x:v>5883.017983999998</x:v>
      </x:c>
      <x:c r="AB5" s="25" t="n">
        <x:v>0.29562904442211047</x:v>
      </x:c>
      <x:c r="AC5" s="25" t="n">
        <x:v>1.5883017983999999</x:v>
      </x:c>
      <x:c r="AD5" s="25" t="n">
        <x:v>15883.017983999998</x:v>
      </x:c>
      <x:c r="AE5" s="25" t="n">
        <x:v>315.72288000000003</x:v>
      </x:c>
      <x:c r="AF5" s="25" t="n">
        <x:v>789.3072000000001</x:v>
      </x:c>
      <x:c r="AG5" s="25" t="n">
        <x:v>20.469850015304555</x:v>
      </x:c>
      <x:c r="AH5" s="25" t="n">
        <x:v>7.5376884422110555</x:v>
      </x:c>
      <x:c r="AI5" t="n">
        <x:f>Z5-Y5</x:f>
        <x:v>5883.017983999998</x:v>
      </x:c>
      <x:c r="AJ5" t="n">
        <x:f>AA5/S5</x:f>
        <x:v>0.29562904442211047</x:v>
      </x:c>
      <x:c r="AK5" t="n">
        <x:f>Z5/Y5</x:f>
        <x:v>1.5883017983999999</x:v>
      </x:c>
    </x:row>
    <x:row r="6" ht="15" hidden="0" customHeight="1">
      <x:c r="A6" s="25" t="str">
        <x:v>ONE</x:v>
      </x:c>
      <x:c r="B6" s="25" t="n">
        <x:v>5</x:v>
      </x:c>
      <x:c r="C6" s="25" t="str">
        <x:v>Burkina Faso</x:v>
      </x:c>
      <x:c r="D6" s="25" t="str">
        <x:v>Base</x:v>
      </x:c>
      <x:c r="E6" s="25" t="n">
        <x:v>8</x:v>
      </x:c>
      <x:c r="F6" s="25" t="n">
        <x:v>4</x:v>
      </x:c>
      <x:c r="G6" s="25" t="n">
        <x:v>2</x:v>
      </x:c>
      <x:c r="H6" s="25" t="n">
        <x:v>35</x:v>
      </x:c>
      <x:c r="I6" s="25" t="str">
        <x:v>Équilibré</x:v>
      </x:c>
      <x:c r="J6" s="25" t="n">
        <x:v>1</x:v>
      </x:c>
      <x:c r="K6" s="25" t="n">
        <x:v>19900</x:v>
      </x:c>
      <x:c r="L6" s="25" t="n">
        <x:v>0</x:v>
      </x:c>
      <x:c r="M6" s="25" t="n">
        <x:v>19900</x:v>
      </x:c>
      <x:c r="N6" s="25" t="n">
        <x:v>0.08</x:v>
      </x:c>
      <x:c r="O6" s="25" t="n">
        <x:v>1</x:v>
      </x:c>
      <x:c r="P6" s="25" t="n">
        <x:v>0.08</x:v>
      </x:c>
      <x:c r="Q6" s="25" t="n">
        <x:v>0.198</x:v>
      </x:c>
      <x:c r="R6" s="25" t="n">
        <x:v>1.3</x:v>
      </x:c>
      <x:c r="S6" s="25" t="n">
        <x:v>19900</x:v>
      </x:c>
      <x:c r="T6" s="25" t="n">
        <x:v>796</x:v>
      </x:c>
      <x:c r="U6" s="25" t="n">
        <x:v>238.8</x:v>
      </x:c>
      <x:c r="V6" s="25" t="n">
        <x:v>2402.4</x:v>
      </x:c>
      <x:c r="W6" s="25" t="n">
        <x:v>574.0416</x:v>
      </x:c>
      <x:c r="X6" s="25" t="n">
        <x:v>5.740416000000001</x:v>
      </x:c>
      <x:c r="Y6" s="25" t="n">
        <x:v>11500</x:v>
      </x:c>
      <x:c r="Z6" s="25" t="n">
        <x:v>15883.017983999998</x:v>
      </x:c>
      <x:c r="AA6" s="25" t="n">
        <x:v>4383.017983999998</x:v>
      </x:c>
      <x:c r="AB6" s="25" t="n">
        <x:v>0.22025215999999992</x:v>
      </x:c>
      <x:c r="AC6" s="25" t="n">
        <x:v>1.3811319986086954</x:v>
      </x:c>
      <x:c r="AD6" s="25" t="n">
        <x:v>15883.017983999998</x:v>
      </x:c>
      <x:c r="AE6" s="25" t="n">
        <x:v>315.72288000000003</x:v>
      </x:c>
      <x:c r="AF6" s="25" t="n">
        <x:v>789.3072000000001</x:v>
      </x:c>
      <x:c r="AG6" s="25" t="n">
        <x:v>15.718848124025724</x:v>
      </x:c>
      <x:c r="AH6" s="25" t="n">
        <x:v>7.5376884422110555</x:v>
      </x:c>
      <x:c r="AI6" t="n">
        <x:f>Z6-Y6</x:f>
        <x:v>4383.017983999998</x:v>
      </x:c>
      <x:c r="AJ6" t="n">
        <x:f>AA6/S6</x:f>
        <x:v>0.22025215999999992</x:v>
      </x:c>
      <x:c r="AK6" t="n">
        <x:f>Z6/Y6</x:f>
        <x:v>1.3811319986086954</x:v>
      </x:c>
    </x:row>
    <x:row r="7" ht="15" hidden="0" customHeight="1">
      <x:c r="A7" s="25" t="str">
        <x:v>ONE</x:v>
      </x:c>
      <x:c r="B7" s="25" t="n">
        <x:v>5</x:v>
      </x:c>
      <x:c r="C7" s="25" t="str">
        <x:v>Togo</x:v>
      </x:c>
      <x:c r="D7" s="25" t="str">
        <x:v>Base</x:v>
      </x:c>
      <x:c r="E7" s="25" t="n">
        <x:v>8</x:v>
      </x:c>
      <x:c r="F7" s="25" t="n">
        <x:v>4</x:v>
      </x:c>
      <x:c r="G7" s="25" t="n">
        <x:v>2</x:v>
      </x:c>
      <x:c r="H7" s="25" t="n">
        <x:v>35</x:v>
      </x:c>
      <x:c r="I7" s="25" t="str">
        <x:v>Équilibré</x:v>
      </x:c>
      <x:c r="J7" s="25" t="n">
        <x:v>1</x:v>
      </x:c>
      <x:c r="K7" s="25" t="n">
        <x:v>19900</x:v>
      </x:c>
      <x:c r="L7" s="25" t="n">
        <x:v>0</x:v>
      </x:c>
      <x:c r="M7" s="25" t="n">
        <x:v>19900</x:v>
      </x:c>
      <x:c r="N7" s="25" t="n">
        <x:v>0.08</x:v>
      </x:c>
      <x:c r="O7" s="25" t="n">
        <x:v>1</x:v>
      </x:c>
      <x:c r="P7" s="25" t="n">
        <x:v>0.08</x:v>
      </x:c>
      <x:c r="Q7" s="25" t="n">
        <x:v>0.198</x:v>
      </x:c>
      <x:c r="R7" s="25" t="n">
        <x:v>1.3</x:v>
      </x:c>
      <x:c r="S7" s="25" t="n">
        <x:v>19900</x:v>
      </x:c>
      <x:c r="T7" s="25" t="n">
        <x:v>796</x:v>
      </x:c>
      <x:c r="U7" s="25" t="n">
        <x:v>238.8</x:v>
      </x:c>
      <x:c r="V7" s="25" t="n">
        <x:v>2402.4</x:v>
      </x:c>
      <x:c r="W7" s="25" t="n">
        <x:v>574.0416</x:v>
      </x:c>
      <x:c r="X7" s="25" t="n">
        <x:v>5.740416000000001</x:v>
      </x:c>
      <x:c r="Y7" s="25" t="n">
        <x:v>14000</x:v>
      </x:c>
      <x:c r="Z7" s="25" t="n">
        <x:v>15883.017983999998</x:v>
      </x:c>
      <x:c r="AA7" s="25" t="n">
        <x:v>1883.0179839999983</x:v>
      </x:c>
      <x:c r="AB7" s="25" t="n">
        <x:v>0.09462401929648233</x:v>
      </x:c>
      <x:c r="AC7" s="25" t="n">
        <x:v>1.1345012845714284</x:v>
      </x:c>
      <x:c r="AD7" s="25" t="n">
        <x:v>15883.017983999998</x:v>
      </x:c>
      <x:c r="AE7" s="25" t="n">
        <x:v>315.72288000000003</x:v>
      </x:c>
      <x:c r="AF7" s="25" t="n">
        <x:v>789.3072000000001</x:v>
      </x:c>
      <x:c r="AG7" s="25" t="n">
        <x:v>7.800511638561003</x:v>
      </x:c>
      <x:c r="AH7" s="25" t="n">
        <x:v>7.5376884422110555</x:v>
      </x:c>
      <x:c r="AI7" t="n">
        <x:f>Z7-Y7</x:f>
        <x:v>1883.0179839999983</x:v>
      </x:c>
      <x:c r="AJ7" t="n">
        <x:f>AA7/S7</x:f>
        <x:v>0.09462401929648233</x:v>
      </x:c>
      <x:c r="AK7" t="n">
        <x:f>Z7/Y7</x:f>
        <x:v>1.1345012845714284</x:v>
      </x:c>
    </x:row>
    <x:row r="8" ht="15" hidden="0" customHeight="1">
      <x:c r="A8" s="25" t="str">
        <x:v>ONE</x:v>
      </x:c>
      <x:c r="B8" s="25" t="n">
        <x:v>10</x:v>
      </x:c>
      <x:c r="C8" s="25" t="str">
        <x:v>Côte d’Ivoire</x:v>
      </x:c>
      <x:c r="D8" s="25" t="str">
        <x:v>Base</x:v>
      </x:c>
      <x:c r="E8" s="25" t="n">
        <x:v>8</x:v>
      </x:c>
      <x:c r="F8" s="25" t="n">
        <x:v>4</x:v>
      </x:c>
      <x:c r="G8" s="25" t="n">
        <x:v>2</x:v>
      </x:c>
      <x:c r="H8" s="25" t="n">
        <x:v>35</x:v>
      </x:c>
      <x:c r="I8" s="25" t="str">
        <x:v>Équilibré</x:v>
      </x:c>
      <x:c r="J8" s="25" t="n">
        <x:v>1</x:v>
      </x:c>
      <x:c r="K8" s="25" t="n">
        <x:v>34900</x:v>
      </x:c>
      <x:c r="L8" s="25" t="n">
        <x:v>0</x:v>
      </x:c>
      <x:c r="M8" s="25" t="n">
        <x:v>34900</x:v>
      </x:c>
      <x:c r="N8" s="25" t="n">
        <x:v>0.08</x:v>
      </x:c>
      <x:c r="O8" s="25" t="n">
        <x:v>1</x:v>
      </x:c>
      <x:c r="P8" s="25" t="n">
        <x:v>0.08</x:v>
      </x:c>
      <x:c r="Q8" s="25" t="n">
        <x:v>0.198</x:v>
      </x:c>
      <x:c r="R8" s="25" t="n">
        <x:v>1.3</x:v>
      </x:c>
      <x:c r="S8" s="25" t="n">
        <x:v>34900</x:v>
      </x:c>
      <x:c r="T8" s="25" t="n">
        <x:v>1396</x:v>
      </x:c>
      <x:c r="U8" s="25" t="n">
        <x:v>418.8</x:v>
      </x:c>
      <x:c r="V8" s="25" t="n">
        <x:v>2402.4</x:v>
      </x:c>
      <x:c r="W8" s="25" t="n">
        <x:v>1148.0832</x:v>
      </x:c>
      <x:c r="X8" s="25" t="n">
        <x:v>11.480832000000001</x:v>
      </x:c>
      <x:c r="Y8" s="25" t="n">
        <x:v>11000</x:v>
      </x:c>
      <x:c r="Z8" s="25" t="n">
        <x:v>29523.235967999994</x:v>
      </x:c>
      <x:c r="AA8" s="25" t="n">
        <x:v>18523.235967999994</x:v>
      </x:c>
      <x:c r="AB8" s="25" t="n">
        <x:v>0.5307517469340972</x:v>
      </x:c>
      <x:c r="AC8" s="25" t="n">
        <x:v>2.683930542545454</x:v>
      </x:c>
      <x:c r="AD8" s="25" t="n">
        <x:v>29523.235967999994</x:v>
      </x:c>
      <x:c r="AE8" s="25" t="n">
        <x:v>631.4457600000001</x:v>
      </x:c>
      <x:c r="AF8" s="25" t="n">
        <x:v>1578.6144000000002</x:v>
      </x:c>
      <x:c r="AG8" s="25" t="n">
        <x:v>31.171006675220994</x:v>
      </x:c>
      <x:c r="AH8" s="25" t="n">
        <x:v>6.876790830945558</x:v>
      </x:c>
      <x:c r="AI8" t="n">
        <x:f>Z8-Y8</x:f>
        <x:v>18523.235967999994</x:v>
      </x:c>
      <x:c r="AJ8" t="n">
        <x:f>AA8/S8</x:f>
        <x:v>0.5307517469340972</x:v>
      </x:c>
      <x:c r="AK8" t="n">
        <x:f>Z8/Y8</x:f>
        <x:v>2.683930542545454</x:v>
      </x:c>
    </x:row>
    <x:row r="9" ht="15" hidden="0" customHeight="1">
      <x:c r="A9" s="25" t="str">
        <x:v>ONE</x:v>
      </x:c>
      <x:c r="B9" s="25" t="n">
        <x:v>10</x:v>
      </x:c>
      <x:c r="C9" s="25" t="str">
        <x:v>Cameroun</x:v>
      </x:c>
      <x:c r="D9" s="25" t="str">
        <x:v>Base</x:v>
      </x:c>
      <x:c r="E9" s="25" t="n">
        <x:v>8</x:v>
      </x:c>
      <x:c r="F9" s="25" t="n">
        <x:v>4</x:v>
      </x:c>
      <x:c r="G9" s="25" t="n">
        <x:v>2</x:v>
      </x:c>
      <x:c r="H9" s="25" t="n">
        <x:v>35</x:v>
      </x:c>
      <x:c r="I9" s="25" t="str">
        <x:v>Équilibré</x:v>
      </x:c>
      <x:c r="J9" s="25" t="n">
        <x:v>1</x:v>
      </x:c>
      <x:c r="K9" s="25" t="n">
        <x:v>34900</x:v>
      </x:c>
      <x:c r="L9" s="25" t="n">
        <x:v>0</x:v>
      </x:c>
      <x:c r="M9" s="25" t="n">
        <x:v>34900</x:v>
      </x:c>
      <x:c r="N9" s="25" t="n">
        <x:v>0.08</x:v>
      </x:c>
      <x:c r="O9" s="25" t="n">
        <x:v>1</x:v>
      </x:c>
      <x:c r="P9" s="25" t="n">
        <x:v>0.08</x:v>
      </x:c>
      <x:c r="Q9" s="25" t="n">
        <x:v>0.198</x:v>
      </x:c>
      <x:c r="R9" s="25" t="n">
        <x:v>1.3</x:v>
      </x:c>
      <x:c r="S9" s="25" t="n">
        <x:v>34900</x:v>
      </x:c>
      <x:c r="T9" s="25" t="n">
        <x:v>1396</x:v>
      </x:c>
      <x:c r="U9" s="25" t="n">
        <x:v>418.8</x:v>
      </x:c>
      <x:c r="V9" s="25" t="n">
        <x:v>2402.4</x:v>
      </x:c>
      <x:c r="W9" s="25" t="n">
        <x:v>1148.0832</x:v>
      </x:c>
      <x:c r="X9" s="25" t="n">
        <x:v>11.480832000000001</x:v>
      </x:c>
      <x:c r="Y9" s="25" t="n">
        <x:v>12000</x:v>
      </x:c>
      <x:c r="Z9" s="25" t="n">
        <x:v>29523.235967999994</x:v>
      </x:c>
      <x:c r="AA9" s="25" t="n">
        <x:v>17523.235967999994</x:v>
      </x:c>
      <x:c r="AB9" s="25" t="n">
        <x:v>0.5020984518051574</x:v>
      </x:c>
      <x:c r="AC9" s="25" t="n">
        <x:v>2.4602696639999992</x:v>
      </x:c>
      <x:c r="AD9" s="25" t="n">
        <x:v>29523.235967999994</x:v>
      </x:c>
      <x:c r="AE9" s="25" t="n">
        <x:v>631.4457600000001</x:v>
      </x:c>
      <x:c r="AF9" s="25" t="n">
        <x:v>1578.6144000000002</x:v>
      </x:c>
      <x:c r="AG9" s="25" t="n">
        <x:v>29.58733937812805</x:v>
      </x:c>
      <x:c r="AH9" s="25" t="n">
        <x:v>6.876790830945558</x:v>
      </x:c>
      <x:c r="AI9" t="n">
        <x:f>Z9-Y9</x:f>
        <x:v>17523.235967999994</x:v>
      </x:c>
      <x:c r="AJ9" t="n">
        <x:f>AA9/S9</x:f>
        <x:v>0.5020984518051574</x:v>
      </x:c>
      <x:c r="AK9" t="n">
        <x:f>Z9/Y9</x:f>
        <x:v>2.4602696639999992</x:v>
      </x:c>
    </x:row>
    <x:row r="10" ht="15" hidden="0" customHeight="1">
      <x:c r="A10" s="25" t="str">
        <x:v>ONE</x:v>
      </x:c>
      <x:c r="B10" s="25" t="n">
        <x:v>10</x:v>
      </x:c>
      <x:c r="C10" s="25" t="str">
        <x:v>Sénégal</x:v>
      </x:c>
      <x:c r="D10" s="25" t="str">
        <x:v>Base</x:v>
      </x:c>
      <x:c r="E10" s="25" t="n">
        <x:v>8</x:v>
      </x:c>
      <x:c r="F10" s="25" t="n">
        <x:v>4</x:v>
      </x:c>
      <x:c r="G10" s="25" t="n">
        <x:v>2</x:v>
      </x:c>
      <x:c r="H10" s="25" t="n">
        <x:v>35</x:v>
      </x:c>
      <x:c r="I10" s="25" t="str">
        <x:v>Équilibré</x:v>
      </x:c>
      <x:c r="J10" s="25" t="n">
        <x:v>1</x:v>
      </x:c>
      <x:c r="K10" s="25" t="n">
        <x:v>34900</x:v>
      </x:c>
      <x:c r="L10" s="25" t="n">
        <x:v>0</x:v>
      </x:c>
      <x:c r="M10" s="25" t="n">
        <x:v>34900</x:v>
      </x:c>
      <x:c r="N10" s="25" t="n">
        <x:v>0.08</x:v>
      </x:c>
      <x:c r="O10" s="25" t="n">
        <x:v>1</x:v>
      </x:c>
      <x:c r="P10" s="25" t="n">
        <x:v>0.08</x:v>
      </x:c>
      <x:c r="Q10" s="25" t="n">
        <x:v>0.198</x:v>
      </x:c>
      <x:c r="R10" s="25" t="n">
        <x:v>1.3</x:v>
      </x:c>
      <x:c r="S10" s="25" t="n">
        <x:v>34900</x:v>
      </x:c>
      <x:c r="T10" s="25" t="n">
        <x:v>1396</x:v>
      </x:c>
      <x:c r="U10" s="25" t="n">
        <x:v>418.8</x:v>
      </x:c>
      <x:c r="V10" s="25" t="n">
        <x:v>2402.4</x:v>
      </x:c>
      <x:c r="W10" s="25" t="n">
        <x:v>1148.0832</x:v>
      </x:c>
      <x:c r="X10" s="25" t="n">
        <x:v>11.480832000000001</x:v>
      </x:c>
      <x:c r="Y10" s="25" t="n">
        <x:v>15000</x:v>
      </x:c>
      <x:c r="Z10" s="25" t="n">
        <x:v>29523.235967999994</x:v>
      </x:c>
      <x:c r="AA10" s="25" t="n">
        <x:v>14523.235967999994</x:v>
      </x:c>
      <x:c r="AB10" s="25" t="n">
        <x:v>0.4161385664183379</x:v>
      </x:c>
      <x:c r="AC10" s="25" t="n">
        <x:v>1.9682157311999995</x:v>
      </x:c>
      <x:c r="AD10" s="25" t="n">
        <x:v>29523.235967999994</x:v>
      </x:c>
      <x:c r="AE10" s="25" t="n">
        <x:v>631.4457600000001</x:v>
      </x:c>
      <x:c r="AF10" s="25" t="n">
        <x:v>1578.6144000000002</x:v>
      </x:c>
      <x:c r="AG10" s="25" t="n">
        <x:v>24.836337486849217</x:v>
      </x:c>
      <x:c r="AH10" s="25" t="n">
        <x:v>6.876790830945558</x:v>
      </x:c>
      <x:c r="AI10" t="n">
        <x:f>Z10-Y10</x:f>
        <x:v>14523.235967999994</x:v>
      </x:c>
      <x:c r="AJ10" t="n">
        <x:f>AA10/S10</x:f>
        <x:v>0.4161385664183379</x:v>
      </x:c>
      <x:c r="AK10" t="n">
        <x:f>Z10/Y10</x:f>
        <x:v>1.9682157311999995</x:v>
      </x:c>
    </x:row>
    <x:row r="11" ht="15" hidden="0" customHeight="1">
      <x:c r="A11" s="25" t="str">
        <x:v>ONE</x:v>
      </x:c>
      <x:c r="B11" s="25" t="n">
        <x:v>10</x:v>
      </x:c>
      <x:c r="C11" s="25" t="str">
        <x:v>Bénin</x:v>
      </x:c>
      <x:c r="D11" s="25" t="str">
        <x:v>Base</x:v>
      </x:c>
      <x:c r="E11" s="25" t="n">
        <x:v>8</x:v>
      </x:c>
      <x:c r="F11" s="25" t="n">
        <x:v>4</x:v>
      </x:c>
      <x:c r="G11" s="25" t="n">
        <x:v>2</x:v>
      </x:c>
      <x:c r="H11" s="25" t="n">
        <x:v>35</x:v>
      </x:c>
      <x:c r="I11" s="25" t="str">
        <x:v>Équilibré</x:v>
      </x:c>
      <x:c r="J11" s="25" t="n">
        <x:v>1</x:v>
      </x:c>
      <x:c r="K11" s="25" t="n">
        <x:v>34900</x:v>
      </x:c>
      <x:c r="L11" s="25" t="n">
        <x:v>0</x:v>
      </x:c>
      <x:c r="M11" s="25" t="n">
        <x:v>34900</x:v>
      </x:c>
      <x:c r="N11" s="25" t="n">
        <x:v>0.08</x:v>
      </x:c>
      <x:c r="O11" s="25" t="n">
        <x:v>1</x:v>
      </x:c>
      <x:c r="P11" s="25" t="n">
        <x:v>0.08</x:v>
      </x:c>
      <x:c r="Q11" s="25" t="n">
        <x:v>0.198</x:v>
      </x:c>
      <x:c r="R11" s="25" t="n">
        <x:v>1.3</x:v>
      </x:c>
      <x:c r="S11" s="25" t="n">
        <x:v>34900</x:v>
      </x:c>
      <x:c r="T11" s="25" t="n">
        <x:v>1396</x:v>
      </x:c>
      <x:c r="U11" s="25" t="n">
        <x:v>418.8</x:v>
      </x:c>
      <x:c r="V11" s="25" t="n">
        <x:v>2402.4</x:v>
      </x:c>
      <x:c r="W11" s="25" t="n">
        <x:v>1148.0832</x:v>
      </x:c>
      <x:c r="X11" s="25" t="n">
        <x:v>11.480832000000001</x:v>
      </x:c>
      <x:c r="Y11" s="25" t="n">
        <x:v>10000</x:v>
      </x:c>
      <x:c r="Z11" s="25" t="n">
        <x:v>29523.235967999994</x:v>
      </x:c>
      <x:c r="AA11" s="25" t="n">
        <x:v>19523.235967999994</x:v>
      </x:c>
      <x:c r="AB11" s="25" t="n">
        <x:v>0.5594050420630371</x:v>
      </x:c>
      <x:c r="AC11" s="25" t="n">
        <x:v>2.9523235967999995</x:v>
      </x:c>
      <x:c r="AD11" s="25" t="n">
        <x:v>29523.235967999994</x:v>
      </x:c>
      <x:c r="AE11" s="25" t="n">
        <x:v>631.4457600000001</x:v>
      </x:c>
      <x:c r="AF11" s="25" t="n">
        <x:v>1578.6144000000002</x:v>
      </x:c>
      <x:c r="AG11" s="25" t="n">
        <x:v>32.75467397231394</x:v>
      </x:c>
      <x:c r="AH11" s="25" t="n">
        <x:v>6.876790830945558</x:v>
      </x:c>
      <x:c r="AI11" t="n">
        <x:f>Z11-Y11</x:f>
        <x:v>19523.235967999994</x:v>
      </x:c>
      <x:c r="AJ11" t="n">
        <x:f>AA11/S11</x:f>
        <x:v>0.5594050420630371</x:v>
      </x:c>
      <x:c r="AK11" t="n">
        <x:f>Z11/Y11</x:f>
        <x:v>2.9523235967999995</x:v>
      </x:c>
    </x:row>
    <x:row r="12" ht="15" hidden="0" customHeight="1">
      <x:c r="A12" s="25" t="str">
        <x:v>ONE</x:v>
      </x:c>
      <x:c r="B12" s="25" t="n">
        <x:v>10</x:v>
      </x:c>
      <x:c r="C12" s="25" t="str">
        <x:v>Burkina Faso</x:v>
      </x:c>
      <x:c r="D12" s="25" t="str">
        <x:v>Base</x:v>
      </x:c>
      <x:c r="E12" s="25" t="n">
        <x:v>8</x:v>
      </x:c>
      <x:c r="F12" s="25" t="n">
        <x:v>4</x:v>
      </x:c>
      <x:c r="G12" s="25" t="n">
        <x:v>2</x:v>
      </x:c>
      <x:c r="H12" s="25" t="n">
        <x:v>35</x:v>
      </x:c>
      <x:c r="I12" s="25" t="str">
        <x:v>Équilibré</x:v>
      </x:c>
      <x:c r="J12" s="25" t="n">
        <x:v>1</x:v>
      </x:c>
      <x:c r="K12" s="25" t="n">
        <x:v>34900</x:v>
      </x:c>
      <x:c r="L12" s="25" t="n">
        <x:v>0</x:v>
      </x:c>
      <x:c r="M12" s="25" t="n">
        <x:v>34900</x:v>
      </x:c>
      <x:c r="N12" s="25" t="n">
        <x:v>0.08</x:v>
      </x:c>
      <x:c r="O12" s="25" t="n">
        <x:v>1</x:v>
      </x:c>
      <x:c r="P12" s="25" t="n">
        <x:v>0.08</x:v>
      </x:c>
      <x:c r="Q12" s="25" t="n">
        <x:v>0.198</x:v>
      </x:c>
      <x:c r="R12" s="25" t="n">
        <x:v>1.3</x:v>
      </x:c>
      <x:c r="S12" s="25" t="n">
        <x:v>34900</x:v>
      </x:c>
      <x:c r="T12" s="25" t="n">
        <x:v>1396</x:v>
      </x:c>
      <x:c r="U12" s="25" t="n">
        <x:v>418.8</x:v>
      </x:c>
      <x:c r="V12" s="25" t="n">
        <x:v>2402.4</x:v>
      </x:c>
      <x:c r="W12" s="25" t="n">
        <x:v>1148.0832</x:v>
      </x:c>
      <x:c r="X12" s="25" t="n">
        <x:v>11.480832000000001</x:v>
      </x:c>
      <x:c r="Y12" s="25" t="n">
        <x:v>11500</x:v>
      </x:c>
      <x:c r="Z12" s="25" t="n">
        <x:v>29523.235967999994</x:v>
      </x:c>
      <x:c r="AA12" s="25" t="n">
        <x:v>18023.235967999994</x:v>
      </x:c>
      <x:c r="AB12" s="25" t="n">
        <x:v>0.5164250993696273</x:v>
      </x:c>
      <x:c r="AC12" s="25" t="n">
        <x:v>2.567237910260869</x:v>
      </x:c>
      <x:c r="AD12" s="25" t="n">
        <x:v>29523.235967999994</x:v>
      </x:c>
      <x:c r="AE12" s="25" t="n">
        <x:v>631.4457600000001</x:v>
      </x:c>
      <x:c r="AF12" s="25" t="n">
        <x:v>1578.6144000000002</x:v>
      </x:c>
      <x:c r="AG12" s="25" t="n">
        <x:v>30.379173026674522</x:v>
      </x:c>
      <x:c r="AH12" s="25" t="n">
        <x:v>6.876790830945558</x:v>
      </x:c>
      <x:c r="AI12" t="n">
        <x:f>Z12-Y12</x:f>
        <x:v>18023.235967999994</x:v>
      </x:c>
      <x:c r="AJ12" t="n">
        <x:f>AA12/S12</x:f>
        <x:v>0.5164250993696273</x:v>
      </x:c>
      <x:c r="AK12" t="n">
        <x:f>Z12/Y12</x:f>
        <x:v>2.567237910260869</x:v>
      </x:c>
    </x:row>
    <x:row r="13" ht="15" hidden="0" customHeight="1">
      <x:c r="A13" s="25" t="str">
        <x:v>ONE</x:v>
      </x:c>
      <x:c r="B13" s="25" t="n">
        <x:v>10</x:v>
      </x:c>
      <x:c r="C13" s="25" t="str">
        <x:v>Togo</x:v>
      </x:c>
      <x:c r="D13" s="25" t="str">
        <x:v>Base</x:v>
      </x:c>
      <x:c r="E13" s="25" t="n">
        <x:v>8</x:v>
      </x:c>
      <x:c r="F13" s="25" t="n">
        <x:v>4</x:v>
      </x:c>
      <x:c r="G13" s="25" t="n">
        <x:v>2</x:v>
      </x:c>
      <x:c r="H13" s="25" t="n">
        <x:v>35</x:v>
      </x:c>
      <x:c r="I13" s="25" t="str">
        <x:v>Équilibré</x:v>
      </x:c>
      <x:c r="J13" s="25" t="n">
        <x:v>1</x:v>
      </x:c>
      <x:c r="K13" s="25" t="n">
        <x:v>34900</x:v>
      </x:c>
      <x:c r="L13" s="25" t="n">
        <x:v>0</x:v>
      </x:c>
      <x:c r="M13" s="25" t="n">
        <x:v>34900</x:v>
      </x:c>
      <x:c r="N13" s="25" t="n">
        <x:v>0.08</x:v>
      </x:c>
      <x:c r="O13" s="25" t="n">
        <x:v>1</x:v>
      </x:c>
      <x:c r="P13" s="25" t="n">
        <x:v>0.08</x:v>
      </x:c>
      <x:c r="Q13" s="25" t="n">
        <x:v>0.198</x:v>
      </x:c>
      <x:c r="R13" s="25" t="n">
        <x:v>1.3</x:v>
      </x:c>
      <x:c r="S13" s="25" t="n">
        <x:v>34900</x:v>
      </x:c>
      <x:c r="T13" s="25" t="n">
        <x:v>1396</x:v>
      </x:c>
      <x:c r="U13" s="25" t="n">
        <x:v>418.8</x:v>
      </x:c>
      <x:c r="V13" s="25" t="n">
        <x:v>2402.4</x:v>
      </x:c>
      <x:c r="W13" s="25" t="n">
        <x:v>1148.0832</x:v>
      </x:c>
      <x:c r="X13" s="25" t="n">
        <x:v>11.480832000000001</x:v>
      </x:c>
      <x:c r="Y13" s="25" t="n">
        <x:v>14000</x:v>
      </x:c>
      <x:c r="Z13" s="25" t="n">
        <x:v>29523.235967999994</x:v>
      </x:c>
      <x:c r="AA13" s="25" t="n">
        <x:v>15523.235967999994</x:v>
      </x:c>
      <x:c r="AB13" s="25" t="n">
        <x:v>0.44479186154727773</x:v>
      </x:c>
      <x:c r="AC13" s="25" t="n">
        <x:v>2.1088025691428567</x:v>
      </x:c>
      <x:c r="AD13" s="25" t="n">
        <x:v>29523.235967999994</x:v>
      </x:c>
      <x:c r="AE13" s="25" t="n">
        <x:v>631.4457600000001</x:v>
      </x:c>
      <x:c r="AF13" s="25" t="n">
        <x:v>1578.6144000000002</x:v>
      </x:c>
      <x:c r="AG13" s="25" t="n">
        <x:v>26.42000478394216</x:v>
      </x:c>
      <x:c r="AH13" s="25" t="n">
        <x:v>6.876790830945558</x:v>
      </x:c>
      <x:c r="AI13" t="n">
        <x:f>Z13-Y13</x:f>
        <x:v>15523.235967999994</x:v>
      </x:c>
      <x:c r="AJ13" t="n">
        <x:f>AA13/S13</x:f>
        <x:v>0.44479186154727773</x:v>
      </x:c>
      <x:c r="AK13" t="n">
        <x:f>Z13/Y13</x:f>
        <x:v>2.1088025691428567</x:v>
      </x:c>
    </x:row>
    <x:row r="14" ht="15" hidden="0" customHeight="1">
      <x:c r="A14" s="25" t="str">
        <x:v>ONE</x:v>
      </x:c>
      <x:c r="B14" s="25" t="n">
        <x:v>25</x:v>
      </x:c>
      <x:c r="C14" s="25" t="str">
        <x:v>Côte d’Ivoire</x:v>
      </x:c>
      <x:c r="D14" s="25" t="str">
        <x:v>Base</x:v>
      </x:c>
      <x:c r="E14" s="25" t="n">
        <x:v>8</x:v>
      </x:c>
      <x:c r="F14" s="25" t="n">
        <x:v>4</x:v>
      </x:c>
      <x:c r="G14" s="25" t="n">
        <x:v>2</x:v>
      </x:c>
      <x:c r="H14" s="25" t="n">
        <x:v>35</x:v>
      </x:c>
      <x:c r="I14" s="25" t="str">
        <x:v>Équilibré</x:v>
      </x:c>
      <x:c r="J14" s="25" t="n">
        <x:v>1</x:v>
      </x:c>
      <x:c r="K14" s="25" t="n">
        <x:v>69900</x:v>
      </x:c>
      <x:c r="L14" s="25" t="n">
        <x:v>0</x:v>
      </x:c>
      <x:c r="M14" s="25" t="n">
        <x:v>69900</x:v>
      </x:c>
      <x:c r="N14" s="25" t="n">
        <x:v>0.08</x:v>
      </x:c>
      <x:c r="O14" s="25" t="n">
        <x:v>1</x:v>
      </x:c>
      <x:c r="P14" s="25" t="n">
        <x:v>0.08</x:v>
      </x:c>
      <x:c r="Q14" s="25" t="n">
        <x:v>0.198</x:v>
      </x:c>
      <x:c r="R14" s="25" t="n">
        <x:v>1.3</x:v>
      </x:c>
      <x:c r="S14" s="25" t="n">
        <x:v>69900</x:v>
      </x:c>
      <x:c r="T14" s="25" t="n">
        <x:v>2796</x:v>
      </x:c>
      <x:c r="U14" s="25" t="n">
        <x:v>838.8000000000001</x:v>
      </x:c>
      <x:c r="V14" s="25" t="n">
        <x:v>2402.4</x:v>
      </x:c>
      <x:c r="W14" s="25" t="n">
        <x:v>2870.208</x:v>
      </x:c>
      <x:c r="X14" s="25" t="n">
        <x:v>28.702080000000002</x:v>
      </x:c>
      <x:c r="Y14" s="25" t="n">
        <x:v>11000</x:v>
      </x:c>
      <x:c r="Z14" s="25" t="n">
        <x:v>60963.889919999994</x:v>
      </x:c>
      <x:c r="AA14" s="25" t="n">
        <x:v>49963.889919999994</x:v>
      </x:c>
      <x:c r="AB14" s="25" t="n">
        <x:v>0.7147909859799713</x:v>
      </x:c>
      <x:c r="AC14" s="25" t="n">
        <x:v>5.542171810909091</x:v>
      </x:c>
      <x:c r="AD14" s="25" t="n">
        <x:v>60963.889919999994</x:v>
      </x:c>
      <x:c r="AE14" s="25" t="n">
        <x:v>1578.6144000000002</x:v>
      </x:c>
      <x:c r="AF14" s="25" t="n">
        <x:v>3946.5360000000005</x:v>
      </x:c>
      <x:c r="AG14" s="25" t="n">
        <x:v>33.486835037105955</x:v>
      </x:c>
      <x:c r="AH14" s="25" t="n">
        <x:v>7.725321888412017</x:v>
      </x:c>
      <x:c r="AI14" t="n">
        <x:f>Z14-Y14</x:f>
        <x:v>49963.889919999994</x:v>
      </x:c>
      <x:c r="AJ14" t="n">
        <x:f>AA14/S14</x:f>
        <x:v>0.7147909859799713</x:v>
      </x:c>
      <x:c r="AK14" t="n">
        <x:f>Z14/Y14</x:f>
        <x:v>5.542171810909091</x:v>
      </x:c>
    </x:row>
    <x:row r="15" ht="15" hidden="0" customHeight="1">
      <x:c r="A15" s="25" t="str">
        <x:v>ONE</x:v>
      </x:c>
      <x:c r="B15" s="25" t="n">
        <x:v>25</x:v>
      </x:c>
      <x:c r="C15" s="25" t="str">
        <x:v>Cameroun</x:v>
      </x:c>
      <x:c r="D15" s="25" t="str">
        <x:v>Base</x:v>
      </x:c>
      <x:c r="E15" s="25" t="n">
        <x:v>8</x:v>
      </x:c>
      <x:c r="F15" s="25" t="n">
        <x:v>4</x:v>
      </x:c>
      <x:c r="G15" s="25" t="n">
        <x:v>2</x:v>
      </x:c>
      <x:c r="H15" s="25" t="n">
        <x:v>35</x:v>
      </x:c>
      <x:c r="I15" s="25" t="str">
        <x:v>Équilibré</x:v>
      </x:c>
      <x:c r="J15" s="25" t="n">
        <x:v>1</x:v>
      </x:c>
      <x:c r="K15" s="25" t="n">
        <x:v>69900</x:v>
      </x:c>
      <x:c r="L15" s="25" t="n">
        <x:v>0</x:v>
      </x:c>
      <x:c r="M15" s="25" t="n">
        <x:v>69900</x:v>
      </x:c>
      <x:c r="N15" s="25" t="n">
        <x:v>0.08</x:v>
      </x:c>
      <x:c r="O15" s="25" t="n">
        <x:v>1</x:v>
      </x:c>
      <x:c r="P15" s="25" t="n">
        <x:v>0.08</x:v>
      </x:c>
      <x:c r="Q15" s="25" t="n">
        <x:v>0.198</x:v>
      </x:c>
      <x:c r="R15" s="25" t="n">
        <x:v>1.3</x:v>
      </x:c>
      <x:c r="S15" s="25" t="n">
        <x:v>69900</x:v>
      </x:c>
      <x:c r="T15" s="25" t="n">
        <x:v>2796</x:v>
      </x:c>
      <x:c r="U15" s="25" t="n">
        <x:v>838.8000000000001</x:v>
      </x:c>
      <x:c r="V15" s="25" t="n">
        <x:v>2402.4</x:v>
      </x:c>
      <x:c r="W15" s="25" t="n">
        <x:v>2870.208</x:v>
      </x:c>
      <x:c r="X15" s="25" t="n">
        <x:v>28.702080000000002</x:v>
      </x:c>
      <x:c r="Y15" s="25" t="n">
        <x:v>12000</x:v>
      </x:c>
      <x:c r="Z15" s="25" t="n">
        <x:v>60963.889919999994</x:v>
      </x:c>
      <x:c r="AA15" s="25" t="n">
        <x:v>48963.889919999994</x:v>
      </x:c>
      <x:c r="AB15" s="25" t="n">
        <x:v>0.7004848343347638</x:v>
      </x:c>
      <x:c r="AC15" s="25" t="n">
        <x:v>5.080324159999999</x:v>
      </x:c>
      <x:c r="AD15" s="25" t="n">
        <x:v>60963.889919999994</x:v>
      </x:c>
      <x:c r="AE15" s="25" t="n">
        <x:v>1578.6144000000002</x:v>
      </x:c>
      <x:c r="AF15" s="25" t="n">
        <x:v>3946.5360000000005</x:v>
      </x:c>
      <x:c r="AG15" s="25" t="n">
        <x:v>32.853368118268776</x:v>
      </x:c>
      <x:c r="AH15" s="25" t="n">
        <x:v>7.725321888412017</x:v>
      </x:c>
      <x:c r="AI15" t="n">
        <x:f>Z15-Y15</x:f>
        <x:v>48963.889919999994</x:v>
      </x:c>
      <x:c r="AJ15" t="n">
        <x:f>AA15/S15</x:f>
        <x:v>0.7004848343347638</x:v>
      </x:c>
      <x:c r="AK15" t="n">
        <x:f>Z15/Y15</x:f>
        <x:v>5.080324159999999</x:v>
      </x:c>
    </x:row>
    <x:row r="16" ht="15" hidden="0" customHeight="1">
      <x:c r="A16" s="25" t="str">
        <x:v>ONE</x:v>
      </x:c>
      <x:c r="B16" s="25" t="n">
        <x:v>25</x:v>
      </x:c>
      <x:c r="C16" s="25" t="str">
        <x:v>Sénégal</x:v>
      </x:c>
      <x:c r="D16" s="25" t="str">
        <x:v>Base</x:v>
      </x:c>
      <x:c r="E16" s="25" t="n">
        <x:v>8</x:v>
      </x:c>
      <x:c r="F16" s="25" t="n">
        <x:v>4</x:v>
      </x:c>
      <x:c r="G16" s="25" t="n">
        <x:v>2</x:v>
      </x:c>
      <x:c r="H16" s="25" t="n">
        <x:v>35</x:v>
      </x:c>
      <x:c r="I16" s="25" t="str">
        <x:v>Équilibré</x:v>
      </x:c>
      <x:c r="J16" s="25" t="n">
        <x:v>1</x:v>
      </x:c>
      <x:c r="K16" s="25" t="n">
        <x:v>69900</x:v>
      </x:c>
      <x:c r="L16" s="25" t="n">
        <x:v>0</x:v>
      </x:c>
      <x:c r="M16" s="25" t="n">
        <x:v>69900</x:v>
      </x:c>
      <x:c r="N16" s="25" t="n">
        <x:v>0.08</x:v>
      </x:c>
      <x:c r="O16" s="25" t="n">
        <x:v>1</x:v>
      </x:c>
      <x:c r="P16" s="25" t="n">
        <x:v>0.08</x:v>
      </x:c>
      <x:c r="Q16" s="25" t="n">
        <x:v>0.198</x:v>
      </x:c>
      <x:c r="R16" s="25" t="n">
        <x:v>1.3</x:v>
      </x:c>
      <x:c r="S16" s="25" t="n">
        <x:v>69900</x:v>
      </x:c>
      <x:c r="T16" s="25" t="n">
        <x:v>2796</x:v>
      </x:c>
      <x:c r="U16" s="25" t="n">
        <x:v>838.8000000000001</x:v>
      </x:c>
      <x:c r="V16" s="25" t="n">
        <x:v>2402.4</x:v>
      </x:c>
      <x:c r="W16" s="25" t="n">
        <x:v>2870.208</x:v>
      </x:c>
      <x:c r="X16" s="25" t="n">
        <x:v>28.702080000000002</x:v>
      </x:c>
      <x:c r="Y16" s="25" t="n">
        <x:v>15000</x:v>
      </x:c>
      <x:c r="Z16" s="25" t="n">
        <x:v>60963.889919999994</x:v>
      </x:c>
      <x:c r="AA16" s="25" t="n">
        <x:v>45963.889919999994</x:v>
      </x:c>
      <x:c r="AB16" s="25" t="n">
        <x:v>0.6575663793991415</x:v>
      </x:c>
      <x:c r="AC16" s="25" t="n">
        <x:v>4.0642593279999994</x:v>
      </x:c>
      <x:c r="AD16" s="25" t="n">
        <x:v>60963.889919999994</x:v>
      </x:c>
      <x:c r="AE16" s="25" t="n">
        <x:v>1578.6144000000002</x:v>
      </x:c>
      <x:c r="AF16" s="25" t="n">
        <x:v>3946.5360000000005</x:v>
      </x:c>
      <x:c r="AG16" s="25" t="n">
        <x:v>30.952967361757242</x:v>
      </x:c>
      <x:c r="AH16" s="25" t="n">
        <x:v>7.725321888412017</x:v>
      </x:c>
      <x:c r="AI16" t="n">
        <x:f>Z16-Y16</x:f>
        <x:v>45963.889919999994</x:v>
      </x:c>
      <x:c r="AJ16" t="n">
        <x:f>AA16/S16</x:f>
        <x:v>0.6575663793991415</x:v>
      </x:c>
      <x:c r="AK16" t="n">
        <x:f>Z16/Y16</x:f>
        <x:v>4.0642593279999994</x:v>
      </x:c>
    </x:row>
    <x:row r="17" ht="15" hidden="0" customHeight="1">
      <x:c r="A17" s="25" t="str">
        <x:v>ONE</x:v>
      </x:c>
      <x:c r="B17" s="25" t="n">
        <x:v>25</x:v>
      </x:c>
      <x:c r="C17" s="25" t="str">
        <x:v>Bénin</x:v>
      </x:c>
      <x:c r="D17" s="25" t="str">
        <x:v>Base</x:v>
      </x:c>
      <x:c r="E17" s="25" t="n">
        <x:v>8</x:v>
      </x:c>
      <x:c r="F17" s="25" t="n">
        <x:v>4</x:v>
      </x:c>
      <x:c r="G17" s="25" t="n">
        <x:v>2</x:v>
      </x:c>
      <x:c r="H17" s="25" t="n">
        <x:v>35</x:v>
      </x:c>
      <x:c r="I17" s="25" t="str">
        <x:v>Équilibré</x:v>
      </x:c>
      <x:c r="J17" s="25" t="n">
        <x:v>1</x:v>
      </x:c>
      <x:c r="K17" s="25" t="n">
        <x:v>69900</x:v>
      </x:c>
      <x:c r="L17" s="25" t="n">
        <x:v>0</x:v>
      </x:c>
      <x:c r="M17" s="25" t="n">
        <x:v>69900</x:v>
      </x:c>
      <x:c r="N17" s="25" t="n">
        <x:v>0.08</x:v>
      </x:c>
      <x:c r="O17" s="25" t="n">
        <x:v>1</x:v>
      </x:c>
      <x:c r="P17" s="25" t="n">
        <x:v>0.08</x:v>
      </x:c>
      <x:c r="Q17" s="25" t="n">
        <x:v>0.198</x:v>
      </x:c>
      <x:c r="R17" s="25" t="n">
        <x:v>1.3</x:v>
      </x:c>
      <x:c r="S17" s="25" t="n">
        <x:v>69900</x:v>
      </x:c>
      <x:c r="T17" s="25" t="n">
        <x:v>2796</x:v>
      </x:c>
      <x:c r="U17" s="25" t="n">
        <x:v>838.8000000000001</x:v>
      </x:c>
      <x:c r="V17" s="25" t="n">
        <x:v>2402.4</x:v>
      </x:c>
      <x:c r="W17" s="25" t="n">
        <x:v>2870.208</x:v>
      </x:c>
      <x:c r="X17" s="25" t="n">
        <x:v>28.702080000000002</x:v>
      </x:c>
      <x:c r="Y17" s="25" t="n">
        <x:v>10000</x:v>
      </x:c>
      <x:c r="Z17" s="25" t="n">
        <x:v>60963.889919999994</x:v>
      </x:c>
      <x:c r="AA17" s="25" t="n">
        <x:v>50963.889919999994</x:v>
      </x:c>
      <x:c r="AB17" s="25" t="n">
        <x:v>0.7290971376251787</x:v>
      </x:c>
      <x:c r="AC17" s="25" t="n">
        <x:v>6.096388992</x:v>
      </x:c>
      <x:c r="AD17" s="25" t="n">
        <x:v>60963.889919999994</x:v>
      </x:c>
      <x:c r="AE17" s="25" t="n">
        <x:v>1578.6144000000002</x:v>
      </x:c>
      <x:c r="AF17" s="25" t="n">
        <x:v>3946.5360000000005</x:v>
      </x:c>
      <x:c r="AG17" s="25" t="n">
        <x:v>34.12030195594313</x:v>
      </x:c>
      <x:c r="AH17" s="25" t="n">
        <x:v>7.725321888412017</x:v>
      </x:c>
      <x:c r="AI17" t="n">
        <x:f>Z17-Y17</x:f>
        <x:v>50963.889919999994</x:v>
      </x:c>
      <x:c r="AJ17" t="n">
        <x:f>AA17/S17</x:f>
        <x:v>0.7290971376251787</x:v>
      </x:c>
      <x:c r="AK17" t="n">
        <x:f>Z17/Y17</x:f>
        <x:v>6.096388992</x:v>
      </x:c>
    </x:row>
    <x:row r="18" ht="15" hidden="0" customHeight="1">
      <x:c r="A18" s="25" t="str">
        <x:v>ONE</x:v>
      </x:c>
      <x:c r="B18" s="25" t="n">
        <x:v>25</x:v>
      </x:c>
      <x:c r="C18" s="25" t="str">
        <x:v>Burkina Faso</x:v>
      </x:c>
      <x:c r="D18" s="25" t="str">
        <x:v>Base</x:v>
      </x:c>
      <x:c r="E18" s="25" t="n">
        <x:v>8</x:v>
      </x:c>
      <x:c r="F18" s="25" t="n">
        <x:v>4</x:v>
      </x:c>
      <x:c r="G18" s="25" t="n">
        <x:v>2</x:v>
      </x:c>
      <x:c r="H18" s="25" t="n">
        <x:v>35</x:v>
      </x:c>
      <x:c r="I18" s="25" t="str">
        <x:v>Équilibré</x:v>
      </x:c>
      <x:c r="J18" s="25" t="n">
        <x:v>1</x:v>
      </x:c>
      <x:c r="K18" s="25" t="n">
        <x:v>69900</x:v>
      </x:c>
      <x:c r="L18" s="25" t="n">
        <x:v>0</x:v>
      </x:c>
      <x:c r="M18" s="25" t="n">
        <x:v>69900</x:v>
      </x:c>
      <x:c r="N18" s="25" t="n">
        <x:v>0.08</x:v>
      </x:c>
      <x:c r="O18" s="25" t="n">
        <x:v>1</x:v>
      </x:c>
      <x:c r="P18" s="25" t="n">
        <x:v>0.08</x:v>
      </x:c>
      <x:c r="Q18" s="25" t="n">
        <x:v>0.198</x:v>
      </x:c>
      <x:c r="R18" s="25" t="n">
        <x:v>1.3</x:v>
      </x:c>
      <x:c r="S18" s="25" t="n">
        <x:v>69900</x:v>
      </x:c>
      <x:c r="T18" s="25" t="n">
        <x:v>2796</x:v>
      </x:c>
      <x:c r="U18" s="25" t="n">
        <x:v>838.8000000000001</x:v>
      </x:c>
      <x:c r="V18" s="25" t="n">
        <x:v>2402.4</x:v>
      </x:c>
      <x:c r="W18" s="25" t="n">
        <x:v>2870.208</x:v>
      </x:c>
      <x:c r="X18" s="25" t="n">
        <x:v>28.702080000000002</x:v>
      </x:c>
      <x:c r="Y18" s="25" t="n">
        <x:v>11500</x:v>
      </x:c>
      <x:c r="Z18" s="25" t="n">
        <x:v>60963.889919999994</x:v>
      </x:c>
      <x:c r="AA18" s="25" t="n">
        <x:v>49463.889919999994</x:v>
      </x:c>
      <x:c r="AB18" s="25" t="n">
        <x:v>0.7076379101573675</x:v>
      </x:c>
      <x:c r="AC18" s="25" t="n">
        <x:v>5.301207819130434</x:v>
      </x:c>
      <x:c r="AD18" s="25" t="n">
        <x:v>60963.889919999994</x:v>
      </x:c>
      <x:c r="AE18" s="25" t="n">
        <x:v>1578.6144000000002</x:v>
      </x:c>
      <x:c r="AF18" s="25" t="n">
        <x:v>3946.5360000000005</x:v>
      </x:c>
      <x:c r="AG18" s="25" t="n">
        <x:v>33.17010157768736</x:v>
      </x:c>
      <x:c r="AH18" s="25" t="n">
        <x:v>7.725321888412017</x:v>
      </x:c>
      <x:c r="AI18" t="n">
        <x:f>Z18-Y18</x:f>
        <x:v>49463.889919999994</x:v>
      </x:c>
      <x:c r="AJ18" t="n">
        <x:f>AA18/S18</x:f>
        <x:v>0.7076379101573675</x:v>
      </x:c>
      <x:c r="AK18" t="n">
        <x:f>Z18/Y18</x:f>
        <x:v>5.301207819130434</x:v>
      </x:c>
    </x:row>
    <x:row r="19" ht="15" hidden="0" customHeight="1">
      <x:c r="A19" s="25" t="str">
        <x:v>ONE</x:v>
      </x:c>
      <x:c r="B19" s="25" t="n">
        <x:v>25</x:v>
      </x:c>
      <x:c r="C19" s="25" t="str">
        <x:v>Togo</x:v>
      </x:c>
      <x:c r="D19" s="25" t="str">
        <x:v>Base</x:v>
      </x:c>
      <x:c r="E19" s="25" t="n">
        <x:v>8</x:v>
      </x:c>
      <x:c r="F19" s="25" t="n">
        <x:v>4</x:v>
      </x:c>
      <x:c r="G19" s="25" t="n">
        <x:v>2</x:v>
      </x:c>
      <x:c r="H19" s="25" t="n">
        <x:v>35</x:v>
      </x:c>
      <x:c r="I19" s="25" t="str">
        <x:v>Équilibré</x:v>
      </x:c>
      <x:c r="J19" s="25" t="n">
        <x:v>1</x:v>
      </x:c>
      <x:c r="K19" s="25" t="n">
        <x:v>69900</x:v>
      </x:c>
      <x:c r="L19" s="25" t="n">
        <x:v>0</x:v>
      </x:c>
      <x:c r="M19" s="25" t="n">
        <x:v>69900</x:v>
      </x:c>
      <x:c r="N19" s="25" t="n">
        <x:v>0.08</x:v>
      </x:c>
      <x:c r="O19" s="25" t="n">
        <x:v>1</x:v>
      </x:c>
      <x:c r="P19" s="25" t="n">
        <x:v>0.08</x:v>
      </x:c>
      <x:c r="Q19" s="25" t="n">
        <x:v>0.198</x:v>
      </x:c>
      <x:c r="R19" s="25" t="n">
        <x:v>1.3</x:v>
      </x:c>
      <x:c r="S19" s="25" t="n">
        <x:v>69900</x:v>
      </x:c>
      <x:c r="T19" s="25" t="n">
        <x:v>2796</x:v>
      </x:c>
      <x:c r="U19" s="25" t="n">
        <x:v>838.8000000000001</x:v>
      </x:c>
      <x:c r="V19" s="25" t="n">
        <x:v>2402.4</x:v>
      </x:c>
      <x:c r="W19" s="25" t="n">
        <x:v>2870.208</x:v>
      </x:c>
      <x:c r="X19" s="25" t="n">
        <x:v>28.702080000000002</x:v>
      </x:c>
      <x:c r="Y19" s="25" t="n">
        <x:v>14000</x:v>
      </x:c>
      <x:c r="Z19" s="25" t="n">
        <x:v>60963.889919999994</x:v>
      </x:c>
      <x:c r="AA19" s="25" t="n">
        <x:v>46963.889919999994</x:v>
      </x:c>
      <x:c r="AB19" s="25" t="n">
        <x:v>0.671872531044349</x:v>
      </x:c>
      <x:c r="AC19" s="25" t="n">
        <x:v>4.354563565714285</x:v>
      </x:c>
      <x:c r="AD19" s="25" t="n">
        <x:v>60963.889919999994</x:v>
      </x:c>
      <x:c r="AE19" s="25" t="n">
        <x:v>1578.6144000000002</x:v>
      </x:c>
      <x:c r="AF19" s="25" t="n">
        <x:v>3946.5360000000005</x:v>
      </x:c>
      <x:c r="AG19" s="25" t="n">
        <x:v>31.586434280594418</x:v>
      </x:c>
      <x:c r="AH19" s="25" t="n">
        <x:v>7.725321888412017</x:v>
      </x:c>
      <x:c r="AI19" t="n">
        <x:f>Z19-Y19</x:f>
        <x:v>46963.889919999994</x:v>
      </x:c>
      <x:c r="AJ19" t="n">
        <x:f>AA19/S19</x:f>
        <x:v>0.671872531044349</x:v>
      </x:c>
      <x:c r="AK19" t="n">
        <x:f>Z19/Y19</x:f>
        <x:v>4.354563565714285</x:v>
      </x:c>
    </x:row>
    <x:row r="20" ht="15" hidden="0" customHeight="1">
      <x:c r="A20" s="25" t="str">
        <x:v>ONE</x:v>
      </x:c>
      <x:c r="B20" s="25" t="n">
        <x:v>50</x:v>
      </x:c>
      <x:c r="C20" s="25" t="str">
        <x:v>Côte d’Ivoire</x:v>
      </x:c>
      <x:c r="D20" s="25" t="str">
        <x:v>Base</x:v>
      </x:c>
      <x:c r="E20" s="25" t="n">
        <x:v>8</x:v>
      </x:c>
      <x:c r="F20" s="25" t="n">
        <x:v>4</x:v>
      </x:c>
      <x:c r="G20" s="25" t="n">
        <x:v>2</x:v>
      </x:c>
      <x:c r="H20" s="25" t="n">
        <x:v>35</x:v>
      </x:c>
      <x:c r="I20" s="25" t="str">
        <x:v>Équilibré</x:v>
      </x:c>
      <x:c r="J20" s="25" t="n">
        <x:v>1</x:v>
      </x:c>
      <x:c r="K20" s="25" t="n">
        <x:v>119900</x:v>
      </x:c>
      <x:c r="L20" s="25" t="n">
        <x:v>0</x:v>
      </x:c>
      <x:c r="M20" s="25" t="n">
        <x:v>119900</x:v>
      </x:c>
      <x:c r="N20" s="25" t="n">
        <x:v>0.08</x:v>
      </x:c>
      <x:c r="O20" s="25" t="n">
        <x:v>1</x:v>
      </x:c>
      <x:c r="P20" s="25" t="n">
        <x:v>0.08</x:v>
      </x:c>
      <x:c r="Q20" s="25" t="n">
        <x:v>0.198</x:v>
      </x:c>
      <x:c r="R20" s="25" t="n">
        <x:v>1.3</x:v>
      </x:c>
      <x:c r="S20" s="25" t="n">
        <x:v>119900</x:v>
      </x:c>
      <x:c r="T20" s="25" t="n">
        <x:v>4796</x:v>
      </x:c>
      <x:c r="U20" s="25" t="n">
        <x:v>1438.8</x:v>
      </x:c>
      <x:c r="V20" s="25" t="n">
        <x:v>2402.4</x:v>
      </x:c>
      <x:c r="W20" s="25" t="n">
        <x:v>5740.416</x:v>
      </x:c>
      <x:c r="X20" s="25" t="n">
        <x:v>57.404160000000005</x:v>
      </x:c>
      <x:c r="Y20" s="25" t="n">
        <x:v>11000</x:v>
      </x:c>
      <x:c r="Z20" s="25" t="n">
        <x:v>105464.97984</x:v>
      </x:c>
      <x:c r="AA20" s="25" t="n">
        <x:v>94464.97984</x:v>
      </x:c>
      <x:c r="AB20" s="25" t="n">
        <x:v>0.7878647192660551</x:v>
      </x:c>
      <x:c r="AC20" s="25" t="n">
        <x:v>9.58772544</x:v>
      </x:c>
      <x:c r="AD20" s="25" t="n">
        <x:v>105464.97984</x:v>
      </x:c>
      <x:c r="AE20" s="25" t="n">
        <x:v>3157.2288000000003</x:v>
      </x:c>
      <x:c r="AF20" s="25" t="n">
        <x:v>7893.072000000001</x:v>
      </x:c>
      <x:c r="AG20" s="25" t="n">
        <x:v>31.75658349499409</x:v>
      </x:c>
      <x:c r="AH20" s="25" t="n">
        <x:v>7.506255212677231</x:v>
      </x:c>
      <x:c r="AI20" t="n">
        <x:f>Z20-Y20</x:f>
        <x:v>94464.97984</x:v>
      </x:c>
      <x:c r="AJ20" t="n">
        <x:f>AA20/S20</x:f>
        <x:v>0.7878647192660551</x:v>
      </x:c>
      <x:c r="AK20" t="n">
        <x:f>Z20/Y20</x:f>
        <x:v>9.58772544</x:v>
      </x:c>
    </x:row>
    <x:row r="21" ht="15" hidden="0" customHeight="1">
      <x:c r="A21" s="25" t="str">
        <x:v>ONE</x:v>
      </x:c>
      <x:c r="B21" s="25" t="n">
        <x:v>50</x:v>
      </x:c>
      <x:c r="C21" s="25" t="str">
        <x:v>Cameroun</x:v>
      </x:c>
      <x:c r="D21" s="25" t="str">
        <x:v>Base</x:v>
      </x:c>
      <x:c r="E21" s="25" t="n">
        <x:v>8</x:v>
      </x:c>
      <x:c r="F21" s="25" t="n">
        <x:v>4</x:v>
      </x:c>
      <x:c r="G21" s="25" t="n">
        <x:v>2</x:v>
      </x:c>
      <x:c r="H21" s="25" t="n">
        <x:v>35</x:v>
      </x:c>
      <x:c r="I21" s="25" t="str">
        <x:v>Équilibré</x:v>
      </x:c>
      <x:c r="J21" s="25" t="n">
        <x:v>1</x:v>
      </x:c>
      <x:c r="K21" s="25" t="n">
        <x:v>119900</x:v>
      </x:c>
      <x:c r="L21" s="25" t="n">
        <x:v>0</x:v>
      </x:c>
      <x:c r="M21" s="25" t="n">
        <x:v>119900</x:v>
      </x:c>
      <x:c r="N21" s="25" t="n">
        <x:v>0.08</x:v>
      </x:c>
      <x:c r="O21" s="25" t="n">
        <x:v>1</x:v>
      </x:c>
      <x:c r="P21" s="25" t="n">
        <x:v>0.08</x:v>
      </x:c>
      <x:c r="Q21" s="25" t="n">
        <x:v>0.198</x:v>
      </x:c>
      <x:c r="R21" s="25" t="n">
        <x:v>1.3</x:v>
      </x:c>
      <x:c r="S21" s="25" t="n">
        <x:v>119900</x:v>
      </x:c>
      <x:c r="T21" s="25" t="n">
        <x:v>4796</x:v>
      </x:c>
      <x:c r="U21" s="25" t="n">
        <x:v>1438.8</x:v>
      </x:c>
      <x:c r="V21" s="25" t="n">
        <x:v>2402.4</x:v>
      </x:c>
      <x:c r="W21" s="25" t="n">
        <x:v>5740.416</x:v>
      </x:c>
      <x:c r="X21" s="25" t="n">
        <x:v>57.404160000000005</x:v>
      </x:c>
      <x:c r="Y21" s="25" t="n">
        <x:v>12000</x:v>
      </x:c>
      <x:c r="Z21" s="25" t="n">
        <x:v>105464.97984</x:v>
      </x:c>
      <x:c r="AA21" s="25" t="n">
        <x:v>93464.97984</x:v>
      </x:c>
      <x:c r="AB21" s="25" t="n">
        <x:v>0.7795244356964137</x:v>
      </x:c>
      <x:c r="AC21" s="25" t="n">
        <x:v>8.78874832</x:v>
      </x:c>
      <x:c r="AD21" s="25" t="n">
        <x:v>105464.97984</x:v>
      </x:c>
      <x:c r="AE21" s="25" t="n">
        <x:v>3157.2288000000003</x:v>
      </x:c>
      <x:c r="AF21" s="25" t="n">
        <x:v>7893.072000000001</x:v>
      </x:c>
      <x:c r="AG21" s="25" t="n">
        <x:v>31.4398500355755</x:v>
      </x:c>
      <x:c r="AH21" s="25" t="n">
        <x:v>7.506255212677231</x:v>
      </x:c>
      <x:c r="AI21" t="n">
        <x:f>Z21-Y21</x:f>
        <x:v>93464.97984</x:v>
      </x:c>
      <x:c r="AJ21" t="n">
        <x:f>AA21/S21</x:f>
        <x:v>0.7795244356964137</x:v>
      </x:c>
      <x:c r="AK21" t="n">
        <x:f>Z21/Y21</x:f>
        <x:v>8.78874832</x:v>
      </x:c>
    </x:row>
    <x:row r="22" ht="15" hidden="0" customHeight="1">
      <x:c r="A22" s="25" t="str">
        <x:v>ONE</x:v>
      </x:c>
      <x:c r="B22" s="25" t="n">
        <x:v>50</x:v>
      </x:c>
      <x:c r="C22" s="25" t="str">
        <x:v>Sénégal</x:v>
      </x:c>
      <x:c r="D22" s="25" t="str">
        <x:v>Base</x:v>
      </x:c>
      <x:c r="E22" s="25" t="n">
        <x:v>8</x:v>
      </x:c>
      <x:c r="F22" s="25" t="n">
        <x:v>4</x:v>
      </x:c>
      <x:c r="G22" s="25" t="n">
        <x:v>2</x:v>
      </x:c>
      <x:c r="H22" s="25" t="n">
        <x:v>35</x:v>
      </x:c>
      <x:c r="I22" s="25" t="str">
        <x:v>Équilibré</x:v>
      </x:c>
      <x:c r="J22" s="25" t="n">
        <x:v>1</x:v>
      </x:c>
      <x:c r="K22" s="25" t="n">
        <x:v>119900</x:v>
      </x:c>
      <x:c r="L22" s="25" t="n">
        <x:v>0</x:v>
      </x:c>
      <x:c r="M22" s="25" t="n">
        <x:v>119900</x:v>
      </x:c>
      <x:c r="N22" s="25" t="n">
        <x:v>0.08</x:v>
      </x:c>
      <x:c r="O22" s="25" t="n">
        <x:v>1</x:v>
      </x:c>
      <x:c r="P22" s="25" t="n">
        <x:v>0.08</x:v>
      </x:c>
      <x:c r="Q22" s="25" t="n">
        <x:v>0.198</x:v>
      </x:c>
      <x:c r="R22" s="25" t="n">
        <x:v>1.3</x:v>
      </x:c>
      <x:c r="S22" s="25" t="n">
        <x:v>119900</x:v>
      </x:c>
      <x:c r="T22" s="25" t="n">
        <x:v>4796</x:v>
      </x:c>
      <x:c r="U22" s="25" t="n">
        <x:v>1438.8</x:v>
      </x:c>
      <x:c r="V22" s="25" t="n">
        <x:v>2402.4</x:v>
      </x:c>
      <x:c r="W22" s="25" t="n">
        <x:v>5740.416</x:v>
      </x:c>
      <x:c r="X22" s="25" t="n">
        <x:v>57.404160000000005</x:v>
      </x:c>
      <x:c r="Y22" s="25" t="n">
        <x:v>15000</x:v>
      </x:c>
      <x:c r="Z22" s="25" t="n">
        <x:v>105464.97984</x:v>
      </x:c>
      <x:c r="AA22" s="25" t="n">
        <x:v>90464.97984</x:v>
      </x:c>
      <x:c r="AB22" s="25" t="n">
        <x:v>0.7545035849874896</x:v>
      </x:c>
      <x:c r="AC22" s="25" t="n">
        <x:v>7.030998656</x:v>
      </x:c>
      <x:c r="AD22" s="25" t="n">
        <x:v>105464.97984</x:v>
      </x:c>
      <x:c r="AE22" s="25" t="n">
        <x:v>3157.2288000000003</x:v>
      </x:c>
      <x:c r="AF22" s="25" t="n">
        <x:v>7893.072000000001</x:v>
      </x:c>
      <x:c r="AG22" s="25" t="n">
        <x:v>30.489649657319735</x:v>
      </x:c>
      <x:c r="AH22" s="25" t="n">
        <x:v>7.506255212677231</x:v>
      </x:c>
      <x:c r="AI22" t="n">
        <x:f>Z22-Y22</x:f>
        <x:v>90464.97984</x:v>
      </x:c>
      <x:c r="AJ22" t="n">
        <x:f>AA22/S22</x:f>
        <x:v>0.7545035849874896</x:v>
      </x:c>
      <x:c r="AK22" t="n">
        <x:f>Z22/Y22</x:f>
        <x:v>7.030998656</x:v>
      </x:c>
    </x:row>
    <x:row r="23" ht="15" hidden="0" customHeight="1">
      <x:c r="A23" s="25" t="str">
        <x:v>ONE</x:v>
      </x:c>
      <x:c r="B23" s="25" t="n">
        <x:v>50</x:v>
      </x:c>
      <x:c r="C23" s="25" t="str">
        <x:v>Bénin</x:v>
      </x:c>
      <x:c r="D23" s="25" t="str">
        <x:v>Base</x:v>
      </x:c>
      <x:c r="E23" s="25" t="n">
        <x:v>8</x:v>
      </x:c>
      <x:c r="F23" s="25" t="n">
        <x:v>4</x:v>
      </x:c>
      <x:c r="G23" s="25" t="n">
        <x:v>2</x:v>
      </x:c>
      <x:c r="H23" s="25" t="n">
        <x:v>35</x:v>
      </x:c>
      <x:c r="I23" s="25" t="str">
        <x:v>Équilibré</x:v>
      </x:c>
      <x:c r="J23" s="25" t="n">
        <x:v>1</x:v>
      </x:c>
      <x:c r="K23" s="25" t="n">
        <x:v>119900</x:v>
      </x:c>
      <x:c r="L23" s="25" t="n">
        <x:v>0</x:v>
      </x:c>
      <x:c r="M23" s="25" t="n">
        <x:v>119900</x:v>
      </x:c>
      <x:c r="N23" s="25" t="n">
        <x:v>0.08</x:v>
      </x:c>
      <x:c r="O23" s="25" t="n">
        <x:v>1</x:v>
      </x:c>
      <x:c r="P23" s="25" t="n">
        <x:v>0.08</x:v>
      </x:c>
      <x:c r="Q23" s="25" t="n">
        <x:v>0.198</x:v>
      </x:c>
      <x:c r="R23" s="25" t="n">
        <x:v>1.3</x:v>
      </x:c>
      <x:c r="S23" s="25" t="n">
        <x:v>119900</x:v>
      </x:c>
      <x:c r="T23" s="25" t="n">
        <x:v>4796</x:v>
      </x:c>
      <x:c r="U23" s="25" t="n">
        <x:v>1438.8</x:v>
      </x:c>
      <x:c r="V23" s="25" t="n">
        <x:v>2402.4</x:v>
      </x:c>
      <x:c r="W23" s="25" t="n">
        <x:v>5740.416</x:v>
      </x:c>
      <x:c r="X23" s="25" t="n">
        <x:v>57.404160000000005</x:v>
      </x:c>
      <x:c r="Y23" s="25" t="n">
        <x:v>10000</x:v>
      </x:c>
      <x:c r="Z23" s="25" t="n">
        <x:v>105464.97984</x:v>
      </x:c>
      <x:c r="AA23" s="25" t="n">
        <x:v>95464.97984</x:v>
      </x:c>
      <x:c r="AB23" s="25" t="n">
        <x:v>0.7962050028356964</x:v>
      </x:c>
      <x:c r="AC23" s="25" t="n">
        <x:v>10.546497984</x:v>
      </x:c>
      <x:c r="AD23" s="25" t="n">
        <x:v>105464.97984</x:v>
      </x:c>
      <x:c r="AE23" s="25" t="n">
        <x:v>3157.2288000000003</x:v>
      </x:c>
      <x:c r="AF23" s="25" t="n">
        <x:v>7893.072000000001</x:v>
      </x:c>
      <x:c r="AG23" s="25" t="n">
        <x:v>32.073316954412675</x:v>
      </x:c>
      <x:c r="AH23" s="25" t="n">
        <x:v>7.506255212677231</x:v>
      </x:c>
      <x:c r="AI23" t="n">
        <x:f>Z23-Y23</x:f>
        <x:v>95464.97984</x:v>
      </x:c>
      <x:c r="AJ23" t="n">
        <x:f>AA23/S23</x:f>
        <x:v>0.7962050028356964</x:v>
      </x:c>
      <x:c r="AK23" t="n">
        <x:f>Z23/Y23</x:f>
        <x:v>10.546497984</x:v>
      </x:c>
    </x:row>
    <x:row r="24" ht="15" hidden="0" customHeight="1">
      <x:c r="A24" s="25" t="str">
        <x:v>ONE</x:v>
      </x:c>
      <x:c r="B24" s="25" t="n">
        <x:v>50</x:v>
      </x:c>
      <x:c r="C24" s="25" t="str">
        <x:v>Burkina Faso</x:v>
      </x:c>
      <x:c r="D24" s="25" t="str">
        <x:v>Base</x:v>
      </x:c>
      <x:c r="E24" s="25" t="n">
        <x:v>8</x:v>
      </x:c>
      <x:c r="F24" s="25" t="n">
        <x:v>4</x:v>
      </x:c>
      <x:c r="G24" s="25" t="n">
        <x:v>2</x:v>
      </x:c>
      <x:c r="H24" s="25" t="n">
        <x:v>35</x:v>
      </x:c>
      <x:c r="I24" s="25" t="str">
        <x:v>Équilibré</x:v>
      </x:c>
      <x:c r="J24" s="25" t="n">
        <x:v>1</x:v>
      </x:c>
      <x:c r="K24" s="25" t="n">
        <x:v>119900</x:v>
      </x:c>
      <x:c r="L24" s="25" t="n">
        <x:v>0</x:v>
      </x:c>
      <x:c r="M24" s="25" t="n">
        <x:v>119900</x:v>
      </x:c>
      <x:c r="N24" s="25" t="n">
        <x:v>0.08</x:v>
      </x:c>
      <x:c r="O24" s="25" t="n">
        <x:v>1</x:v>
      </x:c>
      <x:c r="P24" s="25" t="n">
        <x:v>0.08</x:v>
      </x:c>
      <x:c r="Q24" s="25" t="n">
        <x:v>0.198</x:v>
      </x:c>
      <x:c r="R24" s="25" t="n">
        <x:v>1.3</x:v>
      </x:c>
      <x:c r="S24" s="25" t="n">
        <x:v>119900</x:v>
      </x:c>
      <x:c r="T24" s="25" t="n">
        <x:v>4796</x:v>
      </x:c>
      <x:c r="U24" s="25" t="n">
        <x:v>1438.8</x:v>
      </x:c>
      <x:c r="V24" s="25" t="n">
        <x:v>2402.4</x:v>
      </x:c>
      <x:c r="W24" s="25" t="n">
        <x:v>5740.416</x:v>
      </x:c>
      <x:c r="X24" s="25" t="n">
        <x:v>57.404160000000005</x:v>
      </x:c>
      <x:c r="Y24" s="25" t="n">
        <x:v>11500</x:v>
      </x:c>
      <x:c r="Z24" s="25" t="n">
        <x:v>105464.97984</x:v>
      </x:c>
      <x:c r="AA24" s="25" t="n">
        <x:v>93964.97984</x:v>
      </x:c>
      <x:c r="AB24" s="25" t="n">
        <x:v>0.7836945774812344</x:v>
      </x:c>
      <x:c r="AC24" s="25" t="n">
        <x:v>9.170867812173913</x:v>
      </x:c>
      <x:c r="AD24" s="25" t="n">
        <x:v>105464.97984</x:v>
      </x:c>
      <x:c r="AE24" s="25" t="n">
        <x:v>3157.2288000000003</x:v>
      </x:c>
      <x:c r="AF24" s="25" t="n">
        <x:v>7893.072000000001</x:v>
      </x:c>
      <x:c r="AG24" s="25" t="n">
        <x:v>31.598216765284793</x:v>
      </x:c>
      <x:c r="AH24" s="25" t="n">
        <x:v>7.506255212677231</x:v>
      </x:c>
      <x:c r="AI24" t="n">
        <x:f>Z24-Y24</x:f>
        <x:v>93964.97984</x:v>
      </x:c>
      <x:c r="AJ24" t="n">
        <x:f>AA24/S24</x:f>
        <x:v>0.7836945774812344</x:v>
      </x:c>
      <x:c r="AK24" t="n">
        <x:f>Z24/Y24</x:f>
        <x:v>9.170867812173913</x:v>
      </x:c>
    </x:row>
    <x:row r="25" ht="15" hidden="0" customHeight="1">
      <x:c r="A25" s="25" t="str">
        <x:v>ONE</x:v>
      </x:c>
      <x:c r="B25" s="25" t="n">
        <x:v>50</x:v>
      </x:c>
      <x:c r="C25" s="25" t="str">
        <x:v>Togo</x:v>
      </x:c>
      <x:c r="D25" s="25" t="str">
        <x:v>Base</x:v>
      </x:c>
      <x:c r="E25" s="25" t="n">
        <x:v>8</x:v>
      </x:c>
      <x:c r="F25" s="25" t="n">
        <x:v>4</x:v>
      </x:c>
      <x:c r="G25" s="25" t="n">
        <x:v>2</x:v>
      </x:c>
      <x:c r="H25" s="25" t="n">
        <x:v>35</x:v>
      </x:c>
      <x:c r="I25" s="25" t="str">
        <x:v>Équilibré</x:v>
      </x:c>
      <x:c r="J25" s="25" t="n">
        <x:v>1</x:v>
      </x:c>
      <x:c r="K25" s="25" t="n">
        <x:v>119900</x:v>
      </x:c>
      <x:c r="L25" s="25" t="n">
        <x:v>0</x:v>
      </x:c>
      <x:c r="M25" s="25" t="n">
        <x:v>119900</x:v>
      </x:c>
      <x:c r="N25" s="25" t="n">
        <x:v>0.08</x:v>
      </x:c>
      <x:c r="O25" s="25" t="n">
        <x:v>1</x:v>
      </x:c>
      <x:c r="P25" s="25" t="n">
        <x:v>0.08</x:v>
      </x:c>
      <x:c r="Q25" s="25" t="n">
        <x:v>0.198</x:v>
      </x:c>
      <x:c r="R25" s="25" t="n">
        <x:v>1.3</x:v>
      </x:c>
      <x:c r="S25" s="25" t="n">
        <x:v>119900</x:v>
      </x:c>
      <x:c r="T25" s="25" t="n">
        <x:v>4796</x:v>
      </x:c>
      <x:c r="U25" s="25" t="n">
        <x:v>1438.8</x:v>
      </x:c>
      <x:c r="V25" s="25" t="n">
        <x:v>2402.4</x:v>
      </x:c>
      <x:c r="W25" s="25" t="n">
        <x:v>5740.416</x:v>
      </x:c>
      <x:c r="X25" s="25" t="n">
        <x:v>57.404160000000005</x:v>
      </x:c>
      <x:c r="Y25" s="25" t="n">
        <x:v>14000</x:v>
      </x:c>
      <x:c r="Z25" s="25" t="n">
        <x:v>105464.97984</x:v>
      </x:c>
      <x:c r="AA25" s="25" t="n">
        <x:v>91464.97984</x:v>
      </x:c>
      <x:c r="AB25" s="25" t="n">
        <x:v>0.7628438685571309</x:v>
      </x:c>
      <x:c r="AC25" s="25" t="n">
        <x:v>7.533212845714286</x:v>
      </x:c>
      <x:c r="AD25" s="25" t="n">
        <x:v>105464.97984</x:v>
      </x:c>
      <x:c r="AE25" s="25" t="n">
        <x:v>3157.2288000000003</x:v>
      </x:c>
      <x:c r="AF25" s="25" t="n">
        <x:v>7893.072000000001</x:v>
      </x:c>
      <x:c r="AG25" s="25" t="n">
        <x:v>30.80638311673832</x:v>
      </x:c>
      <x:c r="AH25" s="25" t="n">
        <x:v>7.506255212677231</x:v>
      </x:c>
      <x:c r="AI25" t="n">
        <x:f>Z25-Y25</x:f>
        <x:v>91464.97984</x:v>
      </x:c>
      <x:c r="AJ25" t="n">
        <x:f>AA25/S25</x:f>
        <x:v>0.7628438685571309</x:v>
      </x:c>
      <x:c r="AK25" t="n">
        <x:f>Z25/Y25</x:f>
        <x:v>7.533212845714286</x:v>
      </x:c>
    </x:row>
    <x:row r="26" ht="15" hidden="0" customHeight="1">
      <x:c r="A26" s="25" t="str">
        <x:v>ONE</x:v>
      </x:c>
      <x:c r="B26" s="25" t="n">
        <x:v>100</x:v>
      </x:c>
      <x:c r="C26" s="25" t="str">
        <x:v>Côte d’Ivoire</x:v>
      </x:c>
      <x:c r="D26" s="25" t="str">
        <x:v>Base</x:v>
      </x:c>
      <x:c r="E26" s="25" t="n">
        <x:v>8</x:v>
      </x:c>
      <x:c r="F26" s="25" t="n">
        <x:v>4</x:v>
      </x:c>
      <x:c r="G26" s="25" t="n">
        <x:v>2</x:v>
      </x:c>
      <x:c r="H26" s="25" t="n">
        <x:v>35</x:v>
      </x:c>
      <x:c r="I26" s="25" t="str">
        <x:v>Équilibré</x:v>
      </x:c>
      <x:c r="J26" s="25" t="n">
        <x:v>1</x:v>
      </x:c>
      <x:c r="K26" s="25" t="n">
        <x:v>199900</x:v>
      </x:c>
      <x:c r="L26" s="25" t="n">
        <x:v>0</x:v>
      </x:c>
      <x:c r="M26" s="25" t="n">
        <x:v>199900</x:v>
      </x:c>
      <x:c r="N26" s="25" t="n">
        <x:v>0.08</x:v>
      </x:c>
      <x:c r="O26" s="25" t="n">
        <x:v>1</x:v>
      </x:c>
      <x:c r="P26" s="25" t="n">
        <x:v>0.08</x:v>
      </x:c>
      <x:c r="Q26" s="25" t="n">
        <x:v>0.198</x:v>
      </x:c>
      <x:c r="R26" s="25" t="n">
        <x:v>1.3</x:v>
      </x:c>
      <x:c r="S26" s="25" t="n">
        <x:v>199900</x:v>
      </x:c>
      <x:c r="T26" s="25" t="n">
        <x:v>7996</x:v>
      </x:c>
      <x:c r="U26" s="25" t="n">
        <x:v>2398.8</x:v>
      </x:c>
      <x:c r="V26" s="25" t="n">
        <x:v>2402.4</x:v>
      </x:c>
      <x:c r="W26" s="25" t="n">
        <x:v>11480.832</x:v>
      </x:c>
      <x:c r="X26" s="25" t="n">
        <x:v>114.80832000000001</x:v>
      </x:c>
      <x:c r="Y26" s="25" t="n">
        <x:v>11000</x:v>
      </x:c>
      <x:c r="Z26" s="25" t="n">
        <x:v>175507.15968</x:v>
      </x:c>
      <x:c r="AA26" s="25" t="n">
        <x:v>164507.15968</x:v>
      </x:c>
      <x:c r="AB26" s="25" t="n">
        <x:v>0.822947272036018</x:v>
      </x:c>
      <x:c r="AC26" s="25" t="n">
        <x:v>15.955196334545455</x:v>
      </x:c>
      <x:c r="AD26" s="25" t="n">
        <x:v>175507.15968</x:v>
      </x:c>
      <x:c r="AE26" s="25" t="n">
        <x:v>6314.457600000001</x:v>
      </x:c>
      <x:c r="AF26" s="25" t="n">
        <x:v>15786.144000000002</x:v>
      </x:c>
      <x:c r="AG26" s="25" t="n">
        <x:v>27.888824528649934</x:v>
      </x:c>
      <x:c r="AH26" s="25" t="n">
        <x:v>7.503751875937969</x:v>
      </x:c>
      <x:c r="AI26" t="n">
        <x:f>Z26-Y26</x:f>
        <x:v>164507.15968</x:v>
      </x:c>
      <x:c r="AJ26" t="n">
        <x:f>AA26/S26</x:f>
        <x:v>0.822947272036018</x:v>
      </x:c>
      <x:c r="AK26" t="n">
        <x:f>Z26/Y26</x:f>
        <x:v>15.955196334545455</x:v>
      </x:c>
    </x:row>
    <x:row r="27" ht="15" hidden="0" customHeight="1">
      <x:c r="A27" s="25" t="str">
        <x:v>ONE</x:v>
      </x:c>
      <x:c r="B27" s="25" t="n">
        <x:v>100</x:v>
      </x:c>
      <x:c r="C27" s="25" t="str">
        <x:v>Cameroun</x:v>
      </x:c>
      <x:c r="D27" s="25" t="str">
        <x:v>Base</x:v>
      </x:c>
      <x:c r="E27" s="25" t="n">
        <x:v>8</x:v>
      </x:c>
      <x:c r="F27" s="25" t="n">
        <x:v>4</x:v>
      </x:c>
      <x:c r="G27" s="25" t="n">
        <x:v>2</x:v>
      </x:c>
      <x:c r="H27" s="25" t="n">
        <x:v>35</x:v>
      </x:c>
      <x:c r="I27" s="25" t="str">
        <x:v>Équilibré</x:v>
      </x:c>
      <x:c r="J27" s="25" t="n">
        <x:v>1</x:v>
      </x:c>
      <x:c r="K27" s="25" t="n">
        <x:v>199900</x:v>
      </x:c>
      <x:c r="L27" s="25" t="n">
        <x:v>0</x:v>
      </x:c>
      <x:c r="M27" s="25" t="n">
        <x:v>199900</x:v>
      </x:c>
      <x:c r="N27" s="25" t="n">
        <x:v>0.08</x:v>
      </x:c>
      <x:c r="O27" s="25" t="n">
        <x:v>1</x:v>
      </x:c>
      <x:c r="P27" s="25" t="n">
        <x:v>0.08</x:v>
      </x:c>
      <x:c r="Q27" s="25" t="n">
        <x:v>0.198</x:v>
      </x:c>
      <x:c r="R27" s="25" t="n">
        <x:v>1.3</x:v>
      </x:c>
      <x:c r="S27" s="25" t="n">
        <x:v>199900</x:v>
      </x:c>
      <x:c r="T27" s="25" t="n">
        <x:v>7996</x:v>
      </x:c>
      <x:c r="U27" s="25" t="n">
        <x:v>2398.8</x:v>
      </x:c>
      <x:c r="V27" s="25" t="n">
        <x:v>2402.4</x:v>
      </x:c>
      <x:c r="W27" s="25" t="n">
        <x:v>11480.832</x:v>
      </x:c>
      <x:c r="X27" s="25" t="n">
        <x:v>114.80832000000001</x:v>
      </x:c>
      <x:c r="Y27" s="25" t="n">
        <x:v>12000</x:v>
      </x:c>
      <x:c r="Z27" s="25" t="n">
        <x:v>175507.15968</x:v>
      </x:c>
      <x:c r="AA27" s="25" t="n">
        <x:v>163507.15968</x:v>
      </x:c>
      <x:c r="AB27" s="25" t="n">
        <x:v>0.8179447707853927</x:v>
      </x:c>
      <x:c r="AC27" s="25" t="n">
        <x:v>14.625596640000001</x:v>
      </x:c>
      <x:c r="AD27" s="25" t="n">
        <x:v>175507.15968</x:v>
      </x:c>
      <x:c r="AE27" s="25" t="n">
        <x:v>6314.457600000001</x:v>
      </x:c>
      <x:c r="AF27" s="25" t="n">
        <x:v>15786.144000000002</x:v>
      </x:c>
      <x:c r="AG27" s="25" t="n">
        <x:v>27.73045779894064</x:v>
      </x:c>
      <x:c r="AH27" s="25" t="n">
        <x:v>7.503751875937969</x:v>
      </x:c>
      <x:c r="AI27" t="n">
        <x:f>Z27-Y27</x:f>
        <x:v>163507.15968</x:v>
      </x:c>
      <x:c r="AJ27" t="n">
        <x:f>AA27/S27</x:f>
        <x:v>0.8179447707853927</x:v>
      </x:c>
      <x:c r="AK27" t="n">
        <x:f>Z27/Y27</x:f>
        <x:v>14.625596640000001</x:v>
      </x:c>
    </x:row>
    <x:row r="28" ht="15" hidden="0" customHeight="1">
      <x:c r="A28" s="25" t="str">
        <x:v>ONE</x:v>
      </x:c>
      <x:c r="B28" s="25" t="n">
        <x:v>100</x:v>
      </x:c>
      <x:c r="C28" s="25" t="str">
        <x:v>Sénégal</x:v>
      </x:c>
      <x:c r="D28" s="25" t="str">
        <x:v>Base</x:v>
      </x:c>
      <x:c r="E28" s="25" t="n">
        <x:v>8</x:v>
      </x:c>
      <x:c r="F28" s="25" t="n">
        <x:v>4</x:v>
      </x:c>
      <x:c r="G28" s="25" t="n">
        <x:v>2</x:v>
      </x:c>
      <x:c r="H28" s="25" t="n">
        <x:v>35</x:v>
      </x:c>
      <x:c r="I28" s="25" t="str">
        <x:v>Équilibré</x:v>
      </x:c>
      <x:c r="J28" s="25" t="n">
        <x:v>1</x:v>
      </x:c>
      <x:c r="K28" s="25" t="n">
        <x:v>199900</x:v>
      </x:c>
      <x:c r="L28" s="25" t="n">
        <x:v>0</x:v>
      </x:c>
      <x:c r="M28" s="25" t="n">
        <x:v>199900</x:v>
      </x:c>
      <x:c r="N28" s="25" t="n">
        <x:v>0.08</x:v>
      </x:c>
      <x:c r="O28" s="25" t="n">
        <x:v>1</x:v>
      </x:c>
      <x:c r="P28" s="25" t="n">
        <x:v>0.08</x:v>
      </x:c>
      <x:c r="Q28" s="25" t="n">
        <x:v>0.198</x:v>
      </x:c>
      <x:c r="R28" s="25" t="n">
        <x:v>1.3</x:v>
      </x:c>
      <x:c r="S28" s="25" t="n">
        <x:v>199900</x:v>
      </x:c>
      <x:c r="T28" s="25" t="n">
        <x:v>7996</x:v>
      </x:c>
      <x:c r="U28" s="25" t="n">
        <x:v>2398.8</x:v>
      </x:c>
      <x:c r="V28" s="25" t="n">
        <x:v>2402.4</x:v>
      </x:c>
      <x:c r="W28" s="25" t="n">
        <x:v>11480.832</x:v>
      </x:c>
      <x:c r="X28" s="25" t="n">
        <x:v>114.80832000000001</x:v>
      </x:c>
      <x:c r="Y28" s="25" t="n">
        <x:v>15000</x:v>
      </x:c>
      <x:c r="Z28" s="25" t="n">
        <x:v>175507.15968</x:v>
      </x:c>
      <x:c r="AA28" s="25" t="n">
        <x:v>160507.15968</x:v>
      </x:c>
      <x:c r="AB28" s="25" t="n">
        <x:v>0.8029372670335169</x:v>
      </x:c>
      <x:c r="AC28" s="25" t="n">
        <x:v>11.700477312</x:v>
      </x:c>
      <x:c r="AD28" s="25" t="n">
        <x:v>175507.15968</x:v>
      </x:c>
      <x:c r="AE28" s="25" t="n">
        <x:v>6314.457600000001</x:v>
      </x:c>
      <x:c r="AF28" s="25" t="n">
        <x:v>15786.144000000002</x:v>
      </x:c>
      <x:c r="AG28" s="25" t="n">
        <x:v>27.25535760981276</x:v>
      </x:c>
      <x:c r="AH28" s="25" t="n">
        <x:v>7.503751875937969</x:v>
      </x:c>
      <x:c r="AI28" t="n">
        <x:f>Z28-Y28</x:f>
        <x:v>160507.15968</x:v>
      </x:c>
      <x:c r="AJ28" t="n">
        <x:f>AA28/S28</x:f>
        <x:v>0.8029372670335169</x:v>
      </x:c>
      <x:c r="AK28" t="n">
        <x:f>Z28/Y28</x:f>
        <x:v>11.700477312</x:v>
      </x:c>
    </x:row>
    <x:row r="29" ht="15" hidden="0" customHeight="1">
      <x:c r="A29" s="25" t="str">
        <x:v>ONE</x:v>
      </x:c>
      <x:c r="B29" s="25" t="n">
        <x:v>100</x:v>
      </x:c>
      <x:c r="C29" s="25" t="str">
        <x:v>Bénin</x:v>
      </x:c>
      <x:c r="D29" s="25" t="str">
        <x:v>Base</x:v>
      </x:c>
      <x:c r="E29" s="25" t="n">
        <x:v>8</x:v>
      </x:c>
      <x:c r="F29" s="25" t="n">
        <x:v>4</x:v>
      </x:c>
      <x:c r="G29" s="25" t="n">
        <x:v>2</x:v>
      </x:c>
      <x:c r="H29" s="25" t="n">
        <x:v>35</x:v>
      </x:c>
      <x:c r="I29" s="25" t="str">
        <x:v>Équilibré</x:v>
      </x:c>
      <x:c r="J29" s="25" t="n">
        <x:v>1</x:v>
      </x:c>
      <x:c r="K29" s="25" t="n">
        <x:v>199900</x:v>
      </x:c>
      <x:c r="L29" s="25" t="n">
        <x:v>0</x:v>
      </x:c>
      <x:c r="M29" s="25" t="n">
        <x:v>199900</x:v>
      </x:c>
      <x:c r="N29" s="25" t="n">
        <x:v>0.08</x:v>
      </x:c>
      <x:c r="O29" s="25" t="n">
        <x:v>1</x:v>
      </x:c>
      <x:c r="P29" s="25" t="n">
        <x:v>0.08</x:v>
      </x:c>
      <x:c r="Q29" s="25" t="n">
        <x:v>0.198</x:v>
      </x:c>
      <x:c r="R29" s="25" t="n">
        <x:v>1.3</x:v>
      </x:c>
      <x:c r="S29" s="25" t="n">
        <x:v>199900</x:v>
      </x:c>
      <x:c r="T29" s="25" t="n">
        <x:v>7996</x:v>
      </x:c>
      <x:c r="U29" s="25" t="n">
        <x:v>2398.8</x:v>
      </x:c>
      <x:c r="V29" s="25" t="n">
        <x:v>2402.4</x:v>
      </x:c>
      <x:c r="W29" s="25" t="n">
        <x:v>11480.832</x:v>
      </x:c>
      <x:c r="X29" s="25" t="n">
        <x:v>114.80832000000001</x:v>
      </x:c>
      <x:c r="Y29" s="25" t="n">
        <x:v>10000</x:v>
      </x:c>
      <x:c r="Z29" s="25" t="n">
        <x:v>175507.15968</x:v>
      </x:c>
      <x:c r="AA29" s="25" t="n">
        <x:v>165507.15968</x:v>
      </x:c>
      <x:c r="AB29" s="25" t="n">
        <x:v>0.8279497732866434</x:v>
      </x:c>
      <x:c r="AC29" s="25" t="n">
        <x:v>17.550715968000002</x:v>
      </x:c>
      <x:c r="AD29" s="25" t="n">
        <x:v>175507.15968</x:v>
      </x:c>
      <x:c r="AE29" s="25" t="n">
        <x:v>6314.457600000001</x:v>
      </x:c>
      <x:c r="AF29" s="25" t="n">
        <x:v>15786.144000000002</x:v>
      </x:c>
      <x:c r="AG29" s="25" t="n">
        <x:v>28.04719125835923</x:v>
      </x:c>
      <x:c r="AH29" s="25" t="n">
        <x:v>7.503751875937969</x:v>
      </x:c>
      <x:c r="AI29" t="n">
        <x:f>Z29-Y29</x:f>
        <x:v>165507.15968</x:v>
      </x:c>
      <x:c r="AJ29" t="n">
        <x:f>AA29/S29</x:f>
        <x:v>0.8279497732866434</x:v>
      </x:c>
      <x:c r="AK29" t="n">
        <x:f>Z29/Y29</x:f>
        <x:v>17.550715968000002</x:v>
      </x:c>
    </x:row>
    <x:row r="30" ht="15" hidden="0" customHeight="1">
      <x:c r="A30" s="25" t="str">
        <x:v>ONE</x:v>
      </x:c>
      <x:c r="B30" s="25" t="n">
        <x:v>100</x:v>
      </x:c>
      <x:c r="C30" s="25" t="str">
        <x:v>Burkina Faso</x:v>
      </x:c>
      <x:c r="D30" s="25" t="str">
        <x:v>Base</x:v>
      </x:c>
      <x:c r="E30" s="25" t="n">
        <x:v>8</x:v>
      </x:c>
      <x:c r="F30" s="25" t="n">
        <x:v>4</x:v>
      </x:c>
      <x:c r="G30" s="25" t="n">
        <x:v>2</x:v>
      </x:c>
      <x:c r="H30" s="25" t="n">
        <x:v>35</x:v>
      </x:c>
      <x:c r="I30" s="25" t="str">
        <x:v>Équilibré</x:v>
      </x:c>
      <x:c r="J30" s="25" t="n">
        <x:v>1</x:v>
      </x:c>
      <x:c r="K30" s="25" t="n">
        <x:v>199900</x:v>
      </x:c>
      <x:c r="L30" s="25" t="n">
        <x:v>0</x:v>
      </x:c>
      <x:c r="M30" s="25" t="n">
        <x:v>199900</x:v>
      </x:c>
      <x:c r="N30" s="25" t="n">
        <x:v>0.08</x:v>
      </x:c>
      <x:c r="O30" s="25" t="n">
        <x:v>1</x:v>
      </x:c>
      <x:c r="P30" s="25" t="n">
        <x:v>0.08</x:v>
      </x:c>
      <x:c r="Q30" s="25" t="n">
        <x:v>0.198</x:v>
      </x:c>
      <x:c r="R30" s="25" t="n">
        <x:v>1.3</x:v>
      </x:c>
      <x:c r="S30" s="25" t="n">
        <x:v>199900</x:v>
      </x:c>
      <x:c r="T30" s="25" t="n">
        <x:v>7996</x:v>
      </x:c>
      <x:c r="U30" s="25" t="n">
        <x:v>2398.8</x:v>
      </x:c>
      <x:c r="V30" s="25" t="n">
        <x:v>2402.4</x:v>
      </x:c>
      <x:c r="W30" s="25" t="n">
        <x:v>11480.832</x:v>
      </x:c>
      <x:c r="X30" s="25" t="n">
        <x:v>114.80832000000001</x:v>
      </x:c>
      <x:c r="Y30" s="25" t="n">
        <x:v>11500</x:v>
      </x:c>
      <x:c r="Z30" s="25" t="n">
        <x:v>175507.15968</x:v>
      </x:c>
      <x:c r="AA30" s="25" t="n">
        <x:v>164007.15968</x:v>
      </x:c>
      <x:c r="AB30" s="25" t="n">
        <x:v>0.8204460214107054</x:v>
      </x:c>
      <x:c r="AC30" s="25" t="n">
        <x:v>15.261492146086958</x:v>
      </x:c>
      <x:c r="AD30" s="25" t="n">
        <x:v>175507.15968</x:v>
      </x:c>
      <x:c r="AE30" s="25" t="n">
        <x:v>6314.457600000001</x:v>
      </x:c>
      <x:c r="AF30" s="25" t="n">
        <x:v>15786.144000000002</x:v>
      </x:c>
      <x:c r="AG30" s="25" t="n">
        <x:v>27.809641163795288</x:v>
      </x:c>
      <x:c r="AH30" s="25" t="n">
        <x:v>7.503751875937969</x:v>
      </x:c>
      <x:c r="AI30" t="n">
        <x:f>Z30-Y30</x:f>
        <x:v>164007.15968</x:v>
      </x:c>
      <x:c r="AJ30" t="n">
        <x:f>AA30/S30</x:f>
        <x:v>0.8204460214107054</x:v>
      </x:c>
      <x:c r="AK30" t="n">
        <x:f>Z30/Y30</x:f>
        <x:v>15.261492146086958</x:v>
      </x:c>
    </x:row>
    <x:row r="31" ht="15" hidden="0" customHeight="1">
      <x:c r="A31" s="25" t="str">
        <x:v>ONE</x:v>
      </x:c>
      <x:c r="B31" s="25" t="n">
        <x:v>100</x:v>
      </x:c>
      <x:c r="C31" s="25" t="str">
        <x:v>Togo</x:v>
      </x:c>
      <x:c r="D31" s="25" t="str">
        <x:v>Base</x:v>
      </x:c>
      <x:c r="E31" s="25" t="n">
        <x:v>8</x:v>
      </x:c>
      <x:c r="F31" s="25" t="n">
        <x:v>4</x:v>
      </x:c>
      <x:c r="G31" s="25" t="n">
        <x:v>2</x:v>
      </x:c>
      <x:c r="H31" s="25" t="n">
        <x:v>35</x:v>
      </x:c>
      <x:c r="I31" s="25" t="str">
        <x:v>Équilibré</x:v>
      </x:c>
      <x:c r="J31" s="25" t="n">
        <x:v>1</x:v>
      </x:c>
      <x:c r="K31" s="25" t="n">
        <x:v>199900</x:v>
      </x:c>
      <x:c r="L31" s="25" t="n">
        <x:v>0</x:v>
      </x:c>
      <x:c r="M31" s="25" t="n">
        <x:v>199900</x:v>
      </x:c>
      <x:c r="N31" s="25" t="n">
        <x:v>0.08</x:v>
      </x:c>
      <x:c r="O31" s="25" t="n">
        <x:v>1</x:v>
      </x:c>
      <x:c r="P31" s="25" t="n">
        <x:v>0.08</x:v>
      </x:c>
      <x:c r="Q31" s="25" t="n">
        <x:v>0.198</x:v>
      </x:c>
      <x:c r="R31" s="25" t="n">
        <x:v>1.3</x:v>
      </x:c>
      <x:c r="S31" s="25" t="n">
        <x:v>199900</x:v>
      </x:c>
      <x:c r="T31" s="25" t="n">
        <x:v>7996</x:v>
      </x:c>
      <x:c r="U31" s="25" t="n">
        <x:v>2398.8</x:v>
      </x:c>
      <x:c r="V31" s="25" t="n">
        <x:v>2402.4</x:v>
      </x:c>
      <x:c r="W31" s="25" t="n">
        <x:v>11480.832</x:v>
      </x:c>
      <x:c r="X31" s="25" t="n">
        <x:v>114.80832000000001</x:v>
      </x:c>
      <x:c r="Y31" s="25" t="n">
        <x:v>14000</x:v>
      </x:c>
      <x:c r="Z31" s="25" t="n">
        <x:v>175507.15968</x:v>
      </x:c>
      <x:c r="AA31" s="25" t="n">
        <x:v>161507.15968</x:v>
      </x:c>
      <x:c r="AB31" s="25" t="n">
        <x:v>0.8079397682841422</x:v>
      </x:c>
      <x:c r="AC31" s="25" t="n">
        <x:v>12.536225691428573</x:v>
      </x:c>
      <x:c r="AD31" s="25" t="n">
        <x:v>175507.15968</x:v>
      </x:c>
      <x:c r="AE31" s="25" t="n">
        <x:v>6314.457600000001</x:v>
      </x:c>
      <x:c r="AF31" s="25" t="n">
        <x:v>15786.144000000002</x:v>
      </x:c>
      <x:c r="AG31" s="25" t="n">
        <x:v>27.41372433952205</x:v>
      </x:c>
      <x:c r="AH31" s="25" t="n">
        <x:v>7.503751875937969</x:v>
      </x:c>
      <x:c r="AI31" t="n">
        <x:f>Z31-Y31</x:f>
        <x:v>161507.15968</x:v>
      </x:c>
      <x:c r="AJ31" t="n">
        <x:f>AA31/S31</x:f>
        <x:v>0.8079397682841422</x:v>
      </x:c>
      <x:c r="AK31" t="n">
        <x:f>Z31/Y31</x:f>
        <x:v>12.536225691428573</x:v>
      </x:c>
    </x:row>
    <x:row r="32" ht="15" hidden="0" customHeight="1">
      <x:c r="A32" s="25" t="str">
        <x:v>FLEX</x:v>
      </x:c>
      <x:c r="B32" s="25" t="n">
        <x:v>5</x:v>
      </x:c>
      <x:c r="C32" s="25" t="str">
        <x:v>Côte d’Ivoire</x:v>
      </x:c>
      <x:c r="D32" s="25" t="str">
        <x:v>Base</x:v>
      </x:c>
      <x:c r="E32" s="25" t="n">
        <x:v>8</x:v>
      </x:c>
      <x:c r="F32" s="25" t="n">
        <x:v>4</x:v>
      </x:c>
      <x:c r="G32" s="25" t="n">
        <x:v>3</x:v>
      </x:c>
      <x:c r="H32" s="25" t="n">
        <x:v>35</x:v>
      </x:c>
      <x:c r="I32" s="25" t="str">
        <x:v>Équilibré</x:v>
      </x:c>
      <x:c r="J32" s="25" t="n">
        <x:v>1</x:v>
      </x:c>
      <x:c r="K32" s="25" t="n">
        <x:v>9900</x:v>
      </x:c>
      <x:c r="L32" s="25" t="n">
        <x:v>25900</x:v>
      </x:c>
      <x:c r="M32" s="25" t="n">
        <x:v>35800</x:v>
      </x:c>
      <x:c r="N32" s="25" t="n">
        <x:v>0.15</x:v>
      </x:c>
      <x:c r="O32" s="25" t="n">
        <x:v>0.7</x:v>
      </x:c>
      <x:c r="P32" s="25" t="n">
        <x:v>0.105</x:v>
      </x:c>
      <x:c r="Q32" s="25" t="n">
        <x:v>0.198</x:v>
      </x:c>
      <x:c r="R32" s="25" t="n">
        <x:v>1.3</x:v>
      </x:c>
      <x:c r="S32" s="25" t="n">
        <x:v>12619.5</x:v>
      </x:c>
      <x:c r="T32" s="25" t="n">
        <x:v>504.78000000000003</x:v>
      </x:c>
      <x:c r="U32" s="25" t="n">
        <x:v>151.434</x:v>
      </x:c>
      <x:c r="V32" s="25" t="n">
        <x:v>2496.9</x:v>
      </x:c>
      <x:c r="W32" s="25" t="n">
        <x:v>404.15760000000006</x:v>
      </x:c>
      <x:c r="X32" s="25" t="n">
        <x:v>4.041576000000001</x:v>
      </x:c>
      <x:c r="Y32" s="25" t="n">
        <x:v>7699.999999999999</x:v>
      </x:c>
      <x:c r="Z32" s="25" t="n">
        <x:v>9058.186824</x:v>
      </x:c>
      <x:c r="AA32" s="25" t="n">
        <x:v>1358.1868240000013</x:v>
      </x:c>
      <x:c r="AB32" s="25" t="n">
        <x:v>0.10762604096834275</x:v>
      </x:c>
      <x:c r="AC32" s="25" t="n">
        <x:v>1.1763878992207795</x:v>
      </x:c>
      <x:c r="AD32" s="25" t="n">
        <x:v>9058.186824</x:v>
      </x:c>
      <x:c r="AE32" s="25" t="n">
        <x:v>222.28668000000005</x:v>
      </x:c>
      <x:c r="AF32" s="25" t="n">
        <x:v>555.7167000000002</x:v>
      </x:c>
      <x:c r="AG32" s="25" t="n">
        <x:v>7.946432057917285</x:v>
      </x:c>
      <x:c r="AH32" s="25" t="n">
        <x:v>4.189944134078212</x:v>
      </x:c>
      <x:c r="AI32" t="n">
        <x:f>Z32-Y32</x:f>
        <x:v>1358.1868240000013</x:v>
      </x:c>
      <x:c r="AJ32" t="n">
        <x:f>AA32/S32</x:f>
        <x:v>0.10762604096834275</x:v>
      </x:c>
      <x:c r="AK32" t="n">
        <x:f>Z32/Y32</x:f>
        <x:v>1.1763878992207795</x:v>
      </x:c>
    </x:row>
    <x:row r="33" ht="15" hidden="0" customHeight="1">
      <x:c r="A33" s="25" t="str">
        <x:v>FLEX</x:v>
      </x:c>
      <x:c r="B33" s="25" t="n">
        <x:v>5</x:v>
      </x:c>
      <x:c r="C33" s="25" t="str">
        <x:v>Cameroun</x:v>
      </x:c>
      <x:c r="D33" s="25" t="str">
        <x:v>Base</x:v>
      </x:c>
      <x:c r="E33" s="25" t="n">
        <x:v>8</x:v>
      </x:c>
      <x:c r="F33" s="25" t="n">
        <x:v>4</x:v>
      </x:c>
      <x:c r="G33" s="25" t="n">
        <x:v>3</x:v>
      </x:c>
      <x:c r="H33" s="25" t="n">
        <x:v>35</x:v>
      </x:c>
      <x:c r="I33" s="25" t="str">
        <x:v>Équilibré</x:v>
      </x:c>
      <x:c r="J33" s="25" t="n">
        <x:v>1</x:v>
      </x:c>
      <x:c r="K33" s="25" t="n">
        <x:v>9900</x:v>
      </x:c>
      <x:c r="L33" s="25" t="n">
        <x:v>25900</x:v>
      </x:c>
      <x:c r="M33" s="25" t="n">
        <x:v>35800</x:v>
      </x:c>
      <x:c r="N33" s="25" t="n">
        <x:v>0.15</x:v>
      </x:c>
      <x:c r="O33" s="25" t="n">
        <x:v>0.7</x:v>
      </x:c>
      <x:c r="P33" s="25" t="n">
        <x:v>0.105</x:v>
      </x:c>
      <x:c r="Q33" s="25" t="n">
        <x:v>0.198</x:v>
      </x:c>
      <x:c r="R33" s="25" t="n">
        <x:v>1.3</x:v>
      </x:c>
      <x:c r="S33" s="25" t="n">
        <x:v>12619.5</x:v>
      </x:c>
      <x:c r="T33" s="25" t="n">
        <x:v>504.78000000000003</x:v>
      </x:c>
      <x:c r="U33" s="25" t="n">
        <x:v>151.434</x:v>
      </x:c>
      <x:c r="V33" s="25" t="n">
        <x:v>2496.9</x:v>
      </x:c>
      <x:c r="W33" s="25" t="n">
        <x:v>404.15760000000006</x:v>
      </x:c>
      <x:c r="X33" s="25" t="n">
        <x:v>4.041576000000001</x:v>
      </x:c>
      <x:c r="Y33" s="25" t="n">
        <x:v>8400</x:v>
      </x:c>
      <x:c r="Z33" s="25" t="n">
        <x:v>9058.186824</x:v>
      </x:c>
      <x:c r="AA33" s="25" t="n">
        <x:v>658.1868240000003</x:v>
      </x:c>
      <x:c r="AB33" s="25" t="n">
        <x:v>0.052156331391893525</x:v>
      </x:c>
      <x:c r="AC33" s="25" t="n">
        <x:v>1.0783555742857143</x:v>
      </x:c>
      <x:c r="AD33" s="25" t="n">
        <x:v>9058.186824</x:v>
      </x:c>
      <x:c r="AE33" s="25" t="n">
        <x:v>222.28668000000005</x:v>
      </x:c>
      <x:c r="AF33" s="25" t="n">
        <x:v>555.7167000000002</x:v>
      </x:c>
      <x:c r="AG33" s="25" t="n">
        <x:v>4.797345481969501</x:v>
      </x:c>
      <x:c r="AH33" s="25" t="n">
        <x:v>4.189944134078212</x:v>
      </x:c>
      <x:c r="AI33" t="n">
        <x:f>Z33-Y33</x:f>
        <x:v>658.1868240000003</x:v>
      </x:c>
      <x:c r="AJ33" t="n">
        <x:f>AA33/S33</x:f>
        <x:v>0.052156331391893525</x:v>
      </x:c>
      <x:c r="AK33" t="n">
        <x:f>Z33/Y33</x:f>
        <x:v>1.0783555742857143</x:v>
      </x:c>
    </x:row>
    <x:row r="34" ht="15" hidden="0" customHeight="1">
      <x:c r="A34" s="25" t="str">
        <x:v>FLEX</x:v>
      </x:c>
      <x:c r="B34" s="25" t="n">
        <x:v>5</x:v>
      </x:c>
      <x:c r="C34" s="25" t="str">
        <x:v>Sénégal</x:v>
      </x:c>
      <x:c r="D34" s="25" t="str">
        <x:v>Base</x:v>
      </x:c>
      <x:c r="E34" s="25" t="n">
        <x:v>8</x:v>
      </x:c>
      <x:c r="F34" s="25" t="n">
        <x:v>4</x:v>
      </x:c>
      <x:c r="G34" s="25" t="n">
        <x:v>3</x:v>
      </x:c>
      <x:c r="H34" s="25" t="n">
        <x:v>35</x:v>
      </x:c>
      <x:c r="I34" s="25" t="str">
        <x:v>Équilibré</x:v>
      </x:c>
      <x:c r="J34" s="25" t="n">
        <x:v>1</x:v>
      </x:c>
      <x:c r="K34" s="25" t="n">
        <x:v>9900</x:v>
      </x:c>
      <x:c r="L34" s="25" t="n">
        <x:v>25900</x:v>
      </x:c>
      <x:c r="M34" s="25" t="n">
        <x:v>35800</x:v>
      </x:c>
      <x:c r="N34" s="25" t="n">
        <x:v>0.15</x:v>
      </x:c>
      <x:c r="O34" s="25" t="n">
        <x:v>0.7</x:v>
      </x:c>
      <x:c r="P34" s="25" t="n">
        <x:v>0.105</x:v>
      </x:c>
      <x:c r="Q34" s="25" t="n">
        <x:v>0.198</x:v>
      </x:c>
      <x:c r="R34" s="25" t="n">
        <x:v>1.3</x:v>
      </x:c>
      <x:c r="S34" s="25" t="n">
        <x:v>12619.5</x:v>
      </x:c>
      <x:c r="T34" s="25" t="n">
        <x:v>504.78000000000003</x:v>
      </x:c>
      <x:c r="U34" s="25" t="n">
        <x:v>151.434</x:v>
      </x:c>
      <x:c r="V34" s="25" t="n">
        <x:v>2496.9</x:v>
      </x:c>
      <x:c r="W34" s="25" t="n">
        <x:v>404.15760000000006</x:v>
      </x:c>
      <x:c r="X34" s="25" t="n">
        <x:v>4.041576000000001</x:v>
      </x:c>
      <x:c r="Y34" s="25" t="n">
        <x:v>10500</x:v>
      </x:c>
      <x:c r="Z34" s="25" t="n">
        <x:v>9058.186824</x:v>
      </x:c>
      <x:c r="AA34" s="25" t="n">
        <x:v>-1441.8131759999997</x:v>
      </x:c>
      <x:c r="AB34" s="25" t="n">
        <x:v>-0.11425279733745392</x:v>
      </x:c>
      <x:c r="AC34" s="25" t="n">
        <x:v>0.8626844594285714</x:v>
      </x:c>
      <x:c r="AD34" s="25" t="n">
        <x:v>9058.186824</x:v>
      </x:c>
      <x:c r="AE34" s="25" t="n">
        <x:v>222.28668000000005</x:v>
      </x:c>
      <x:c r="AF34" s="25" t="n">
        <x:v>555.7167000000002</x:v>
      </x:c>
      <x:c r="AG34" s="25" t="n">
        <x:v>-4.649914245873839</x:v>
      </x:c>
      <x:c r="AH34" s="25" t="n">
        <x:v>4.189944134078212</x:v>
      </x:c>
      <x:c r="AI34" t="n">
        <x:f>Z34-Y34</x:f>
        <x:v>-1441.8131759999997</x:v>
      </x:c>
      <x:c r="AJ34" t="n">
        <x:f>AA34/S34</x:f>
        <x:v>-0.11425279733745392</x:v>
      </x:c>
      <x:c r="AK34" t="n">
        <x:f>Z34/Y34</x:f>
        <x:v>0.8626844594285714</x:v>
      </x:c>
    </x:row>
    <x:row r="35" ht="15" hidden="0" customHeight="1">
      <x:c r="A35" s="25" t="str">
        <x:v>FLEX</x:v>
      </x:c>
      <x:c r="B35" s="25" t="n">
        <x:v>5</x:v>
      </x:c>
      <x:c r="C35" s="25" t="str">
        <x:v>Bénin</x:v>
      </x:c>
      <x:c r="D35" s="25" t="str">
        <x:v>Base</x:v>
      </x:c>
      <x:c r="E35" s="25" t="n">
        <x:v>8</x:v>
      </x:c>
      <x:c r="F35" s="25" t="n">
        <x:v>4</x:v>
      </x:c>
      <x:c r="G35" s="25" t="n">
        <x:v>3</x:v>
      </x:c>
      <x:c r="H35" s="25" t="n">
        <x:v>35</x:v>
      </x:c>
      <x:c r="I35" s="25" t="str">
        <x:v>Équilibré</x:v>
      </x:c>
      <x:c r="J35" s="25" t="n">
        <x:v>1</x:v>
      </x:c>
      <x:c r="K35" s="25" t="n">
        <x:v>9900</x:v>
      </x:c>
      <x:c r="L35" s="25" t="n">
        <x:v>25900</x:v>
      </x:c>
      <x:c r="M35" s="25" t="n">
        <x:v>35800</x:v>
      </x:c>
      <x:c r="N35" s="25" t="n">
        <x:v>0.15</x:v>
      </x:c>
      <x:c r="O35" s="25" t="n">
        <x:v>0.7</x:v>
      </x:c>
      <x:c r="P35" s="25" t="n">
        <x:v>0.105</x:v>
      </x:c>
      <x:c r="Q35" s="25" t="n">
        <x:v>0.198</x:v>
      </x:c>
      <x:c r="R35" s="25" t="n">
        <x:v>1.3</x:v>
      </x:c>
      <x:c r="S35" s="25" t="n">
        <x:v>12619.5</x:v>
      </x:c>
      <x:c r="T35" s="25" t="n">
        <x:v>504.78000000000003</x:v>
      </x:c>
      <x:c r="U35" s="25" t="n">
        <x:v>151.434</x:v>
      </x:c>
      <x:c r="V35" s="25" t="n">
        <x:v>2496.9</x:v>
      </x:c>
      <x:c r="W35" s="25" t="n">
        <x:v>404.15760000000006</x:v>
      </x:c>
      <x:c r="X35" s="25" t="n">
        <x:v>4.041576000000001</x:v>
      </x:c>
      <x:c r="Y35" s="25" t="n">
        <x:v>7000</x:v>
      </x:c>
      <x:c r="Z35" s="25" t="n">
        <x:v>9058.186824</x:v>
      </x:c>
      <x:c r="AA35" s="25" t="n">
        <x:v>2058.1868240000003</x:v>
      </x:c>
      <x:c r="AB35" s="25" t="n">
        <x:v>0.1630957505447918</x:v>
      </x:c>
      <x:c r="AC35" s="25" t="n">
        <x:v>1.2940266891428571</x:v>
      </x:c>
      <x:c r="AD35" s="25" t="n">
        <x:v>9058.186824</x:v>
      </x:c>
      <x:c r="AE35" s="25" t="n">
        <x:v>222.28668000000005</x:v>
      </x:c>
      <x:c r="AF35" s="25" t="n">
        <x:v>555.7167000000002</x:v>
      </x:c>
      <x:c r="AG35" s="25" t="n">
        <x:v>11.09551863386506</x:v>
      </x:c>
      <x:c r="AH35" s="25" t="n">
        <x:v>4.189944134078212</x:v>
      </x:c>
      <x:c r="AI35" t="n">
        <x:f>Z35-Y35</x:f>
        <x:v>2058.1868240000003</x:v>
      </x:c>
      <x:c r="AJ35" t="n">
        <x:f>AA35/S35</x:f>
        <x:v>0.1630957505447918</x:v>
      </x:c>
      <x:c r="AK35" t="n">
        <x:f>Z35/Y35</x:f>
        <x:v>1.2940266891428571</x:v>
      </x:c>
    </x:row>
    <x:row r="36" ht="15" hidden="0" customHeight="1">
      <x:c r="A36" s="25" t="str">
        <x:v>FLEX</x:v>
      </x:c>
      <x:c r="B36" s="25" t="n">
        <x:v>5</x:v>
      </x:c>
      <x:c r="C36" s="25" t="str">
        <x:v>Burkina Faso</x:v>
      </x:c>
      <x:c r="D36" s="25" t="str">
        <x:v>Base</x:v>
      </x:c>
      <x:c r="E36" s="25" t="n">
        <x:v>8</x:v>
      </x:c>
      <x:c r="F36" s="25" t="n">
        <x:v>4</x:v>
      </x:c>
      <x:c r="G36" s="25" t="n">
        <x:v>3</x:v>
      </x:c>
      <x:c r="H36" s="25" t="n">
        <x:v>35</x:v>
      </x:c>
      <x:c r="I36" s="25" t="str">
        <x:v>Équilibré</x:v>
      </x:c>
      <x:c r="J36" s="25" t="n">
        <x:v>1</x:v>
      </x:c>
      <x:c r="K36" s="25" t="n">
        <x:v>9900</x:v>
      </x:c>
      <x:c r="L36" s="25" t="n">
        <x:v>25900</x:v>
      </x:c>
      <x:c r="M36" s="25" t="n">
        <x:v>35800</x:v>
      </x:c>
      <x:c r="N36" s="25" t="n">
        <x:v>0.15</x:v>
      </x:c>
      <x:c r="O36" s="25" t="n">
        <x:v>0.7</x:v>
      </x:c>
      <x:c r="P36" s="25" t="n">
        <x:v>0.105</x:v>
      </x:c>
      <x:c r="Q36" s="25" t="n">
        <x:v>0.198</x:v>
      </x:c>
      <x:c r="R36" s="25" t="n">
        <x:v>1.3</x:v>
      </x:c>
      <x:c r="S36" s="25" t="n">
        <x:v>12619.5</x:v>
      </x:c>
      <x:c r="T36" s="25" t="n">
        <x:v>504.78000000000003</x:v>
      </x:c>
      <x:c r="U36" s="25" t="n">
        <x:v>151.434</x:v>
      </x:c>
      <x:c r="V36" s="25" t="n">
        <x:v>2496.9</x:v>
      </x:c>
      <x:c r="W36" s="25" t="n">
        <x:v>404.15760000000006</x:v>
      </x:c>
      <x:c r="X36" s="25" t="n">
        <x:v>4.041576000000001</x:v>
      </x:c>
      <x:c r="Y36" s="25" t="n">
        <x:v>8049.999999999999</x:v>
      </x:c>
      <x:c r="Z36" s="25" t="n">
        <x:v>9058.186824</x:v>
      </x:c>
      <x:c r="AA36" s="25" t="n">
        <x:v>1008.1868240000013</x:v>
      </x:c>
      <x:c r="AB36" s="25" t="n">
        <x:v>0.07989118618011817</x:v>
      </x:c>
      <x:c r="AC36" s="25" t="n">
        <x:v>1.1252405992546586</x:v>
      </x:c>
      <x:c r="AD36" s="25" t="n">
        <x:v>9058.186824</x:v>
      </x:c>
      <x:c r="AE36" s="25" t="n">
        <x:v>222.28668000000005</x:v>
      </x:c>
      <x:c r="AF36" s="25" t="n">
        <x:v>555.7167000000002</x:v>
      </x:c>
      <x:c r="AG36" s="25" t="n">
        <x:v>6.371888769943395</x:v>
      </x:c>
      <x:c r="AH36" s="25" t="n">
        <x:v>4.189944134078212</x:v>
      </x:c>
      <x:c r="AI36" t="n">
        <x:f>Z36-Y36</x:f>
        <x:v>1008.1868240000013</x:v>
      </x:c>
      <x:c r="AJ36" t="n">
        <x:f>AA36/S36</x:f>
        <x:v>0.07989118618011817</x:v>
      </x:c>
      <x:c r="AK36" t="n">
        <x:f>Z36/Y36</x:f>
        <x:v>1.1252405992546586</x:v>
      </x:c>
    </x:row>
    <x:row r="37" ht="15" hidden="0" customHeight="1">
      <x:c r="A37" s="25" t="str">
        <x:v>FLEX</x:v>
      </x:c>
      <x:c r="B37" s="25" t="n">
        <x:v>5</x:v>
      </x:c>
      <x:c r="C37" s="25" t="str">
        <x:v>Togo</x:v>
      </x:c>
      <x:c r="D37" s="25" t="str">
        <x:v>Base</x:v>
      </x:c>
      <x:c r="E37" s="25" t="n">
        <x:v>8</x:v>
      </x:c>
      <x:c r="F37" s="25" t="n">
        <x:v>4</x:v>
      </x:c>
      <x:c r="G37" s="25" t="n">
        <x:v>3</x:v>
      </x:c>
      <x:c r="H37" s="25" t="n">
        <x:v>35</x:v>
      </x:c>
      <x:c r="I37" s="25" t="str">
        <x:v>Équilibré</x:v>
      </x:c>
      <x:c r="J37" s="25" t="n">
        <x:v>1</x:v>
      </x:c>
      <x:c r="K37" s="25" t="n">
        <x:v>9900</x:v>
      </x:c>
      <x:c r="L37" s="25" t="n">
        <x:v>25900</x:v>
      </x:c>
      <x:c r="M37" s="25" t="n">
        <x:v>35800</x:v>
      </x:c>
      <x:c r="N37" s="25" t="n">
        <x:v>0.15</x:v>
      </x:c>
      <x:c r="O37" s="25" t="n">
        <x:v>0.7</x:v>
      </x:c>
      <x:c r="P37" s="25" t="n">
        <x:v>0.105</x:v>
      </x:c>
      <x:c r="Q37" s="25" t="n">
        <x:v>0.198</x:v>
      </x:c>
      <x:c r="R37" s="25" t="n">
        <x:v>1.3</x:v>
      </x:c>
      <x:c r="S37" s="25" t="n">
        <x:v>12619.5</x:v>
      </x:c>
      <x:c r="T37" s="25" t="n">
        <x:v>504.78000000000003</x:v>
      </x:c>
      <x:c r="U37" s="25" t="n">
        <x:v>151.434</x:v>
      </x:c>
      <x:c r="V37" s="25" t="n">
        <x:v>2496.9</x:v>
      </x:c>
      <x:c r="W37" s="25" t="n">
        <x:v>404.15760000000006</x:v>
      </x:c>
      <x:c r="X37" s="25" t="n">
        <x:v>4.041576000000001</x:v>
      </x:c>
      <x:c r="Y37" s="25" t="n">
        <x:v>9800</x:v>
      </x:c>
      <x:c r="Z37" s="25" t="n">
        <x:v>9058.186824</x:v>
      </x:c>
      <x:c r="AA37" s="25" t="n">
        <x:v>-741.8131759999997</x:v>
      </x:c>
      <x:c r="AB37" s="25" t="n">
        <x:v>-0.058783087761004764</x:v>
      </x:c>
      <x:c r="AC37" s="25" t="n">
        <x:v>0.9243047779591838</x:v>
      </x:c>
      <x:c r="AD37" s="25" t="n">
        <x:v>9058.186824</x:v>
      </x:c>
      <x:c r="AE37" s="25" t="n">
        <x:v>222.28668000000005</x:v>
      </x:c>
      <x:c r="AF37" s="25" t="n">
        <x:v>555.7167000000002</x:v>
      </x:c>
      <x:c r="AG37" s="25" t="n">
        <x:v>-1.500827669926059</x:v>
      </x:c>
      <x:c r="AH37" s="25" t="n">
        <x:v>4.189944134078212</x:v>
      </x:c>
      <x:c r="AI37" t="n">
        <x:f>Z37-Y37</x:f>
        <x:v>-741.8131759999997</x:v>
      </x:c>
      <x:c r="AJ37" t="n">
        <x:f>AA37/S37</x:f>
        <x:v>-0.058783087761004764</x:v>
      </x:c>
      <x:c r="AK37" t="n">
        <x:f>Z37/Y37</x:f>
        <x:v>0.9243047779591838</x:v>
      </x:c>
    </x:row>
    <x:row r="38" ht="15" hidden="0" customHeight="1">
      <x:c r="A38" s="25" t="str">
        <x:v>FLEX</x:v>
      </x:c>
      <x:c r="B38" s="25" t="n">
        <x:v>10</x:v>
      </x:c>
      <x:c r="C38" s="25" t="str">
        <x:v>Côte d’Ivoire</x:v>
      </x:c>
      <x:c r="D38" s="25" t="str">
        <x:v>Base</x:v>
      </x:c>
      <x:c r="E38" s="25" t="n">
        <x:v>8</x:v>
      </x:c>
      <x:c r="F38" s="25" t="n">
        <x:v>4</x:v>
      </x:c>
      <x:c r="G38" s="25" t="n">
        <x:v>3</x:v>
      </x:c>
      <x:c r="H38" s="25" t="n">
        <x:v>35</x:v>
      </x:c>
      <x:c r="I38" s="25" t="str">
        <x:v>Équilibré</x:v>
      </x:c>
      <x:c r="J38" s="25" t="n">
        <x:v>1</x:v>
      </x:c>
      <x:c r="K38" s="25" t="n">
        <x:v>14900</x:v>
      </x:c>
      <x:c r="L38" s="25" t="n">
        <x:v>39900</x:v>
      </x:c>
      <x:c r="M38" s="25" t="n">
        <x:v>54800</x:v>
      </x:c>
      <x:c r="N38" s="25" t="n">
        <x:v>0.15</x:v>
      </x:c>
      <x:c r="O38" s="25" t="n">
        <x:v>0.7</x:v>
      </x:c>
      <x:c r="P38" s="25" t="n">
        <x:v>0.105</x:v>
      </x:c>
      <x:c r="Q38" s="25" t="n">
        <x:v>0.198</x:v>
      </x:c>
      <x:c r="R38" s="25" t="n">
        <x:v>1.3</x:v>
      </x:c>
      <x:c r="S38" s="25" t="n">
        <x:v>19089.5</x:v>
      </x:c>
      <x:c r="T38" s="25" t="n">
        <x:v>763.58</x:v>
      </x:c>
      <x:c r="U38" s="25" t="n">
        <x:v>229.074</x:v>
      </x:c>
      <x:c r="V38" s="25" t="n">
        <x:v>2496.9</x:v>
      </x:c>
      <x:c r="W38" s="25" t="n">
        <x:v>808.3152000000001</x:v>
      </x:c>
      <x:c r="X38" s="25" t="n">
        <x:v>8.083152000000002</x:v>
      </x:c>
      <x:c r="Y38" s="25" t="n">
        <x:v>7699.999999999999</x:v>
      </x:c>
      <x:c r="Z38" s="25" t="n">
        <x:v>14783.547647999998</x:v>
      </x:c>
      <x:c r="AA38" s="25" t="n">
        <x:v>7083.547647999999</x:v>
      </x:c>
      <x:c r="AB38" s="25" t="n">
        <x:v>0.37107036056470827</x:v>
      </x:c>
      <x:c r="AC38" s="25" t="n">
        <x:v>1.919941252987013</x:v>
      </x:c>
      <x:c r="AD38" s="25" t="n">
        <x:v>14783.547647999998</x:v>
      </x:c>
      <x:c r="AE38" s="25" t="n">
        <x:v>444.5733600000001</x:v>
      </x:c>
      <x:c r="AF38" s="25" t="n">
        <x:v>1111.4334000000003</x:v>
      </x:c>
      <x:c r="AG38" s="25" t="n">
        <x:v>17.76972421379454</x:v>
      </x:c>
      <x:c r="AH38" s="25" t="n">
        <x:v>4.37956204379562</x:v>
      </x:c>
      <x:c r="AI38" t="n">
        <x:f>Z38-Y38</x:f>
        <x:v>7083.547647999999</x:v>
      </x:c>
      <x:c r="AJ38" t="n">
        <x:f>AA38/S38</x:f>
        <x:v>0.37107036056470827</x:v>
      </x:c>
      <x:c r="AK38" t="n">
        <x:f>Z38/Y38</x:f>
        <x:v>1.919941252987013</x:v>
      </x:c>
    </x:row>
    <x:row r="39" ht="15" hidden="0" customHeight="1">
      <x:c r="A39" s="25" t="str">
        <x:v>FLEX</x:v>
      </x:c>
      <x:c r="B39" s="25" t="n">
        <x:v>10</x:v>
      </x:c>
      <x:c r="C39" s="25" t="str">
        <x:v>Cameroun</x:v>
      </x:c>
      <x:c r="D39" s="25" t="str">
        <x:v>Base</x:v>
      </x:c>
      <x:c r="E39" s="25" t="n">
        <x:v>8</x:v>
      </x:c>
      <x:c r="F39" s="25" t="n">
        <x:v>4</x:v>
      </x:c>
      <x:c r="G39" s="25" t="n">
        <x:v>3</x:v>
      </x:c>
      <x:c r="H39" s="25" t="n">
        <x:v>35</x:v>
      </x:c>
      <x:c r="I39" s="25" t="str">
        <x:v>Équilibré</x:v>
      </x:c>
      <x:c r="J39" s="25" t="n">
        <x:v>1</x:v>
      </x:c>
      <x:c r="K39" s="25" t="n">
        <x:v>14900</x:v>
      </x:c>
      <x:c r="L39" s="25" t="n">
        <x:v>39900</x:v>
      </x:c>
      <x:c r="M39" s="25" t="n">
        <x:v>54800</x:v>
      </x:c>
      <x:c r="N39" s="25" t="n">
        <x:v>0.15</x:v>
      </x:c>
      <x:c r="O39" s="25" t="n">
        <x:v>0.7</x:v>
      </x:c>
      <x:c r="P39" s="25" t="n">
        <x:v>0.105</x:v>
      </x:c>
      <x:c r="Q39" s="25" t="n">
        <x:v>0.198</x:v>
      </x:c>
      <x:c r="R39" s="25" t="n">
        <x:v>1.3</x:v>
      </x:c>
      <x:c r="S39" s="25" t="n">
        <x:v>19089.5</x:v>
      </x:c>
      <x:c r="T39" s="25" t="n">
        <x:v>763.58</x:v>
      </x:c>
      <x:c r="U39" s="25" t="n">
        <x:v>229.074</x:v>
      </x:c>
      <x:c r="V39" s="25" t="n">
        <x:v>2496.9</x:v>
      </x:c>
      <x:c r="W39" s="25" t="n">
        <x:v>808.3152000000001</x:v>
      </x:c>
      <x:c r="X39" s="25" t="n">
        <x:v>8.083152000000002</x:v>
      </x:c>
      <x:c r="Y39" s="25" t="n">
        <x:v>8400</x:v>
      </x:c>
      <x:c r="Z39" s="25" t="n">
        <x:v>14783.547647999998</x:v>
      </x:c>
      <x:c r="AA39" s="25" t="n">
        <x:v>6383.547647999998</x:v>
      </x:c>
      <x:c r="AB39" s="25" t="n">
        <x:v>0.33440098734906615</x:v>
      </x:c>
      <x:c r="AC39" s="25" t="n">
        <x:v>1.7599461485714283</x:v>
      </x:c>
      <x:c r="AD39" s="25" t="n">
        <x:v>14783.547647999998</x:v>
      </x:c>
      <x:c r="AE39" s="25" t="n">
        <x:v>444.5733600000001</x:v>
      </x:c>
      <x:c r="AF39" s="25" t="n">
        <x:v>1111.4334000000003</x:v>
      </x:c>
      <x:c r="AG39" s="25" t="n">
        <x:v>16.195180925820647</x:v>
      </x:c>
      <x:c r="AH39" s="25" t="n">
        <x:v>4.37956204379562</x:v>
      </x:c>
      <x:c r="AI39" t="n">
        <x:f>Z39-Y39</x:f>
        <x:v>6383.547647999998</x:v>
      </x:c>
      <x:c r="AJ39" t="n">
        <x:f>AA39/S39</x:f>
        <x:v>0.33440098734906615</x:v>
      </x:c>
      <x:c r="AK39" t="n">
        <x:f>Z39/Y39</x:f>
        <x:v>1.7599461485714283</x:v>
      </x:c>
    </x:row>
    <x:row r="40" ht="15" hidden="0" customHeight="1">
      <x:c r="A40" s="25" t="str">
        <x:v>FLEX</x:v>
      </x:c>
      <x:c r="B40" s="25" t="n">
        <x:v>10</x:v>
      </x:c>
      <x:c r="C40" s="25" t="str">
        <x:v>Sénégal</x:v>
      </x:c>
      <x:c r="D40" s="25" t="str">
        <x:v>Base</x:v>
      </x:c>
      <x:c r="E40" s="25" t="n">
        <x:v>8</x:v>
      </x:c>
      <x:c r="F40" s="25" t="n">
        <x:v>4</x:v>
      </x:c>
      <x:c r="G40" s="25" t="n">
        <x:v>3</x:v>
      </x:c>
      <x:c r="H40" s="25" t="n">
        <x:v>35</x:v>
      </x:c>
      <x:c r="I40" s="25" t="str">
        <x:v>Équilibré</x:v>
      </x:c>
      <x:c r="J40" s="25" t="n">
        <x:v>1</x:v>
      </x:c>
      <x:c r="K40" s="25" t="n">
        <x:v>14900</x:v>
      </x:c>
      <x:c r="L40" s="25" t="n">
        <x:v>39900</x:v>
      </x:c>
      <x:c r="M40" s="25" t="n">
        <x:v>54800</x:v>
      </x:c>
      <x:c r="N40" s="25" t="n">
        <x:v>0.15</x:v>
      </x:c>
      <x:c r="O40" s="25" t="n">
        <x:v>0.7</x:v>
      </x:c>
      <x:c r="P40" s="25" t="n">
        <x:v>0.105</x:v>
      </x:c>
      <x:c r="Q40" s="25" t="n">
        <x:v>0.198</x:v>
      </x:c>
      <x:c r="R40" s="25" t="n">
        <x:v>1.3</x:v>
      </x:c>
      <x:c r="S40" s="25" t="n">
        <x:v>19089.5</x:v>
      </x:c>
      <x:c r="T40" s="25" t="n">
        <x:v>763.58</x:v>
      </x:c>
      <x:c r="U40" s="25" t="n">
        <x:v>229.074</x:v>
      </x:c>
      <x:c r="V40" s="25" t="n">
        <x:v>2496.9</x:v>
      </x:c>
      <x:c r="W40" s="25" t="n">
        <x:v>808.3152000000001</x:v>
      </x:c>
      <x:c r="X40" s="25" t="n">
        <x:v>8.083152000000002</x:v>
      </x:c>
      <x:c r="Y40" s="25" t="n">
        <x:v>10500</x:v>
      </x:c>
      <x:c r="Z40" s="25" t="n">
        <x:v>14783.547647999998</x:v>
      </x:c>
      <x:c r="AA40" s="25" t="n">
        <x:v>4283.547647999998</x:v>
      </x:c>
      <x:c r="AB40" s="25" t="n">
        <x:v>0.22439286770213981</x:v>
      </x:c>
      <x:c r="AC40" s="25" t="n">
        <x:v>1.4079569188571426</x:v>
      </x:c>
      <x:c r="AD40" s="25" t="n">
        <x:v>14783.547647999998</x:v>
      </x:c>
      <x:c r="AE40" s="25" t="n">
        <x:v>444.5733600000001</x:v>
      </x:c>
      <x:c r="AF40" s="25" t="n">
        <x:v>1111.4334000000003</x:v>
      </x:c>
      <x:c r="AG40" s="25" t="n">
        <x:v>11.471551061898978</x:v>
      </x:c>
      <x:c r="AH40" s="25" t="n">
        <x:v>4.37956204379562</x:v>
      </x:c>
      <x:c r="AI40" t="n">
        <x:f>Z40-Y40</x:f>
        <x:v>4283.547647999998</x:v>
      </x:c>
      <x:c r="AJ40" t="n">
        <x:f>AA40/S40</x:f>
        <x:v>0.22439286770213981</x:v>
      </x:c>
      <x:c r="AK40" t="n">
        <x:f>Z40/Y40</x:f>
        <x:v>1.4079569188571426</x:v>
      </x:c>
    </x:row>
    <x:row r="41" ht="15" hidden="0" customHeight="1">
      <x:c r="A41" s="25" t="str">
        <x:v>FLEX</x:v>
      </x:c>
      <x:c r="B41" s="25" t="n">
        <x:v>10</x:v>
      </x:c>
      <x:c r="C41" s="25" t="str">
        <x:v>Bénin</x:v>
      </x:c>
      <x:c r="D41" s="25" t="str">
        <x:v>Base</x:v>
      </x:c>
      <x:c r="E41" s="25" t="n">
        <x:v>8</x:v>
      </x:c>
      <x:c r="F41" s="25" t="n">
        <x:v>4</x:v>
      </x:c>
      <x:c r="G41" s="25" t="n">
        <x:v>3</x:v>
      </x:c>
      <x:c r="H41" s="25" t="n">
        <x:v>35</x:v>
      </x:c>
      <x:c r="I41" s="25" t="str">
        <x:v>Équilibré</x:v>
      </x:c>
      <x:c r="J41" s="25" t="n">
        <x:v>1</x:v>
      </x:c>
      <x:c r="K41" s="25" t="n">
        <x:v>14900</x:v>
      </x:c>
      <x:c r="L41" s="25" t="n">
        <x:v>39900</x:v>
      </x:c>
      <x:c r="M41" s="25" t="n">
        <x:v>54800</x:v>
      </x:c>
      <x:c r="N41" s="25" t="n">
        <x:v>0.15</x:v>
      </x:c>
      <x:c r="O41" s="25" t="n">
        <x:v>0.7</x:v>
      </x:c>
      <x:c r="P41" s="25" t="n">
        <x:v>0.105</x:v>
      </x:c>
      <x:c r="Q41" s="25" t="n">
        <x:v>0.198</x:v>
      </x:c>
      <x:c r="R41" s="25" t="n">
        <x:v>1.3</x:v>
      </x:c>
      <x:c r="S41" s="25" t="n">
        <x:v>19089.5</x:v>
      </x:c>
      <x:c r="T41" s="25" t="n">
        <x:v>763.58</x:v>
      </x:c>
      <x:c r="U41" s="25" t="n">
        <x:v>229.074</x:v>
      </x:c>
      <x:c r="V41" s="25" t="n">
        <x:v>2496.9</x:v>
      </x:c>
      <x:c r="W41" s="25" t="n">
        <x:v>808.3152000000001</x:v>
      </x:c>
      <x:c r="X41" s="25" t="n">
        <x:v>8.083152000000002</x:v>
      </x:c>
      <x:c r="Y41" s="25" t="n">
        <x:v>7000</x:v>
      </x:c>
      <x:c r="Z41" s="25" t="n">
        <x:v>14783.547647999998</x:v>
      </x:c>
      <x:c r="AA41" s="25" t="n">
        <x:v>7783.547647999998</x:v>
      </x:c>
      <x:c r="AB41" s="25" t="n">
        <x:v>0.40773973378035033</x:v>
      </x:c>
      <x:c r="AC41" s="25" t="n">
        <x:v>2.111935378285714</x:v>
      </x:c>
      <x:c r="AD41" s="25" t="n">
        <x:v>14783.547647999998</x:v>
      </x:c>
      <x:c r="AE41" s="25" t="n">
        <x:v>444.5733600000001</x:v>
      </x:c>
      <x:c r="AF41" s="25" t="n">
        <x:v>1111.4334000000003</x:v>
      </x:c>
      <x:c r="AG41" s="25" t="n">
        <x:v>19.344267501768428</x:v>
      </x:c>
      <x:c r="AH41" s="25" t="n">
        <x:v>4.37956204379562</x:v>
      </x:c>
      <x:c r="AI41" t="n">
        <x:f>Z41-Y41</x:f>
        <x:v>7783.547647999998</x:v>
      </x:c>
      <x:c r="AJ41" t="n">
        <x:f>AA41/S41</x:f>
        <x:v>0.40773973378035033</x:v>
      </x:c>
      <x:c r="AK41" t="n">
        <x:f>Z41/Y41</x:f>
        <x:v>2.111935378285714</x:v>
      </x:c>
    </x:row>
    <x:row r="42" ht="15" hidden="0" customHeight="1">
      <x:c r="A42" s="25" t="str">
        <x:v>FLEX</x:v>
      </x:c>
      <x:c r="B42" s="25" t="n">
        <x:v>10</x:v>
      </x:c>
      <x:c r="C42" s="25" t="str">
        <x:v>Burkina Faso</x:v>
      </x:c>
      <x:c r="D42" s="25" t="str">
        <x:v>Base</x:v>
      </x:c>
      <x:c r="E42" s="25" t="n">
        <x:v>8</x:v>
      </x:c>
      <x:c r="F42" s="25" t="n">
        <x:v>4</x:v>
      </x:c>
      <x:c r="G42" s="25" t="n">
        <x:v>3</x:v>
      </x:c>
      <x:c r="H42" s="25" t="n">
        <x:v>35</x:v>
      </x:c>
      <x:c r="I42" s="25" t="str">
        <x:v>Équilibré</x:v>
      </x:c>
      <x:c r="J42" s="25" t="n">
        <x:v>1</x:v>
      </x:c>
      <x:c r="K42" s="25" t="n">
        <x:v>14900</x:v>
      </x:c>
      <x:c r="L42" s="25" t="n">
        <x:v>39900</x:v>
      </x:c>
      <x:c r="M42" s="25" t="n">
        <x:v>54800</x:v>
      </x:c>
      <x:c r="N42" s="25" t="n">
        <x:v>0.15</x:v>
      </x:c>
      <x:c r="O42" s="25" t="n">
        <x:v>0.7</x:v>
      </x:c>
      <x:c r="P42" s="25" t="n">
        <x:v>0.105</x:v>
      </x:c>
      <x:c r="Q42" s="25" t="n">
        <x:v>0.198</x:v>
      </x:c>
      <x:c r="R42" s="25" t="n">
        <x:v>1.3</x:v>
      </x:c>
      <x:c r="S42" s="25" t="n">
        <x:v>19089.5</x:v>
      </x:c>
      <x:c r="T42" s="25" t="n">
        <x:v>763.58</x:v>
      </x:c>
      <x:c r="U42" s="25" t="n">
        <x:v>229.074</x:v>
      </x:c>
      <x:c r="V42" s="25" t="n">
        <x:v>2496.9</x:v>
      </x:c>
      <x:c r="W42" s="25" t="n">
        <x:v>808.3152000000001</x:v>
      </x:c>
      <x:c r="X42" s="25" t="n">
        <x:v>8.083152000000002</x:v>
      </x:c>
      <x:c r="Y42" s="25" t="n">
        <x:v>8049.999999999999</x:v>
      </x:c>
      <x:c r="Z42" s="25" t="n">
        <x:v>14783.547647999998</x:v>
      </x:c>
      <x:c r="AA42" s="25" t="n">
        <x:v>6733.547647999999</x:v>
      </x:c>
      <x:c r="AB42" s="25" t="n">
        <x:v>0.3527356739568872</x:v>
      </x:c>
      <x:c r="AC42" s="25" t="n">
        <x:v>1.8364655463354036</x:v>
      </x:c>
      <x:c r="AD42" s="25" t="n">
        <x:v>14783.547647999998</x:v>
      </x:c>
      <x:c r="AE42" s="25" t="n">
        <x:v>444.5733600000001</x:v>
      </x:c>
      <x:c r="AF42" s="25" t="n">
        <x:v>1111.4334000000003</x:v>
      </x:c>
      <x:c r="AG42" s="25" t="n">
        <x:v>16.982452569807595</x:v>
      </x:c>
      <x:c r="AH42" s="25" t="n">
        <x:v>4.37956204379562</x:v>
      </x:c>
      <x:c r="AI42" t="n">
        <x:f>Z42-Y42</x:f>
        <x:v>6733.547647999999</x:v>
      </x:c>
      <x:c r="AJ42" t="n">
        <x:f>AA42/S42</x:f>
        <x:v>0.3527356739568872</x:v>
      </x:c>
      <x:c r="AK42" t="n">
        <x:f>Z42/Y42</x:f>
        <x:v>1.8364655463354036</x:v>
      </x:c>
    </x:row>
    <x:row r="43" ht="15" hidden="0" customHeight="1">
      <x:c r="A43" s="25" t="str">
        <x:v>FLEX</x:v>
      </x:c>
      <x:c r="B43" s="25" t="n">
        <x:v>10</x:v>
      </x:c>
      <x:c r="C43" s="25" t="str">
        <x:v>Togo</x:v>
      </x:c>
      <x:c r="D43" s="25" t="str">
        <x:v>Base</x:v>
      </x:c>
      <x:c r="E43" s="25" t="n">
        <x:v>8</x:v>
      </x:c>
      <x:c r="F43" s="25" t="n">
        <x:v>4</x:v>
      </x:c>
      <x:c r="G43" s="25" t="n">
        <x:v>3</x:v>
      </x:c>
      <x:c r="H43" s="25" t="n">
        <x:v>35</x:v>
      </x:c>
      <x:c r="I43" s="25" t="str">
        <x:v>Équilibré</x:v>
      </x:c>
      <x:c r="J43" s="25" t="n">
        <x:v>1</x:v>
      </x:c>
      <x:c r="K43" s="25" t="n">
        <x:v>14900</x:v>
      </x:c>
      <x:c r="L43" s="25" t="n">
        <x:v>39900</x:v>
      </x:c>
      <x:c r="M43" s="25" t="n">
        <x:v>54800</x:v>
      </x:c>
      <x:c r="N43" s="25" t="n">
        <x:v>0.15</x:v>
      </x:c>
      <x:c r="O43" s="25" t="n">
        <x:v>0.7</x:v>
      </x:c>
      <x:c r="P43" s="25" t="n">
        <x:v>0.105</x:v>
      </x:c>
      <x:c r="Q43" s="25" t="n">
        <x:v>0.198</x:v>
      </x:c>
      <x:c r="R43" s="25" t="n">
        <x:v>1.3</x:v>
      </x:c>
      <x:c r="S43" s="25" t="n">
        <x:v>19089.5</x:v>
      </x:c>
      <x:c r="T43" s="25" t="n">
        <x:v>763.58</x:v>
      </x:c>
      <x:c r="U43" s="25" t="n">
        <x:v>229.074</x:v>
      </x:c>
      <x:c r="V43" s="25" t="n">
        <x:v>2496.9</x:v>
      </x:c>
      <x:c r="W43" s="25" t="n">
        <x:v>808.3152000000001</x:v>
      </x:c>
      <x:c r="X43" s="25" t="n">
        <x:v>8.083152000000002</x:v>
      </x:c>
      <x:c r="Y43" s="25" t="n">
        <x:v>9800</x:v>
      </x:c>
      <x:c r="Z43" s="25" t="n">
        <x:v>14783.547647999998</x:v>
      </x:c>
      <x:c r="AA43" s="25" t="n">
        <x:v>4983.547647999998</x:v>
      </x:c>
      <x:c r="AB43" s="25" t="n">
        <x:v>0.2610622409177819</x:v>
      </x:c>
      <x:c r="AC43" s="25" t="n">
        <x:v>1.5085252702040814</x:v>
      </x:c>
      <x:c r="AD43" s="25" t="n">
        <x:v>14783.547647999998</x:v>
      </x:c>
      <x:c r="AE43" s="25" t="n">
        <x:v>444.5733600000001</x:v>
      </x:c>
      <x:c r="AF43" s="25" t="n">
        <x:v>1111.4334000000003</x:v>
      </x:c>
      <x:c r="AG43" s="25" t="n">
        <x:v>13.046094349872869</x:v>
      </x:c>
      <x:c r="AH43" s="25" t="n">
        <x:v>4.37956204379562</x:v>
      </x:c>
      <x:c r="AI43" t="n">
        <x:f>Z43-Y43</x:f>
        <x:v>4983.547647999998</x:v>
      </x:c>
      <x:c r="AJ43" t="n">
        <x:f>AA43/S43</x:f>
        <x:v>0.2610622409177819</x:v>
      </x:c>
      <x:c r="AK43" t="n">
        <x:f>Z43/Y43</x:f>
        <x:v>1.5085252702040814</x:v>
      </x:c>
    </x:row>
    <x:row r="44" ht="15" hidden="0" customHeight="1">
      <x:c r="A44" s="25" t="str">
        <x:v>FLEX</x:v>
      </x:c>
      <x:c r="B44" s="25" t="n">
        <x:v>25</x:v>
      </x:c>
      <x:c r="C44" s="25" t="str">
        <x:v>Côte d’Ivoire</x:v>
      </x:c>
      <x:c r="D44" s="25" t="str">
        <x:v>Base</x:v>
      </x:c>
      <x:c r="E44" s="25" t="n">
        <x:v>8</x:v>
      </x:c>
      <x:c r="F44" s="25" t="n">
        <x:v>4</x:v>
      </x:c>
      <x:c r="G44" s="25" t="n">
        <x:v>3</x:v>
      </x:c>
      <x:c r="H44" s="25" t="n">
        <x:v>35</x:v>
      </x:c>
      <x:c r="I44" s="25" t="str">
        <x:v>Équilibré</x:v>
      </x:c>
      <x:c r="J44" s="25" t="n">
        <x:v>1</x:v>
      </x:c>
      <x:c r="K44" s="25" t="n">
        <x:v>24900</x:v>
      </x:c>
      <x:c r="L44" s="25" t="n">
        <x:v>109900</x:v>
      </x:c>
      <x:c r="M44" s="25" t="n">
        <x:v>134800</x:v>
      </x:c>
      <x:c r="N44" s="25" t="n">
        <x:v>0.15</x:v>
      </x:c>
      <x:c r="O44" s="25" t="n">
        <x:v>0.7</x:v>
      </x:c>
      <x:c r="P44" s="25" t="n">
        <x:v>0.105</x:v>
      </x:c>
      <x:c r="Q44" s="25" t="n">
        <x:v>0.198</x:v>
      </x:c>
      <x:c r="R44" s="25" t="n">
        <x:v>1.3</x:v>
      </x:c>
      <x:c r="S44" s="25" t="n">
        <x:v>36439.5</x:v>
      </x:c>
      <x:c r="T44" s="25" t="n">
        <x:v>1457.58</x:v>
      </x:c>
      <x:c r="U44" s="25" t="n">
        <x:v>437.274</x:v>
      </x:c>
      <x:c r="V44" s="25" t="n">
        <x:v>2496.9</x:v>
      </x:c>
      <x:c r="W44" s="25" t="n">
        <x:v>2020.7880000000002</x:v>
      </x:c>
      <x:c r="X44" s="25" t="n">
        <x:v>20.207880000000003</x:v>
      </x:c>
      <x:c r="Y44" s="25" t="n">
        <x:v>7699.999999999999</x:v>
      </x:c>
      <x:c r="Z44" s="25" t="n">
        <x:v>30006.750119999997</x:v>
      </x:c>
      <x:c r="AA44" s="25" t="n">
        <x:v>22306.750119999997</x:v>
      </x:c>
      <x:c r="AB44" s="25" t="n">
        <x:v>0.6121585126030817</x:v>
      </x:c>
      <x:c r="AC44" s="25" t="n">
        <x:v>3.896980535064935</x:v>
      </x:c>
      <x:c r="AD44" s="25" t="n">
        <x:v>30006.750119999997</x:v>
      </x:c>
      <x:c r="AE44" s="25" t="n">
        <x:v>1111.4334000000001</x:v>
      </x:c>
      <x:c r="AF44" s="25" t="n">
        <x:v>2778.5835</x:v>
      </x:c>
      <x:c r="AG44" s="25" t="n">
        <x:v>21.906617166624645</x:v>
      </x:c>
      <x:c r="AH44" s="25" t="n">
        <x:v>4.005934718100891</x:v>
      </x:c>
      <x:c r="AI44" t="n">
        <x:f>Z44-Y44</x:f>
        <x:v>22306.750119999997</x:v>
      </x:c>
      <x:c r="AJ44" t="n">
        <x:f>AA44/S44</x:f>
        <x:v>0.6121585126030817</x:v>
      </x:c>
      <x:c r="AK44" t="n">
        <x:f>Z44/Y44</x:f>
        <x:v>3.896980535064935</x:v>
      </x:c>
    </x:row>
    <x:row r="45" ht="15" hidden="0" customHeight="1">
      <x:c r="A45" s="25" t="str">
        <x:v>FLEX</x:v>
      </x:c>
      <x:c r="B45" s="25" t="n">
        <x:v>25</x:v>
      </x:c>
      <x:c r="C45" s="25" t="str">
        <x:v>Cameroun</x:v>
      </x:c>
      <x:c r="D45" s="25" t="str">
        <x:v>Base</x:v>
      </x:c>
      <x:c r="E45" s="25" t="n">
        <x:v>8</x:v>
      </x:c>
      <x:c r="F45" s="25" t="n">
        <x:v>4</x:v>
      </x:c>
      <x:c r="G45" s="25" t="n">
        <x:v>3</x:v>
      </x:c>
      <x:c r="H45" s="25" t="n">
        <x:v>35</x:v>
      </x:c>
      <x:c r="I45" s="25" t="str">
        <x:v>Équilibré</x:v>
      </x:c>
      <x:c r="J45" s="25" t="n">
        <x:v>1</x:v>
      </x:c>
      <x:c r="K45" s="25" t="n">
        <x:v>24900</x:v>
      </x:c>
      <x:c r="L45" s="25" t="n">
        <x:v>109900</x:v>
      </x:c>
      <x:c r="M45" s="25" t="n">
        <x:v>134800</x:v>
      </x:c>
      <x:c r="N45" s="25" t="n">
        <x:v>0.15</x:v>
      </x:c>
      <x:c r="O45" s="25" t="n">
        <x:v>0.7</x:v>
      </x:c>
      <x:c r="P45" s="25" t="n">
        <x:v>0.105</x:v>
      </x:c>
      <x:c r="Q45" s="25" t="n">
        <x:v>0.198</x:v>
      </x:c>
      <x:c r="R45" s="25" t="n">
        <x:v>1.3</x:v>
      </x:c>
      <x:c r="S45" s="25" t="n">
        <x:v>36439.5</x:v>
      </x:c>
      <x:c r="T45" s="25" t="n">
        <x:v>1457.58</x:v>
      </x:c>
      <x:c r="U45" s="25" t="n">
        <x:v>437.274</x:v>
      </x:c>
      <x:c r="V45" s="25" t="n">
        <x:v>2496.9</x:v>
      </x:c>
      <x:c r="W45" s="25" t="n">
        <x:v>2020.7880000000002</x:v>
      </x:c>
      <x:c r="X45" s="25" t="n">
        <x:v>20.207880000000003</x:v>
      </x:c>
      <x:c r="Y45" s="25" t="n">
        <x:v>8400</x:v>
      </x:c>
      <x:c r="Z45" s="25" t="n">
        <x:v>30006.750119999997</x:v>
      </x:c>
      <x:c r="AA45" s="25" t="n">
        <x:v>21606.750119999997</x:v>
      </x:c>
      <x:c r="AB45" s="25" t="n">
        <x:v>0.5929485893055612</x:v>
      </x:c>
      <x:c r="AC45" s="25" t="n">
        <x:v>3.5722321571428566</x:v>
      </x:c>
      <x:c r="AD45" s="25" t="n">
        <x:v>30006.750119999997</x:v>
      </x:c>
      <x:c r="AE45" s="25" t="n">
        <x:v>1111.4334000000001</x:v>
      </x:c>
      <x:c r="AF45" s="25" t="n">
        <x:v>2778.5835</x:v>
      </x:c>
      <x:c r="AG45" s="25" t="n">
        <x:v>21.27679985143509</x:v>
      </x:c>
      <x:c r="AH45" s="25" t="n">
        <x:v>4.005934718100891</x:v>
      </x:c>
      <x:c r="AI45" t="n">
        <x:f>Z45-Y45</x:f>
        <x:v>21606.750119999997</x:v>
      </x:c>
      <x:c r="AJ45" t="n">
        <x:f>AA45/S45</x:f>
        <x:v>0.5929485893055612</x:v>
      </x:c>
      <x:c r="AK45" t="n">
        <x:f>Z45/Y45</x:f>
        <x:v>3.5722321571428566</x:v>
      </x:c>
    </x:row>
    <x:row r="46" ht="15" hidden="0" customHeight="1">
      <x:c r="A46" s="25" t="str">
        <x:v>FLEX</x:v>
      </x:c>
      <x:c r="B46" s="25" t="n">
        <x:v>25</x:v>
      </x:c>
      <x:c r="C46" s="25" t="str">
        <x:v>Sénégal</x:v>
      </x:c>
      <x:c r="D46" s="25" t="str">
        <x:v>Base</x:v>
      </x:c>
      <x:c r="E46" s="25" t="n">
        <x:v>8</x:v>
      </x:c>
      <x:c r="F46" s="25" t="n">
        <x:v>4</x:v>
      </x:c>
      <x:c r="G46" s="25" t="n">
        <x:v>3</x:v>
      </x:c>
      <x:c r="H46" s="25" t="n">
        <x:v>35</x:v>
      </x:c>
      <x:c r="I46" s="25" t="str">
        <x:v>Équilibré</x:v>
      </x:c>
      <x:c r="J46" s="25" t="n">
        <x:v>1</x:v>
      </x:c>
      <x:c r="K46" s="25" t="n">
        <x:v>24900</x:v>
      </x:c>
      <x:c r="L46" s="25" t="n">
        <x:v>109900</x:v>
      </x:c>
      <x:c r="M46" s="25" t="n">
        <x:v>134800</x:v>
      </x:c>
      <x:c r="N46" s="25" t="n">
        <x:v>0.15</x:v>
      </x:c>
      <x:c r="O46" s="25" t="n">
        <x:v>0.7</x:v>
      </x:c>
      <x:c r="P46" s="25" t="n">
        <x:v>0.105</x:v>
      </x:c>
      <x:c r="Q46" s="25" t="n">
        <x:v>0.198</x:v>
      </x:c>
      <x:c r="R46" s="25" t="n">
        <x:v>1.3</x:v>
      </x:c>
      <x:c r="S46" s="25" t="n">
        <x:v>36439.5</x:v>
      </x:c>
      <x:c r="T46" s="25" t="n">
        <x:v>1457.58</x:v>
      </x:c>
      <x:c r="U46" s="25" t="n">
        <x:v>437.274</x:v>
      </x:c>
      <x:c r="V46" s="25" t="n">
        <x:v>2496.9</x:v>
      </x:c>
      <x:c r="W46" s="25" t="n">
        <x:v>2020.7880000000002</x:v>
      </x:c>
      <x:c r="X46" s="25" t="n">
        <x:v>20.207880000000003</x:v>
      </x:c>
      <x:c r="Y46" s="25" t="n">
        <x:v>10500</x:v>
      </x:c>
      <x:c r="Z46" s="25" t="n">
        <x:v>30006.750119999997</x:v>
      </x:c>
      <x:c r="AA46" s="25" t="n">
        <x:v>19506.750119999997</x:v>
      </x:c>
      <x:c r="AB46" s="25" t="n">
        <x:v>0.5353188194129995</x:v>
      </x:c>
      <x:c r="AC46" s="25" t="n">
        <x:v>2.8577857257142854</x:v>
      </x:c>
      <x:c r="AD46" s="25" t="n">
        <x:v>30006.750119999997</x:v>
      </x:c>
      <x:c r="AE46" s="25" t="n">
        <x:v>1111.4334000000001</x:v>
      </x:c>
      <x:c r="AF46" s="25" t="n">
        <x:v>2778.5835</x:v>
      </x:c>
      <x:c r="AG46" s="25" t="n">
        <x:v>19.38734790586642</x:v>
      </x:c>
      <x:c r="AH46" s="25" t="n">
        <x:v>4.005934718100891</x:v>
      </x:c>
      <x:c r="AI46" t="n">
        <x:f>Z46-Y46</x:f>
        <x:v>19506.750119999997</x:v>
      </x:c>
      <x:c r="AJ46" t="n">
        <x:f>AA46/S46</x:f>
        <x:v>0.5353188194129995</x:v>
      </x:c>
      <x:c r="AK46" t="n">
        <x:f>Z46/Y46</x:f>
        <x:v>2.8577857257142854</x:v>
      </x:c>
    </x:row>
    <x:row r="47" ht="15" hidden="0" customHeight="1">
      <x:c r="A47" s="25" t="str">
        <x:v>FLEX</x:v>
      </x:c>
      <x:c r="B47" s="25" t="n">
        <x:v>25</x:v>
      </x:c>
      <x:c r="C47" s="25" t="str">
        <x:v>Bénin</x:v>
      </x:c>
      <x:c r="D47" s="25" t="str">
        <x:v>Base</x:v>
      </x:c>
      <x:c r="E47" s="25" t="n">
        <x:v>8</x:v>
      </x:c>
      <x:c r="F47" s="25" t="n">
        <x:v>4</x:v>
      </x:c>
      <x:c r="G47" s="25" t="n">
        <x:v>3</x:v>
      </x:c>
      <x:c r="H47" s="25" t="n">
        <x:v>35</x:v>
      </x:c>
      <x:c r="I47" s="25" t="str">
        <x:v>Équilibré</x:v>
      </x:c>
      <x:c r="J47" s="25" t="n">
        <x:v>1</x:v>
      </x:c>
      <x:c r="K47" s="25" t="n">
        <x:v>24900</x:v>
      </x:c>
      <x:c r="L47" s="25" t="n">
        <x:v>109900</x:v>
      </x:c>
      <x:c r="M47" s="25" t="n">
        <x:v>134800</x:v>
      </x:c>
      <x:c r="N47" s="25" t="n">
        <x:v>0.15</x:v>
      </x:c>
      <x:c r="O47" s="25" t="n">
        <x:v>0.7</x:v>
      </x:c>
      <x:c r="P47" s="25" t="n">
        <x:v>0.105</x:v>
      </x:c>
      <x:c r="Q47" s="25" t="n">
        <x:v>0.198</x:v>
      </x:c>
      <x:c r="R47" s="25" t="n">
        <x:v>1.3</x:v>
      </x:c>
      <x:c r="S47" s="25" t="n">
        <x:v>36439.5</x:v>
      </x:c>
      <x:c r="T47" s="25" t="n">
        <x:v>1457.58</x:v>
      </x:c>
      <x:c r="U47" s="25" t="n">
        <x:v>437.274</x:v>
      </x:c>
      <x:c r="V47" s="25" t="n">
        <x:v>2496.9</x:v>
      </x:c>
      <x:c r="W47" s="25" t="n">
        <x:v>2020.7880000000002</x:v>
      </x:c>
      <x:c r="X47" s="25" t="n">
        <x:v>20.207880000000003</x:v>
      </x:c>
      <x:c r="Y47" s="25" t="n">
        <x:v>7000</x:v>
      </x:c>
      <x:c r="Z47" s="25" t="n">
        <x:v>30006.750119999997</x:v>
      </x:c>
      <x:c r="AA47" s="25" t="n">
        <x:v>23006.750119999997</x:v>
      </x:c>
      <x:c r="AB47" s="25" t="n">
        <x:v>0.6313684359006023</x:v>
      </x:c>
      <x:c r="AC47" s="25" t="n">
        <x:v>4.286678588571428</x:v>
      </x:c>
      <x:c r="AD47" s="25" t="n">
        <x:v>30006.750119999997</x:v>
      </x:c>
      <x:c r="AE47" s="25" t="n">
        <x:v>1111.4334000000001</x:v>
      </x:c>
      <x:c r="AF47" s="25" t="n">
        <x:v>2778.5835</x:v>
      </x:c>
      <x:c r="AG47" s="25" t="n">
        <x:v>22.5364344818142</x:v>
      </x:c>
      <x:c r="AH47" s="25" t="n">
        <x:v>4.005934718100891</x:v>
      </x:c>
      <x:c r="AI47" t="n">
        <x:f>Z47-Y47</x:f>
        <x:v>23006.750119999997</x:v>
      </x:c>
      <x:c r="AJ47" t="n">
        <x:f>AA47/S47</x:f>
        <x:v>0.6313684359006023</x:v>
      </x:c>
      <x:c r="AK47" t="n">
        <x:f>Z47/Y47</x:f>
        <x:v>4.286678588571428</x:v>
      </x:c>
    </x:row>
    <x:row r="48" ht="15" hidden="0" customHeight="1">
      <x:c r="A48" s="25" t="str">
        <x:v>FLEX</x:v>
      </x:c>
      <x:c r="B48" s="25" t="n">
        <x:v>25</x:v>
      </x:c>
      <x:c r="C48" s="25" t="str">
        <x:v>Burkina Faso</x:v>
      </x:c>
      <x:c r="D48" s="25" t="str">
        <x:v>Base</x:v>
      </x:c>
      <x:c r="E48" s="25" t="n">
        <x:v>8</x:v>
      </x:c>
      <x:c r="F48" s="25" t="n">
        <x:v>4</x:v>
      </x:c>
      <x:c r="G48" s="25" t="n">
        <x:v>3</x:v>
      </x:c>
      <x:c r="H48" s="25" t="n">
        <x:v>35</x:v>
      </x:c>
      <x:c r="I48" s="25" t="str">
        <x:v>Équilibré</x:v>
      </x:c>
      <x:c r="J48" s="25" t="n">
        <x:v>1</x:v>
      </x:c>
      <x:c r="K48" s="25" t="n">
        <x:v>24900</x:v>
      </x:c>
      <x:c r="L48" s="25" t="n">
        <x:v>109900</x:v>
      </x:c>
      <x:c r="M48" s="25" t="n">
        <x:v>134800</x:v>
      </x:c>
      <x:c r="N48" s="25" t="n">
        <x:v>0.15</x:v>
      </x:c>
      <x:c r="O48" s="25" t="n">
        <x:v>0.7</x:v>
      </x:c>
      <x:c r="P48" s="25" t="n">
        <x:v>0.105</x:v>
      </x:c>
      <x:c r="Q48" s="25" t="n">
        <x:v>0.198</x:v>
      </x:c>
      <x:c r="R48" s="25" t="n">
        <x:v>1.3</x:v>
      </x:c>
      <x:c r="S48" s="25" t="n">
        <x:v>36439.5</x:v>
      </x:c>
      <x:c r="T48" s="25" t="n">
        <x:v>1457.58</x:v>
      </x:c>
      <x:c r="U48" s="25" t="n">
        <x:v>437.274</x:v>
      </x:c>
      <x:c r="V48" s="25" t="n">
        <x:v>2496.9</x:v>
      </x:c>
      <x:c r="W48" s="25" t="n">
        <x:v>2020.7880000000002</x:v>
      </x:c>
      <x:c r="X48" s="25" t="n">
        <x:v>20.207880000000003</x:v>
      </x:c>
      <x:c r="Y48" s="25" t="n">
        <x:v>8049.999999999999</x:v>
      </x:c>
      <x:c r="Z48" s="25" t="n">
        <x:v>30006.750119999997</x:v>
      </x:c>
      <x:c r="AA48" s="25" t="n">
        <x:v>21956.750119999997</x:v>
      </x:c>
      <x:c r="AB48" s="25" t="n">
        <x:v>0.6025535509543215</x:v>
      </x:c>
      <x:c r="AC48" s="25" t="n">
        <x:v>3.727546598757764</x:v>
      </x:c>
      <x:c r="AD48" s="25" t="n">
        <x:v>30006.750119999997</x:v>
      </x:c>
      <x:c r="AE48" s="25" t="n">
        <x:v>1111.4334000000001</x:v>
      </x:c>
      <x:c r="AF48" s="25" t="n">
        <x:v>2778.5835</x:v>
      </x:c>
      <x:c r="AG48" s="25" t="n">
        <x:v>21.591708509029868</x:v>
      </x:c>
      <x:c r="AH48" s="25" t="n">
        <x:v>4.005934718100891</x:v>
      </x:c>
      <x:c r="AI48" t="n">
        <x:f>Z48-Y48</x:f>
        <x:v>21956.750119999997</x:v>
      </x:c>
      <x:c r="AJ48" t="n">
        <x:f>AA48/S48</x:f>
        <x:v>0.6025535509543215</x:v>
      </x:c>
      <x:c r="AK48" t="n">
        <x:f>Z48/Y48</x:f>
        <x:v>3.727546598757764</x:v>
      </x:c>
    </x:row>
    <x:row r="49" ht="15" hidden="0" customHeight="1">
      <x:c r="A49" s="25" t="str">
        <x:v>FLEX</x:v>
      </x:c>
      <x:c r="B49" s="25" t="n">
        <x:v>25</x:v>
      </x:c>
      <x:c r="C49" s="25" t="str">
        <x:v>Togo</x:v>
      </x:c>
      <x:c r="D49" s="25" t="str">
        <x:v>Base</x:v>
      </x:c>
      <x:c r="E49" s="25" t="n">
        <x:v>8</x:v>
      </x:c>
      <x:c r="F49" s="25" t="n">
        <x:v>4</x:v>
      </x:c>
      <x:c r="G49" s="25" t="n">
        <x:v>3</x:v>
      </x:c>
      <x:c r="H49" s="25" t="n">
        <x:v>35</x:v>
      </x:c>
      <x:c r="I49" s="25" t="str">
        <x:v>Équilibré</x:v>
      </x:c>
      <x:c r="J49" s="25" t="n">
        <x:v>1</x:v>
      </x:c>
      <x:c r="K49" s="25" t="n">
        <x:v>24900</x:v>
      </x:c>
      <x:c r="L49" s="25" t="n">
        <x:v>109900</x:v>
      </x:c>
      <x:c r="M49" s="25" t="n">
        <x:v>134800</x:v>
      </x:c>
      <x:c r="N49" s="25" t="n">
        <x:v>0.15</x:v>
      </x:c>
      <x:c r="O49" s="25" t="n">
        <x:v>0.7</x:v>
      </x:c>
      <x:c r="P49" s="25" t="n">
        <x:v>0.105</x:v>
      </x:c>
      <x:c r="Q49" s="25" t="n">
        <x:v>0.198</x:v>
      </x:c>
      <x:c r="R49" s="25" t="n">
        <x:v>1.3</x:v>
      </x:c>
      <x:c r="S49" s="25" t="n">
        <x:v>36439.5</x:v>
      </x:c>
      <x:c r="T49" s="25" t="n">
        <x:v>1457.58</x:v>
      </x:c>
      <x:c r="U49" s="25" t="n">
        <x:v>437.274</x:v>
      </x:c>
      <x:c r="V49" s="25" t="n">
        <x:v>2496.9</x:v>
      </x:c>
      <x:c r="W49" s="25" t="n">
        <x:v>2020.7880000000002</x:v>
      </x:c>
      <x:c r="X49" s="25" t="n">
        <x:v>20.207880000000003</x:v>
      </x:c>
      <x:c r="Y49" s="25" t="n">
        <x:v>9800</x:v>
      </x:c>
      <x:c r="Z49" s="25" t="n">
        <x:v>30006.750119999997</x:v>
      </x:c>
      <x:c r="AA49" s="25" t="n">
        <x:v>20206.750119999997</x:v>
      </x:c>
      <x:c r="AB49" s="25" t="n">
        <x:v>0.5545287427105201</x:v>
      </x:c>
      <x:c r="AC49" s="25" t="n">
        <x:v>3.06191327755102</x:v>
      </x:c>
      <x:c r="AD49" s="25" t="n">
        <x:v>30006.750119999997</x:v>
      </x:c>
      <x:c r="AE49" s="25" t="n">
        <x:v>1111.4334000000001</x:v>
      </x:c>
      <x:c r="AF49" s="25" t="n">
        <x:v>2778.5835</x:v>
      </x:c>
      <x:c r="AG49" s="25" t="n">
        <x:v>20.01716522105598</x:v>
      </x:c>
      <x:c r="AH49" s="25" t="n">
        <x:v>4.005934718100891</x:v>
      </x:c>
      <x:c r="AI49" t="n">
        <x:f>Z49-Y49</x:f>
        <x:v>20206.750119999997</x:v>
      </x:c>
      <x:c r="AJ49" t="n">
        <x:f>AA49/S49</x:f>
        <x:v>0.5545287427105201</x:v>
      </x:c>
      <x:c r="AK49" t="n">
        <x:f>Z49/Y49</x:f>
        <x:v>3.06191327755102</x:v>
      </x:c>
    </x:row>
    <x:row r="50" ht="15" hidden="0" customHeight="1">
      <x:c r="A50" s="25" t="str">
        <x:v>FLEX</x:v>
      </x:c>
      <x:c r="B50" s="25" t="n">
        <x:v>50</x:v>
      </x:c>
      <x:c r="C50" s="25" t="str">
        <x:v>Côte d’Ivoire</x:v>
      </x:c>
      <x:c r="D50" s="25" t="str">
        <x:v>Base</x:v>
      </x:c>
      <x:c r="E50" s="25" t="n">
        <x:v>8</x:v>
      </x:c>
      <x:c r="F50" s="25" t="n">
        <x:v>4</x:v>
      </x:c>
      <x:c r="G50" s="25" t="n">
        <x:v>3</x:v>
      </x:c>
      <x:c r="H50" s="25" t="n">
        <x:v>35</x:v>
      </x:c>
      <x:c r="I50" s="25" t="str">
        <x:v>Équilibré</x:v>
      </x:c>
      <x:c r="J50" s="25" t="n">
        <x:v>1</x:v>
      </x:c>
      <x:c r="K50" s="25" t="n">
        <x:v>34900</x:v>
      </x:c>
      <x:c r="L50" s="25" t="n">
        <x:v>184900</x:v>
      </x:c>
      <x:c r="M50" s="25" t="n">
        <x:v>219800</x:v>
      </x:c>
      <x:c r="N50" s="25" t="n">
        <x:v>0.15</x:v>
      </x:c>
      <x:c r="O50" s="25" t="n">
        <x:v>0.7</x:v>
      </x:c>
      <x:c r="P50" s="25" t="n">
        <x:v>0.105</x:v>
      </x:c>
      <x:c r="Q50" s="25" t="n">
        <x:v>0.198</x:v>
      </x:c>
      <x:c r="R50" s="25" t="n">
        <x:v>1.3</x:v>
      </x:c>
      <x:c r="S50" s="25" t="n">
        <x:v>54314.5</x:v>
      </x:c>
      <x:c r="T50" s="25" t="n">
        <x:v>2172.58</x:v>
      </x:c>
      <x:c r="U50" s="25" t="n">
        <x:v>651.774</x:v>
      </x:c>
      <x:c r="V50" s="25" t="n">
        <x:v>2496.9</x:v>
      </x:c>
      <x:c r="W50" s="25" t="n">
        <x:v>4041.5760000000005</x:v>
      </x:c>
      <x:c r="X50" s="25" t="n">
        <x:v>40.415760000000006</x:v>
      </x:c>
      <x:c r="Y50" s="25" t="n">
        <x:v>7699.999999999999</x:v>
      </x:c>
      <x:c r="Z50" s="25" t="n">
        <x:v>44911.254239999995</x:v>
      </x:c>
      <x:c r="AA50" s="25" t="n">
        <x:v>37211.254239999995</x:v>
      </x:c>
      <x:c r="AB50" s="25" t="n">
        <x:v>0.6851071857422971</x:v>
      </x:c>
      <x:c r="AC50" s="25" t="n">
        <x:v>5.832630420779221</x:v>
      </x:c>
      <x:c r="AD50" s="25" t="n">
        <x:v>44911.254239999995</x:v>
      </x:c>
      <x:c r="AE50" s="25" t="n">
        <x:v>2222.8668000000002</x:v>
      </x:c>
      <x:c r="AF50" s="25" t="n">
        <x:v>5557.167</x:v>
      </x:c>
      <x:c r="AG50" s="25" t="n">
        <x:v>18.576572379415623</x:v>
      </x:c>
      <x:c r="AH50" s="25" t="n">
        <x:v>4.094631483166515</x:v>
      </x:c>
      <x:c r="AI50" t="n">
        <x:f>Z50-Y50</x:f>
        <x:v>37211.254239999995</x:v>
      </x:c>
      <x:c r="AJ50" t="n">
        <x:f>AA50/S50</x:f>
        <x:v>0.6851071857422971</x:v>
      </x:c>
      <x:c r="AK50" t="n">
        <x:f>Z50/Y50</x:f>
        <x:v>5.832630420779221</x:v>
      </x:c>
    </x:row>
    <x:row r="51" ht="15" hidden="0" customHeight="1">
      <x:c r="A51" s="25" t="str">
        <x:v>FLEX</x:v>
      </x:c>
      <x:c r="B51" s="25" t="n">
        <x:v>50</x:v>
      </x:c>
      <x:c r="C51" s="25" t="str">
        <x:v>Cameroun</x:v>
      </x:c>
      <x:c r="D51" s="25" t="str">
        <x:v>Base</x:v>
      </x:c>
      <x:c r="E51" s="25" t="n">
        <x:v>8</x:v>
      </x:c>
      <x:c r="F51" s="25" t="n">
        <x:v>4</x:v>
      </x:c>
      <x:c r="G51" s="25" t="n">
        <x:v>3</x:v>
      </x:c>
      <x:c r="H51" s="25" t="n">
        <x:v>35</x:v>
      </x:c>
      <x:c r="I51" s="25" t="str">
        <x:v>Équilibré</x:v>
      </x:c>
      <x:c r="J51" s="25" t="n">
        <x:v>1</x:v>
      </x:c>
      <x:c r="K51" s="25" t="n">
        <x:v>34900</x:v>
      </x:c>
      <x:c r="L51" s="25" t="n">
        <x:v>184900</x:v>
      </x:c>
      <x:c r="M51" s="25" t="n">
        <x:v>219800</x:v>
      </x:c>
      <x:c r="N51" s="25" t="n">
        <x:v>0.15</x:v>
      </x:c>
      <x:c r="O51" s="25" t="n">
        <x:v>0.7</x:v>
      </x:c>
      <x:c r="P51" s="25" t="n">
        <x:v>0.105</x:v>
      </x:c>
      <x:c r="Q51" s="25" t="n">
        <x:v>0.198</x:v>
      </x:c>
      <x:c r="R51" s="25" t="n">
        <x:v>1.3</x:v>
      </x:c>
      <x:c r="S51" s="25" t="n">
        <x:v>54314.5</x:v>
      </x:c>
      <x:c r="T51" s="25" t="n">
        <x:v>2172.58</x:v>
      </x:c>
      <x:c r="U51" s="25" t="n">
        <x:v>651.774</x:v>
      </x:c>
      <x:c r="V51" s="25" t="n">
        <x:v>2496.9</x:v>
      </x:c>
      <x:c r="W51" s="25" t="n">
        <x:v>4041.5760000000005</x:v>
      </x:c>
      <x:c r="X51" s="25" t="n">
        <x:v>40.415760000000006</x:v>
      </x:c>
      <x:c r="Y51" s="25" t="n">
        <x:v>8400</x:v>
      </x:c>
      <x:c r="Z51" s="25" t="n">
        <x:v>44911.254239999995</x:v>
      </x:c>
      <x:c r="AA51" s="25" t="n">
        <x:v>36511.254239999995</x:v>
      </x:c>
      <x:c r="AB51" s="25" t="n">
        <x:v>0.6722192828802621</x:v>
      </x:c>
      <x:c r="AC51" s="25" t="n">
        <x:v>5.346577885714285</x:v>
      </x:c>
      <x:c r="AD51" s="25" t="n">
        <x:v>44911.254239999995</x:v>
      </x:c>
      <x:c r="AE51" s="25" t="n">
        <x:v>2222.8668000000002</x:v>
      </x:c>
      <x:c r="AF51" s="25" t="n">
        <x:v>5557.167</x:v>
      </x:c>
      <x:c r="AG51" s="25" t="n">
        <x:v>18.261663721820845</x:v>
      </x:c>
      <x:c r="AH51" s="25" t="n">
        <x:v>4.094631483166515</x:v>
      </x:c>
      <x:c r="AI51" t="n">
        <x:f>Z51-Y51</x:f>
        <x:v>36511.254239999995</x:v>
      </x:c>
      <x:c r="AJ51" t="n">
        <x:f>AA51/S51</x:f>
        <x:v>0.6722192828802621</x:v>
      </x:c>
      <x:c r="AK51" t="n">
        <x:f>Z51/Y51</x:f>
        <x:v>5.346577885714285</x:v>
      </x:c>
    </x:row>
    <x:row r="52" ht="15" hidden="0" customHeight="1">
      <x:c r="A52" s="25" t="str">
        <x:v>FLEX</x:v>
      </x:c>
      <x:c r="B52" s="25" t="n">
        <x:v>50</x:v>
      </x:c>
      <x:c r="C52" s="25" t="str">
        <x:v>Sénégal</x:v>
      </x:c>
      <x:c r="D52" s="25" t="str">
        <x:v>Base</x:v>
      </x:c>
      <x:c r="E52" s="25" t="n">
        <x:v>8</x:v>
      </x:c>
      <x:c r="F52" s="25" t="n">
        <x:v>4</x:v>
      </x:c>
      <x:c r="G52" s="25" t="n">
        <x:v>3</x:v>
      </x:c>
      <x:c r="H52" s="25" t="n">
        <x:v>35</x:v>
      </x:c>
      <x:c r="I52" s="25" t="str">
        <x:v>Équilibré</x:v>
      </x:c>
      <x:c r="J52" s="25" t="n">
        <x:v>1</x:v>
      </x:c>
      <x:c r="K52" s="25" t="n">
        <x:v>34900</x:v>
      </x:c>
      <x:c r="L52" s="25" t="n">
        <x:v>184900</x:v>
      </x:c>
      <x:c r="M52" s="25" t="n">
        <x:v>219800</x:v>
      </x:c>
      <x:c r="N52" s="25" t="n">
        <x:v>0.15</x:v>
      </x:c>
      <x:c r="O52" s="25" t="n">
        <x:v>0.7</x:v>
      </x:c>
      <x:c r="P52" s="25" t="n">
        <x:v>0.105</x:v>
      </x:c>
      <x:c r="Q52" s="25" t="n">
        <x:v>0.198</x:v>
      </x:c>
      <x:c r="R52" s="25" t="n">
        <x:v>1.3</x:v>
      </x:c>
      <x:c r="S52" s="25" t="n">
        <x:v>54314.5</x:v>
      </x:c>
      <x:c r="T52" s="25" t="n">
        <x:v>2172.58</x:v>
      </x:c>
      <x:c r="U52" s="25" t="n">
        <x:v>651.774</x:v>
      </x:c>
      <x:c r="V52" s="25" t="n">
        <x:v>2496.9</x:v>
      </x:c>
      <x:c r="W52" s="25" t="n">
        <x:v>4041.5760000000005</x:v>
      </x:c>
      <x:c r="X52" s="25" t="n">
        <x:v>40.415760000000006</x:v>
      </x:c>
      <x:c r="Y52" s="25" t="n">
        <x:v>10500</x:v>
      </x:c>
      <x:c r="Z52" s="25" t="n">
        <x:v>44911.254239999995</x:v>
      </x:c>
      <x:c r="AA52" s="25" t="n">
        <x:v>34411.254239999995</x:v>
      </x:c>
      <x:c r="AB52" s="25" t="n">
        <x:v>0.6335555742941571</x:v>
      </x:c>
      <x:c r="AC52" s="25" t="n">
        <x:v>4.277262308571428</x:v>
      </x:c>
      <x:c r="AD52" s="25" t="n">
        <x:v>44911.254239999995</x:v>
      </x:c>
      <x:c r="AE52" s="25" t="n">
        <x:v>2222.8668000000002</x:v>
      </x:c>
      <x:c r="AF52" s="25" t="n">
        <x:v>5557.167</x:v>
      </x:c>
      <x:c r="AG52" s="25" t="n">
        <x:v>17.316937749036512</x:v>
      </x:c>
      <x:c r="AH52" s="25" t="n">
        <x:v>4.094631483166515</x:v>
      </x:c>
      <x:c r="AI52" t="n">
        <x:f>Z52-Y52</x:f>
        <x:v>34411.254239999995</x:v>
      </x:c>
      <x:c r="AJ52" t="n">
        <x:f>AA52/S52</x:f>
        <x:v>0.6335555742941571</x:v>
      </x:c>
      <x:c r="AK52" t="n">
        <x:f>Z52/Y52</x:f>
        <x:v>4.277262308571428</x:v>
      </x:c>
    </x:row>
    <x:row r="53" ht="15" hidden="0" customHeight="1">
      <x:c r="A53" s="25" t="str">
        <x:v>FLEX</x:v>
      </x:c>
      <x:c r="B53" s="25" t="n">
        <x:v>50</x:v>
      </x:c>
      <x:c r="C53" s="25" t="str">
        <x:v>Bénin</x:v>
      </x:c>
      <x:c r="D53" s="25" t="str">
        <x:v>Base</x:v>
      </x:c>
      <x:c r="E53" s="25" t="n">
        <x:v>8</x:v>
      </x:c>
      <x:c r="F53" s="25" t="n">
        <x:v>4</x:v>
      </x:c>
      <x:c r="G53" s="25" t="n">
        <x:v>3</x:v>
      </x:c>
      <x:c r="H53" s="25" t="n">
        <x:v>35</x:v>
      </x:c>
      <x:c r="I53" s="25" t="str">
        <x:v>Équilibré</x:v>
      </x:c>
      <x:c r="J53" s="25" t="n">
        <x:v>1</x:v>
      </x:c>
      <x:c r="K53" s="25" t="n">
        <x:v>34900</x:v>
      </x:c>
      <x:c r="L53" s="25" t="n">
        <x:v>184900</x:v>
      </x:c>
      <x:c r="M53" s="25" t="n">
        <x:v>219800</x:v>
      </x:c>
      <x:c r="N53" s="25" t="n">
        <x:v>0.15</x:v>
      </x:c>
      <x:c r="O53" s="25" t="n">
        <x:v>0.7</x:v>
      </x:c>
      <x:c r="P53" s="25" t="n">
        <x:v>0.105</x:v>
      </x:c>
      <x:c r="Q53" s="25" t="n">
        <x:v>0.198</x:v>
      </x:c>
      <x:c r="R53" s="25" t="n">
        <x:v>1.3</x:v>
      </x:c>
      <x:c r="S53" s="25" t="n">
        <x:v>54314.5</x:v>
      </x:c>
      <x:c r="T53" s="25" t="n">
        <x:v>2172.58</x:v>
      </x:c>
      <x:c r="U53" s="25" t="n">
        <x:v>651.774</x:v>
      </x:c>
      <x:c r="V53" s="25" t="n">
        <x:v>2496.9</x:v>
      </x:c>
      <x:c r="W53" s="25" t="n">
        <x:v>4041.5760000000005</x:v>
      </x:c>
      <x:c r="X53" s="25" t="n">
        <x:v>40.415760000000006</x:v>
      </x:c>
      <x:c r="Y53" s="25" t="n">
        <x:v>7000</x:v>
      </x:c>
      <x:c r="Z53" s="25" t="n">
        <x:v>44911.254239999995</x:v>
      </x:c>
      <x:c r="AA53" s="25" t="n">
        <x:v>37911.254239999995</x:v>
      </x:c>
      <x:c r="AB53" s="25" t="n">
        <x:v>0.6979950886043321</x:v>
      </x:c>
      <x:c r="AC53" s="25" t="n">
        <x:v>6.4158934628571425</x:v>
      </x:c>
      <x:c r="AD53" s="25" t="n">
        <x:v>44911.254239999995</x:v>
      </x:c>
      <x:c r="AE53" s="25" t="n">
        <x:v>2222.8668000000002</x:v>
      </x:c>
      <x:c r="AF53" s="25" t="n">
        <x:v>5557.167</x:v>
      </x:c>
      <x:c r="AG53" s="25" t="n">
        <x:v>18.8914810370104</x:v>
      </x:c>
      <x:c r="AH53" s="25" t="n">
        <x:v>4.094631483166515</x:v>
      </x:c>
      <x:c r="AI53" t="n">
        <x:f>Z53-Y53</x:f>
        <x:v>37911.254239999995</x:v>
      </x:c>
      <x:c r="AJ53" t="n">
        <x:f>AA53/S53</x:f>
        <x:v>0.6979950886043321</x:v>
      </x:c>
      <x:c r="AK53" t="n">
        <x:f>Z53/Y53</x:f>
        <x:v>6.4158934628571425</x:v>
      </x:c>
    </x:row>
    <x:row r="54" ht="15" hidden="0" customHeight="1">
      <x:c r="A54" s="25" t="str">
        <x:v>FLEX</x:v>
      </x:c>
      <x:c r="B54" s="25" t="n">
        <x:v>50</x:v>
      </x:c>
      <x:c r="C54" s="25" t="str">
        <x:v>Burkina Faso</x:v>
      </x:c>
      <x:c r="D54" s="25" t="str">
        <x:v>Base</x:v>
      </x:c>
      <x:c r="E54" s="25" t="n">
        <x:v>8</x:v>
      </x:c>
      <x:c r="F54" s="25" t="n">
        <x:v>4</x:v>
      </x:c>
      <x:c r="G54" s="25" t="n">
        <x:v>3</x:v>
      </x:c>
      <x:c r="H54" s="25" t="n">
        <x:v>35</x:v>
      </x:c>
      <x:c r="I54" s="25" t="str">
        <x:v>Équilibré</x:v>
      </x:c>
      <x:c r="J54" s="25" t="n">
        <x:v>1</x:v>
      </x:c>
      <x:c r="K54" s="25" t="n">
        <x:v>34900</x:v>
      </x:c>
      <x:c r="L54" s="25" t="n">
        <x:v>184900</x:v>
      </x:c>
      <x:c r="M54" s="25" t="n">
        <x:v>219800</x:v>
      </x:c>
      <x:c r="N54" s="25" t="n">
        <x:v>0.15</x:v>
      </x:c>
      <x:c r="O54" s="25" t="n">
        <x:v>0.7</x:v>
      </x:c>
      <x:c r="P54" s="25" t="n">
        <x:v>0.105</x:v>
      </x:c>
      <x:c r="Q54" s="25" t="n">
        <x:v>0.198</x:v>
      </x:c>
      <x:c r="R54" s="25" t="n">
        <x:v>1.3</x:v>
      </x:c>
      <x:c r="S54" s="25" t="n">
        <x:v>54314.5</x:v>
      </x:c>
      <x:c r="T54" s="25" t="n">
        <x:v>2172.58</x:v>
      </x:c>
      <x:c r="U54" s="25" t="n">
        <x:v>651.774</x:v>
      </x:c>
      <x:c r="V54" s="25" t="n">
        <x:v>2496.9</x:v>
      </x:c>
      <x:c r="W54" s="25" t="n">
        <x:v>4041.5760000000005</x:v>
      </x:c>
      <x:c r="X54" s="25" t="n">
        <x:v>40.415760000000006</x:v>
      </x:c>
      <x:c r="Y54" s="25" t="n">
        <x:v>8049.999999999999</x:v>
      </x:c>
      <x:c r="Z54" s="25" t="n">
        <x:v>44911.254239999995</x:v>
      </x:c>
      <x:c r="AA54" s="25" t="n">
        <x:v>36861.254239999995</x:v>
      </x:c>
      <x:c r="AB54" s="25" t="n">
        <x:v>0.6786632343112796</x:v>
      </x:c>
      <x:c r="AC54" s="25" t="n">
        <x:v>5.57903779378882</x:v>
      </x:c>
      <x:c r="AD54" s="25" t="n">
        <x:v>44911.254239999995</x:v>
      </x:c>
      <x:c r="AE54" s="25" t="n">
        <x:v>2222.8668000000002</x:v>
      </x:c>
      <x:c r="AF54" s="25" t="n">
        <x:v>5557.167</x:v>
      </x:c>
      <x:c r="AG54" s="25" t="n">
        <x:v>18.419118050618234</x:v>
      </x:c>
      <x:c r="AH54" s="25" t="n">
        <x:v>4.094631483166515</x:v>
      </x:c>
      <x:c r="AI54" t="n">
        <x:f>Z54-Y54</x:f>
        <x:v>36861.254239999995</x:v>
      </x:c>
      <x:c r="AJ54" t="n">
        <x:f>AA54/S54</x:f>
        <x:v>0.6786632343112796</x:v>
      </x:c>
      <x:c r="AK54" t="n">
        <x:f>Z54/Y54</x:f>
        <x:v>5.57903779378882</x:v>
      </x:c>
    </x:row>
    <x:row r="55" ht="15" hidden="0" customHeight="1">
      <x:c r="A55" s="25" t="str">
        <x:v>FLEX</x:v>
      </x:c>
      <x:c r="B55" s="25" t="n">
        <x:v>50</x:v>
      </x:c>
      <x:c r="C55" s="25" t="str">
        <x:v>Togo</x:v>
      </x:c>
      <x:c r="D55" s="25" t="str">
        <x:v>Base</x:v>
      </x:c>
      <x:c r="E55" s="25" t="n">
        <x:v>8</x:v>
      </x:c>
      <x:c r="F55" s="25" t="n">
        <x:v>4</x:v>
      </x:c>
      <x:c r="G55" s="25" t="n">
        <x:v>3</x:v>
      </x:c>
      <x:c r="H55" s="25" t="n">
        <x:v>35</x:v>
      </x:c>
      <x:c r="I55" s="25" t="str">
        <x:v>Équilibré</x:v>
      </x:c>
      <x:c r="J55" s="25" t="n">
        <x:v>1</x:v>
      </x:c>
      <x:c r="K55" s="25" t="n">
        <x:v>34900</x:v>
      </x:c>
      <x:c r="L55" s="25" t="n">
        <x:v>184900</x:v>
      </x:c>
      <x:c r="M55" s="25" t="n">
        <x:v>219800</x:v>
      </x:c>
      <x:c r="N55" s="25" t="n">
        <x:v>0.15</x:v>
      </x:c>
      <x:c r="O55" s="25" t="n">
        <x:v>0.7</x:v>
      </x:c>
      <x:c r="P55" s="25" t="n">
        <x:v>0.105</x:v>
      </x:c>
      <x:c r="Q55" s="25" t="n">
        <x:v>0.198</x:v>
      </x:c>
      <x:c r="R55" s="25" t="n">
        <x:v>1.3</x:v>
      </x:c>
      <x:c r="S55" s="25" t="n">
        <x:v>54314.5</x:v>
      </x:c>
      <x:c r="T55" s="25" t="n">
        <x:v>2172.58</x:v>
      </x:c>
      <x:c r="U55" s="25" t="n">
        <x:v>651.774</x:v>
      </x:c>
      <x:c r="V55" s="25" t="n">
        <x:v>2496.9</x:v>
      </x:c>
      <x:c r="W55" s="25" t="n">
        <x:v>4041.5760000000005</x:v>
      </x:c>
      <x:c r="X55" s="25" t="n">
        <x:v>40.415760000000006</x:v>
      </x:c>
      <x:c r="Y55" s="25" t="n">
        <x:v>9800</x:v>
      </x:c>
      <x:c r="Z55" s="25" t="n">
        <x:v>44911.254239999995</x:v>
      </x:c>
      <x:c r="AA55" s="25" t="n">
        <x:v>35111.254239999995</x:v>
      </x:c>
      <x:c r="AB55" s="25" t="n">
        <x:v>0.6464434771561921</x:v>
      </x:c>
      <x:c r="AC55" s="25" t="n">
        <x:v>4.582781044897959</x:v>
      </x:c>
      <x:c r="AD55" s="25" t="n">
        <x:v>44911.254239999995</x:v>
      </x:c>
      <x:c r="AE55" s="25" t="n">
        <x:v>2222.8668000000002</x:v>
      </x:c>
      <x:c r="AF55" s="25" t="n">
        <x:v>5557.167</x:v>
      </x:c>
      <x:c r="AG55" s="25" t="n">
        <x:v>17.63184640663129</x:v>
      </x:c>
      <x:c r="AH55" s="25" t="n">
        <x:v>4.094631483166515</x:v>
      </x:c>
      <x:c r="AI55" t="n">
        <x:f>Z55-Y55</x:f>
        <x:v>35111.254239999995</x:v>
      </x:c>
      <x:c r="AJ55" t="n">
        <x:f>AA55/S55</x:f>
        <x:v>0.6464434771561921</x:v>
      </x:c>
      <x:c r="AK55" t="n">
        <x:f>Z55/Y55</x:f>
        <x:v>4.582781044897959</x:v>
      </x:c>
    </x:row>
    <x:row r="56" ht="15" hidden="0" customHeight="1">
      <x:c r="A56" s="25" t="str">
        <x:v>FLEX</x:v>
      </x:c>
      <x:c r="B56" s="25" t="n">
        <x:v>100</x:v>
      </x:c>
      <x:c r="C56" s="25" t="str">
        <x:v>Côte d’Ivoire</x:v>
      </x:c>
      <x:c r="D56" s="25" t="str">
        <x:v>Base</x:v>
      </x:c>
      <x:c r="E56" s="25" t="n">
        <x:v>8</x:v>
      </x:c>
      <x:c r="F56" s="25" t="n">
        <x:v>4</x:v>
      </x:c>
      <x:c r="G56" s="25" t="n">
        <x:v>3</x:v>
      </x:c>
      <x:c r="H56" s="25" t="n">
        <x:v>35</x:v>
      </x:c>
      <x:c r="I56" s="25" t="str">
        <x:v>Équilibré</x:v>
      </x:c>
      <x:c r="J56" s="25" t="n">
        <x:v>1</x:v>
      </x:c>
      <x:c r="K56" s="25" t="n">
        <x:v>44900</x:v>
      </x:c>
      <x:c r="L56" s="25" t="n">
        <x:v>269900</x:v>
      </x:c>
      <x:c r="M56" s="25" t="n">
        <x:v>314800</x:v>
      </x:c>
      <x:c r="N56" s="25" t="n">
        <x:v>0.15</x:v>
      </x:c>
      <x:c r="O56" s="25" t="n">
        <x:v>0.7</x:v>
      </x:c>
      <x:c r="P56" s="25" t="n">
        <x:v>0.105</x:v>
      </x:c>
      <x:c r="Q56" s="25" t="n">
        <x:v>0.198</x:v>
      </x:c>
      <x:c r="R56" s="25" t="n">
        <x:v>1.3</x:v>
      </x:c>
      <x:c r="S56" s="25" t="n">
        <x:v>73239.5</x:v>
      </x:c>
      <x:c r="T56" s="25" t="n">
        <x:v>2929.58</x:v>
      </x:c>
      <x:c r="U56" s="25" t="n">
        <x:v>878.874</x:v>
      </x:c>
      <x:c r="V56" s="25" t="n">
        <x:v>2496.9</x:v>
      </x:c>
      <x:c r="W56" s="25" t="n">
        <x:v>8083.152000000001</x:v>
      </x:c>
      <x:c r="X56" s="25" t="n">
        <x:v>80.83152000000001</x:v>
      </x:c>
      <x:c r="Y56" s="25" t="n">
        <x:v>7699.999999999999</x:v>
      </x:c>
      <x:c r="Z56" s="25" t="n">
        <x:v>58770.162480000006</x:v>
      </x:c>
      <x:c r="AA56" s="25" t="n">
        <x:v>51070.162480000006</x:v>
      </x:c>
      <x:c r="AB56" s="25" t="n">
        <x:v>0.6973035381180921</x:v>
      </x:c>
      <x:c r="AC56" s="25" t="n">
        <x:v>7.632488633766235</x:v>
      </x:c>
      <x:c r="AD56" s="25" t="n">
        <x:v>58770.162480000006</x:v>
      </x:c>
      <x:c r="AE56" s="25" t="n">
        <x:v>4445.7336000000005</x:v>
      </x:c>
      <x:c r="AF56" s="25" t="n">
        <x:v>11114.334</x:v>
      </x:c>
      <x:c r="AG56" s="25" t="n">
        <x:v>13.323818143309351</x:v>
      </x:c>
      <x:c r="AH56" s="25" t="n">
        <x:v>4.7649301143583225</x:v>
      </x:c>
      <x:c r="AI56" t="n">
        <x:f>Z56-Y56</x:f>
        <x:v>51070.162480000006</x:v>
      </x:c>
      <x:c r="AJ56" t="n">
        <x:f>AA56/S56</x:f>
        <x:v>0.6973035381180921</x:v>
      </x:c>
      <x:c r="AK56" t="n">
        <x:f>Z56/Y56</x:f>
        <x:v>7.632488633766235</x:v>
      </x:c>
    </x:row>
    <x:row r="57" ht="15" hidden="0" customHeight="1">
      <x:c r="A57" s="25" t="str">
        <x:v>FLEX</x:v>
      </x:c>
      <x:c r="B57" s="25" t="n">
        <x:v>100</x:v>
      </x:c>
      <x:c r="C57" s="25" t="str">
        <x:v>Cameroun</x:v>
      </x:c>
      <x:c r="D57" s="25" t="str">
        <x:v>Base</x:v>
      </x:c>
      <x:c r="E57" s="25" t="n">
        <x:v>8</x:v>
      </x:c>
      <x:c r="F57" s="25" t="n">
        <x:v>4</x:v>
      </x:c>
      <x:c r="G57" s="25" t="n">
        <x:v>3</x:v>
      </x:c>
      <x:c r="H57" s="25" t="n">
        <x:v>35</x:v>
      </x:c>
      <x:c r="I57" s="25" t="str">
        <x:v>Équilibré</x:v>
      </x:c>
      <x:c r="J57" s="25" t="n">
        <x:v>1</x:v>
      </x:c>
      <x:c r="K57" s="25" t="n">
        <x:v>44900</x:v>
      </x:c>
      <x:c r="L57" s="25" t="n">
        <x:v>269900</x:v>
      </x:c>
      <x:c r="M57" s="25" t="n">
        <x:v>314800</x:v>
      </x:c>
      <x:c r="N57" s="25" t="n">
        <x:v>0.15</x:v>
      </x:c>
      <x:c r="O57" s="25" t="n">
        <x:v>0.7</x:v>
      </x:c>
      <x:c r="P57" s="25" t="n">
        <x:v>0.105</x:v>
      </x:c>
      <x:c r="Q57" s="25" t="n">
        <x:v>0.198</x:v>
      </x:c>
      <x:c r="R57" s="25" t="n">
        <x:v>1.3</x:v>
      </x:c>
      <x:c r="S57" s="25" t="n">
        <x:v>73239.5</x:v>
      </x:c>
      <x:c r="T57" s="25" t="n">
        <x:v>2929.58</x:v>
      </x:c>
      <x:c r="U57" s="25" t="n">
        <x:v>878.874</x:v>
      </x:c>
      <x:c r="V57" s="25" t="n">
        <x:v>2496.9</x:v>
      </x:c>
      <x:c r="W57" s="25" t="n">
        <x:v>8083.152000000001</x:v>
      </x:c>
      <x:c r="X57" s="25" t="n">
        <x:v>80.83152000000001</x:v>
      </x:c>
      <x:c r="Y57" s="25" t="n">
        <x:v>8400</x:v>
      </x:c>
      <x:c r="Z57" s="25" t="n">
        <x:v>58770.162480000006</x:v>
      </x:c>
      <x:c r="AA57" s="25" t="n">
        <x:v>50370.162480000006</x:v>
      </x:c>
      <x:c r="AB57" s="25" t="n">
        <x:v>0.6877458540814725</x:v>
      </x:c>
      <x:c r="AC57" s="25" t="n">
        <x:v>6.996447914285715</x:v>
      </x:c>
      <x:c r="AD57" s="25" t="n">
        <x:v>58770.162480000006</x:v>
      </x:c>
      <x:c r="AE57" s="25" t="n">
        <x:v>4445.7336000000005</x:v>
      </x:c>
      <x:c r="AF57" s="25" t="n">
        <x:v>11114.334</x:v>
      </x:c>
      <x:c r="AG57" s="25" t="n">
        <x:v>13.166363814511962</x:v>
      </x:c>
      <x:c r="AH57" s="25" t="n">
        <x:v>4.7649301143583225</x:v>
      </x:c>
      <x:c r="AI57" t="n">
        <x:f>Z57-Y57</x:f>
        <x:v>50370.162480000006</x:v>
      </x:c>
      <x:c r="AJ57" t="n">
        <x:f>AA57/S57</x:f>
        <x:v>0.6877458540814725</x:v>
      </x:c>
      <x:c r="AK57" t="n">
        <x:f>Z57/Y57</x:f>
        <x:v>6.996447914285715</x:v>
      </x:c>
    </x:row>
    <x:row r="58" ht="15" hidden="0" customHeight="1">
      <x:c r="A58" s="25" t="str">
        <x:v>FLEX</x:v>
      </x:c>
      <x:c r="B58" s="25" t="n">
        <x:v>100</x:v>
      </x:c>
      <x:c r="C58" s="25" t="str">
        <x:v>Sénégal</x:v>
      </x:c>
      <x:c r="D58" s="25" t="str">
        <x:v>Base</x:v>
      </x:c>
      <x:c r="E58" s="25" t="n">
        <x:v>8</x:v>
      </x:c>
      <x:c r="F58" s="25" t="n">
        <x:v>4</x:v>
      </x:c>
      <x:c r="G58" s="25" t="n">
        <x:v>3</x:v>
      </x:c>
      <x:c r="H58" s="25" t="n">
        <x:v>35</x:v>
      </x:c>
      <x:c r="I58" s="25" t="str">
        <x:v>Équilibré</x:v>
      </x:c>
      <x:c r="J58" s="25" t="n">
        <x:v>1</x:v>
      </x:c>
      <x:c r="K58" s="25" t="n">
        <x:v>44900</x:v>
      </x:c>
      <x:c r="L58" s="25" t="n">
        <x:v>269900</x:v>
      </x:c>
      <x:c r="M58" s="25" t="n">
        <x:v>314800</x:v>
      </x:c>
      <x:c r="N58" s="25" t="n">
        <x:v>0.15</x:v>
      </x:c>
      <x:c r="O58" s="25" t="n">
        <x:v>0.7</x:v>
      </x:c>
      <x:c r="P58" s="25" t="n">
        <x:v>0.105</x:v>
      </x:c>
      <x:c r="Q58" s="25" t="n">
        <x:v>0.198</x:v>
      </x:c>
      <x:c r="R58" s="25" t="n">
        <x:v>1.3</x:v>
      </x:c>
      <x:c r="S58" s="25" t="n">
        <x:v>73239.5</x:v>
      </x:c>
      <x:c r="T58" s="25" t="n">
        <x:v>2929.58</x:v>
      </x:c>
      <x:c r="U58" s="25" t="n">
        <x:v>878.874</x:v>
      </x:c>
      <x:c r="V58" s="25" t="n">
        <x:v>2496.9</x:v>
      </x:c>
      <x:c r="W58" s="25" t="n">
        <x:v>8083.152000000001</x:v>
      </x:c>
      <x:c r="X58" s="25" t="n">
        <x:v>80.83152000000001</x:v>
      </x:c>
      <x:c r="Y58" s="25" t="n">
        <x:v>10500</x:v>
      </x:c>
      <x:c r="Z58" s="25" t="n">
        <x:v>58770.162480000006</x:v>
      </x:c>
      <x:c r="AA58" s="25" t="n">
        <x:v>48270.162480000006</x:v>
      </x:c>
      <x:c r="AB58" s="25" t="n">
        <x:v>0.6590728019716138</x:v>
      </x:c>
      <x:c r="AC58" s="25" t="n">
        <x:v>5.597158331428572</x:v>
      </x:c>
      <x:c r="AD58" s="25" t="n">
        <x:v>58770.162480000006</x:v>
      </x:c>
      <x:c r="AE58" s="25" t="n">
        <x:v>4445.7336000000005</x:v>
      </x:c>
      <x:c r="AF58" s="25" t="n">
        <x:v>11114.334</x:v>
      </x:c>
      <x:c r="AG58" s="25" t="n">
        <x:v>12.694000828119796</x:v>
      </x:c>
      <x:c r="AH58" s="25" t="n">
        <x:v>4.7649301143583225</x:v>
      </x:c>
      <x:c r="AI58" t="n">
        <x:f>Z58-Y58</x:f>
        <x:v>48270.162480000006</x:v>
      </x:c>
      <x:c r="AJ58" t="n">
        <x:f>AA58/S58</x:f>
        <x:v>0.6590728019716138</x:v>
      </x:c>
      <x:c r="AK58" t="n">
        <x:f>Z58/Y58</x:f>
        <x:v>5.597158331428572</x:v>
      </x:c>
    </x:row>
    <x:row r="59" ht="15" hidden="0" customHeight="1">
      <x:c r="A59" s="25" t="str">
        <x:v>FLEX</x:v>
      </x:c>
      <x:c r="B59" s="25" t="n">
        <x:v>100</x:v>
      </x:c>
      <x:c r="C59" s="25" t="str">
        <x:v>Bénin</x:v>
      </x:c>
      <x:c r="D59" s="25" t="str">
        <x:v>Base</x:v>
      </x:c>
      <x:c r="E59" s="25" t="n">
        <x:v>8</x:v>
      </x:c>
      <x:c r="F59" s="25" t="n">
        <x:v>4</x:v>
      </x:c>
      <x:c r="G59" s="25" t="n">
        <x:v>3</x:v>
      </x:c>
      <x:c r="H59" s="25" t="n">
        <x:v>35</x:v>
      </x:c>
      <x:c r="I59" s="25" t="str">
        <x:v>Équilibré</x:v>
      </x:c>
      <x:c r="J59" s="25" t="n">
        <x:v>1</x:v>
      </x:c>
      <x:c r="K59" s="25" t="n">
        <x:v>44900</x:v>
      </x:c>
      <x:c r="L59" s="25" t="n">
        <x:v>269900</x:v>
      </x:c>
      <x:c r="M59" s="25" t="n">
        <x:v>314800</x:v>
      </x:c>
      <x:c r="N59" s="25" t="n">
        <x:v>0.15</x:v>
      </x:c>
      <x:c r="O59" s="25" t="n">
        <x:v>0.7</x:v>
      </x:c>
      <x:c r="P59" s="25" t="n">
        <x:v>0.105</x:v>
      </x:c>
      <x:c r="Q59" s="25" t="n">
        <x:v>0.198</x:v>
      </x:c>
      <x:c r="R59" s="25" t="n">
        <x:v>1.3</x:v>
      </x:c>
      <x:c r="S59" s="25" t="n">
        <x:v>73239.5</x:v>
      </x:c>
      <x:c r="T59" s="25" t="n">
        <x:v>2929.58</x:v>
      </x:c>
      <x:c r="U59" s="25" t="n">
        <x:v>878.874</x:v>
      </x:c>
      <x:c r="V59" s="25" t="n">
        <x:v>2496.9</x:v>
      </x:c>
      <x:c r="W59" s="25" t="n">
        <x:v>8083.152000000001</x:v>
      </x:c>
      <x:c r="X59" s="25" t="n">
        <x:v>80.83152000000001</x:v>
      </x:c>
      <x:c r="Y59" s="25" t="n">
        <x:v>7000</x:v>
      </x:c>
      <x:c r="Z59" s="25" t="n">
        <x:v>58770.162480000006</x:v>
      </x:c>
      <x:c r="AA59" s="25" t="n">
        <x:v>51770.162480000006</x:v>
      </x:c>
      <x:c r="AB59" s="25" t="n">
        <x:v>0.7068612221547117</x:v>
      </x:c>
      <x:c r="AC59" s="25" t="n">
        <x:v>8.395737497142859</x:v>
      </x:c>
      <x:c r="AD59" s="25" t="n">
        <x:v>58770.162480000006</x:v>
      </x:c>
      <x:c r="AE59" s="25" t="n">
        <x:v>4445.7336000000005</x:v>
      </x:c>
      <x:c r="AF59" s="25" t="n">
        <x:v>11114.334</x:v>
      </x:c>
      <x:c r="AG59" s="25" t="n">
        <x:v>13.481272472106742</x:v>
      </x:c>
      <x:c r="AH59" s="25" t="n">
        <x:v>4.7649301143583225</x:v>
      </x:c>
      <x:c r="AI59" t="n">
        <x:f>Z59-Y59</x:f>
        <x:v>51770.162480000006</x:v>
      </x:c>
      <x:c r="AJ59" t="n">
        <x:f>AA59/S59</x:f>
        <x:v>0.7068612221547117</x:v>
      </x:c>
      <x:c r="AK59" t="n">
        <x:f>Z59/Y59</x:f>
        <x:v>8.395737497142859</x:v>
      </x:c>
    </x:row>
    <x:row r="60" ht="15" hidden="0" customHeight="1">
      <x:c r="A60" s="25" t="str">
        <x:v>FLEX</x:v>
      </x:c>
      <x:c r="B60" s="25" t="n">
        <x:v>100</x:v>
      </x:c>
      <x:c r="C60" s="25" t="str">
        <x:v>Burkina Faso</x:v>
      </x:c>
      <x:c r="D60" s="25" t="str">
        <x:v>Base</x:v>
      </x:c>
      <x:c r="E60" s="25" t="n">
        <x:v>8</x:v>
      </x:c>
      <x:c r="F60" s="25" t="n">
        <x:v>4</x:v>
      </x:c>
      <x:c r="G60" s="25" t="n">
        <x:v>3</x:v>
      </x:c>
      <x:c r="H60" s="25" t="n">
        <x:v>35</x:v>
      </x:c>
      <x:c r="I60" s="25" t="str">
        <x:v>Équilibré</x:v>
      </x:c>
      <x:c r="J60" s="25" t="n">
        <x:v>1</x:v>
      </x:c>
      <x:c r="K60" s="25" t="n">
        <x:v>44900</x:v>
      </x:c>
      <x:c r="L60" s="25" t="n">
        <x:v>269900</x:v>
      </x:c>
      <x:c r="M60" s="25" t="n">
        <x:v>314800</x:v>
      </x:c>
      <x:c r="N60" s="25" t="n">
        <x:v>0.15</x:v>
      </x:c>
      <x:c r="O60" s="25" t="n">
        <x:v>0.7</x:v>
      </x:c>
      <x:c r="P60" s="25" t="n">
        <x:v>0.105</x:v>
      </x:c>
      <x:c r="Q60" s="25" t="n">
        <x:v>0.198</x:v>
      </x:c>
      <x:c r="R60" s="25" t="n">
        <x:v>1.3</x:v>
      </x:c>
      <x:c r="S60" s="25" t="n">
        <x:v>73239.5</x:v>
      </x:c>
      <x:c r="T60" s="25" t="n">
        <x:v>2929.58</x:v>
      </x:c>
      <x:c r="U60" s="25" t="n">
        <x:v>878.874</x:v>
      </x:c>
      <x:c r="V60" s="25" t="n">
        <x:v>2496.9</x:v>
      </x:c>
      <x:c r="W60" s="25" t="n">
        <x:v>8083.152000000001</x:v>
      </x:c>
      <x:c r="X60" s="25" t="n">
        <x:v>80.83152000000001</x:v>
      </x:c>
      <x:c r="Y60" s="25" t="n">
        <x:v>8049.999999999999</x:v>
      </x:c>
      <x:c r="Z60" s="25" t="n">
        <x:v>58770.162480000006</x:v>
      </x:c>
      <x:c r="AA60" s="25" t="n">
        <x:v>50720.162480000006</x:v>
      </x:c>
      <x:c r="AB60" s="25" t="n">
        <x:v>0.6925246960997823</x:v>
      </x:c>
      <x:c r="AC60" s="25" t="n">
        <x:v>7.300641301863355</x:v>
      </x:c>
      <x:c r="AD60" s="25" t="n">
        <x:v>58770.162480000006</x:v>
      </x:c>
      <x:c r="AE60" s="25" t="n">
        <x:v>4445.7336000000005</x:v>
      </x:c>
      <x:c r="AF60" s="25" t="n">
        <x:v>11114.334</x:v>
      </x:c>
      <x:c r="AG60" s="25" t="n">
        <x:v>13.245090978910657</x:v>
      </x:c>
      <x:c r="AH60" s="25" t="n">
        <x:v>4.7649301143583225</x:v>
      </x:c>
      <x:c r="AI60" t="n">
        <x:f>Z60-Y60</x:f>
        <x:v>50720.162480000006</x:v>
      </x:c>
      <x:c r="AJ60" t="n">
        <x:f>AA60/S60</x:f>
        <x:v>0.6925246960997823</x:v>
      </x:c>
      <x:c r="AK60" t="n">
        <x:f>Z60/Y60</x:f>
        <x:v>7.300641301863355</x:v>
      </x:c>
    </x:row>
    <x:row r="61" ht="15" hidden="0" customHeight="1">
      <x:c r="A61" s="25" t="str">
        <x:v>FLEX</x:v>
      </x:c>
      <x:c r="B61" s="25" t="n">
        <x:v>100</x:v>
      </x:c>
      <x:c r="C61" s="25" t="str">
        <x:v>Togo</x:v>
      </x:c>
      <x:c r="D61" s="25" t="str">
        <x:v>Base</x:v>
      </x:c>
      <x:c r="E61" s="25" t="n">
        <x:v>8</x:v>
      </x:c>
      <x:c r="F61" s="25" t="n">
        <x:v>4</x:v>
      </x:c>
      <x:c r="G61" s="25" t="n">
        <x:v>3</x:v>
      </x:c>
      <x:c r="H61" s="25" t="n">
        <x:v>35</x:v>
      </x:c>
      <x:c r="I61" s="25" t="str">
        <x:v>Équilibré</x:v>
      </x:c>
      <x:c r="J61" s="25" t="n">
        <x:v>1</x:v>
      </x:c>
      <x:c r="K61" s="25" t="n">
        <x:v>44900</x:v>
      </x:c>
      <x:c r="L61" s="25" t="n">
        <x:v>269900</x:v>
      </x:c>
      <x:c r="M61" s="25" t="n">
        <x:v>314800</x:v>
      </x:c>
      <x:c r="N61" s="25" t="n">
        <x:v>0.15</x:v>
      </x:c>
      <x:c r="O61" s="25" t="n">
        <x:v>0.7</x:v>
      </x:c>
      <x:c r="P61" s="25" t="n">
        <x:v>0.105</x:v>
      </x:c>
      <x:c r="Q61" s="25" t="n">
        <x:v>0.198</x:v>
      </x:c>
      <x:c r="R61" s="25" t="n">
        <x:v>1.3</x:v>
      </x:c>
      <x:c r="S61" s="25" t="n">
        <x:v>73239.5</x:v>
      </x:c>
      <x:c r="T61" s="25" t="n">
        <x:v>2929.58</x:v>
      </x:c>
      <x:c r="U61" s="25" t="n">
        <x:v>878.874</x:v>
      </x:c>
      <x:c r="V61" s="25" t="n">
        <x:v>2496.9</x:v>
      </x:c>
      <x:c r="W61" s="25" t="n">
        <x:v>8083.152000000001</x:v>
      </x:c>
      <x:c r="X61" s="25" t="n">
        <x:v>80.83152000000001</x:v>
      </x:c>
      <x:c r="Y61" s="25" t="n">
        <x:v>9800</x:v>
      </x:c>
      <x:c r="Z61" s="25" t="n">
        <x:v>58770.162480000006</x:v>
      </x:c>
      <x:c r="AA61" s="25" t="n">
        <x:v>48970.162480000006</x:v>
      </x:c>
      <x:c r="AB61" s="25" t="n">
        <x:v>0.6686304860082334</x:v>
      </x:c>
      <x:c r="AC61" s="25" t="n">
        <x:v>5.996955355102042</x:v>
      </x:c>
      <x:c r="AD61" s="25" t="n">
        <x:v>58770.162480000006</x:v>
      </x:c>
      <x:c r="AE61" s="25" t="n">
        <x:v>4445.7336000000005</x:v>
      </x:c>
      <x:c r="AF61" s="25" t="n">
        <x:v>11114.334</x:v>
      </x:c>
      <x:c r="AG61" s="25" t="n">
        <x:v>12.851455156917185</x:v>
      </x:c>
      <x:c r="AH61" s="25" t="n">
        <x:v>4.7649301143583225</x:v>
      </x:c>
      <x:c r="AI61" t="n">
        <x:f>Z61-Y61</x:f>
        <x:v>48970.162480000006</x:v>
      </x:c>
      <x:c r="AJ61" t="n">
        <x:f>AA61/S61</x:f>
        <x:v>0.6686304860082334</x:v>
      </x:c>
      <x:c r="AK61" t="n">
        <x:f>Z61/Y61</x:f>
        <x:v>5.996955355102042</x:v>
      </x:c>
    </x:row>
    <x:row r="62" ht="15" hidden="0" customHeight="1">
      <x:c r="A62" s="25" t="str">
        <x:v>INSTANT</x:v>
      </x:c>
      <x:c r="B62" s="25" t="n">
        <x:v>5</x:v>
      </x:c>
      <x:c r="C62" s="25" t="str">
        <x:v>Côte d’Ivoire</x:v>
      </x:c>
      <x:c r="D62" s="25" t="str">
        <x:v>Base</x:v>
      </x:c>
      <x:c r="E62" s="25" t="n">
        <x:v>8</x:v>
      </x:c>
      <x:c r="F62" s="25" t="n">
        <x:v>4</x:v>
      </x:c>
      <x:c r="G62" s="25" t="n">
        <x:v>3</x:v>
      </x:c>
      <x:c r="H62" s="25" t="n">
        <x:v>30</x:v>
      </x:c>
      <x:c r="I62" s="25" t="str">
        <x:v>Conservateur</x:v>
      </x:c>
      <x:c r="J62" s="25" t="n">
        <x:v>1</x:v>
      </x:c>
      <x:c r="K62" s="25" t="n">
        <x:v>39900</x:v>
      </x:c>
      <x:c r="L62" s="25" t="n">
        <x:v>0</x:v>
      </x:c>
      <x:c r="M62" s="25" t="n">
        <x:v>39900</x:v>
      </x:c>
      <x:c r="N62" s="25" t="n">
        <x:v>1</x:v>
      </x:c>
      <x:c r="O62" s="25" t="n">
        <x:v>1</x:v>
      </x:c>
      <x:c r="P62" s="25" t="n">
        <x:v>1</x:v>
      </x:c>
      <x:c r="Q62" s="25" t="n">
        <x:v>0.07020000000000001</x:v>
      </x:c>
      <x:c r="R62" s="25" t="n">
        <x:v>1.2</x:v>
      </x:c>
      <x:c r="S62" s="25" t="n">
        <x:v>39900</x:v>
      </x:c>
      <x:c r="T62" s="25" t="n">
        <x:v>1596</x:v>
      </x:c>
      <x:c r="U62" s="25" t="n">
        <x:v>478.8</x:v>
      </x:c>
      <x:c r="V62" s="25" t="n">
        <x:v>5760</x:v>
      </x:c>
      <x:c r="W62" s="25" t="n">
        <x:v>909.7919999999999</x:v>
      </x:c>
      <x:c r="X62" s="25" t="n">
        <x:v>9.09792</x:v>
      </x:c>
      <x:c r="Y62" s="25" t="n">
        <x:v>17050</x:v>
      </x:c>
      <x:c r="Z62" s="25" t="n">
        <x:v>31146.310079999996</x:v>
      </x:c>
      <x:c r="AA62" s="25" t="n">
        <x:v>14096.310079999996</x:v>
      </x:c>
      <x:c r="AB62" s="25" t="n">
        <x:v>0.3532909794486214</x:v>
      </x:c>
      <x:c r="AC62" s="25" t="n">
        <x:v>1.8267630545454543</x:v>
      </x:c>
      <x:c r="AD62" s="25" t="n">
        <x:v>31146.310079999996</x:v>
      </x:c>
      <x:c r="AE62" s="25" t="n">
        <x:v>500.3856</x:v>
      </x:c>
      <x:c r="AF62" s="25" t="n">
        <x:v>1250.964</x:v>
      </x:c>
      <x:c r="AG62" s="25" t="n">
        <x:v>30.007258402320126</x:v>
      </x:c>
      <x:c r="AH62" s="25" t="n">
        <x:v>3.7593984962406015</x:v>
      </x:c>
      <x:c r="AI62" t="n">
        <x:f>Z62-Y62</x:f>
        <x:v>14096.310079999996</x:v>
      </x:c>
      <x:c r="AJ62" t="n">
        <x:f>AA62/S62</x:f>
        <x:v>0.3532909794486214</x:v>
      </x:c>
      <x:c r="AK62" t="n">
        <x:f>Z62/Y62</x:f>
        <x:v>1.8267630545454543</x:v>
      </x:c>
    </x:row>
    <x:row r="63" ht="15" hidden="0" customHeight="1">
      <x:c r="A63" s="25" t="str">
        <x:v>INSTANT</x:v>
      </x:c>
      <x:c r="B63" s="25" t="n">
        <x:v>5</x:v>
      </x:c>
      <x:c r="C63" s="25" t="str">
        <x:v>Cameroun</x:v>
      </x:c>
      <x:c r="D63" s="25" t="str">
        <x:v>Base</x:v>
      </x:c>
      <x:c r="E63" s="25" t="n">
        <x:v>8</x:v>
      </x:c>
      <x:c r="F63" s="25" t="n">
        <x:v>4</x:v>
      </x:c>
      <x:c r="G63" s="25" t="n">
        <x:v>3</x:v>
      </x:c>
      <x:c r="H63" s="25" t="n">
        <x:v>30</x:v>
      </x:c>
      <x:c r="I63" s="25" t="str">
        <x:v>Conservateur</x:v>
      </x:c>
      <x:c r="J63" s="25" t="n">
        <x:v>1</x:v>
      </x:c>
      <x:c r="K63" s="25" t="n">
        <x:v>39900</x:v>
      </x:c>
      <x:c r="L63" s="25" t="n">
        <x:v>0</x:v>
      </x:c>
      <x:c r="M63" s="25" t="n">
        <x:v>39900</x:v>
      </x:c>
      <x:c r="N63" s="25" t="n">
        <x:v>1</x:v>
      </x:c>
      <x:c r="O63" s="25" t="n">
        <x:v>1</x:v>
      </x:c>
      <x:c r="P63" s="25" t="n">
        <x:v>1</x:v>
      </x:c>
      <x:c r="Q63" s="25" t="n">
        <x:v>0.07020000000000001</x:v>
      </x:c>
      <x:c r="R63" s="25" t="n">
        <x:v>1.2</x:v>
      </x:c>
      <x:c r="S63" s="25" t="n">
        <x:v>39900</x:v>
      </x:c>
      <x:c r="T63" s="25" t="n">
        <x:v>1596</x:v>
      </x:c>
      <x:c r="U63" s="25" t="n">
        <x:v>478.8</x:v>
      </x:c>
      <x:c r="V63" s="25" t="n">
        <x:v>5760</x:v>
      </x:c>
      <x:c r="W63" s="25" t="n">
        <x:v>909.7919999999999</x:v>
      </x:c>
      <x:c r="X63" s="25" t="n">
        <x:v>9.09792</x:v>
      </x:c>
      <x:c r="Y63" s="25" t="n">
        <x:v>18600</x:v>
      </x:c>
      <x:c r="Z63" s="25" t="n">
        <x:v>31146.310079999996</x:v>
      </x:c>
      <x:c r="AA63" s="25" t="n">
        <x:v>12546.310079999996</x:v>
      </x:c>
      <x:c r="AB63" s="25" t="n">
        <x:v>0.31444386165413524</x:v>
      </x:c>
      <x:c r="AC63" s="25" t="n">
        <x:v>1.6745327999999997</x:v>
      </x:c>
      <x:c r="AD63" s="25" t="n">
        <x:v>31146.310079999996</x:v>
      </x:c>
      <x:c r="AE63" s="25" t="n">
        <x:v>500.3856</x:v>
      </x:c>
      <x:c r="AF63" s="25" t="n">
        <x:v>1250.964</x:v>
      </x:c>
      <x:c r="AG63" s="25" t="n">
        <x:v>26.909647280017644</x:v>
      </x:c>
      <x:c r="AH63" s="25" t="n">
        <x:v>3.7593984962406015</x:v>
      </x:c>
      <x:c r="AI63" t="n">
        <x:f>Z63-Y63</x:f>
        <x:v>12546.310079999996</x:v>
      </x:c>
      <x:c r="AJ63" t="n">
        <x:f>AA63/S63</x:f>
        <x:v>0.31444386165413524</x:v>
      </x:c>
      <x:c r="AK63" t="n">
        <x:f>Z63/Y63</x:f>
        <x:v>1.6745327999999997</x:v>
      </x:c>
    </x:row>
    <x:row r="64" ht="15" hidden="0" customHeight="1">
      <x:c r="A64" s="25" t="str">
        <x:v>INSTANT</x:v>
      </x:c>
      <x:c r="B64" s="25" t="n">
        <x:v>5</x:v>
      </x:c>
      <x:c r="C64" s="25" t="str">
        <x:v>Sénégal</x:v>
      </x:c>
      <x:c r="D64" s="25" t="str">
        <x:v>Base</x:v>
      </x:c>
      <x:c r="E64" s="25" t="n">
        <x:v>8</x:v>
      </x:c>
      <x:c r="F64" s="25" t="n">
        <x:v>4</x:v>
      </x:c>
      <x:c r="G64" s="25" t="n">
        <x:v>3</x:v>
      </x:c>
      <x:c r="H64" s="25" t="n">
        <x:v>30</x:v>
      </x:c>
      <x:c r="I64" s="25" t="str">
        <x:v>Conservateur</x:v>
      </x:c>
      <x:c r="J64" s="25" t="n">
        <x:v>1</x:v>
      </x:c>
      <x:c r="K64" s="25" t="n">
        <x:v>39900</x:v>
      </x:c>
      <x:c r="L64" s="25" t="n">
        <x:v>0</x:v>
      </x:c>
      <x:c r="M64" s="25" t="n">
        <x:v>39900</x:v>
      </x:c>
      <x:c r="N64" s="25" t="n">
        <x:v>1</x:v>
      </x:c>
      <x:c r="O64" s="25" t="n">
        <x:v>1</x:v>
      </x:c>
      <x:c r="P64" s="25" t="n">
        <x:v>1</x:v>
      </x:c>
      <x:c r="Q64" s="25" t="n">
        <x:v>0.07020000000000001</x:v>
      </x:c>
      <x:c r="R64" s="25" t="n">
        <x:v>1.2</x:v>
      </x:c>
      <x:c r="S64" s="25" t="n">
        <x:v>39900</x:v>
      </x:c>
      <x:c r="T64" s="25" t="n">
        <x:v>1596</x:v>
      </x:c>
      <x:c r="U64" s="25" t="n">
        <x:v>478.8</x:v>
      </x:c>
      <x:c r="V64" s="25" t="n">
        <x:v>5760</x:v>
      </x:c>
      <x:c r="W64" s="25" t="n">
        <x:v>909.7919999999999</x:v>
      </x:c>
      <x:c r="X64" s="25" t="n">
        <x:v>9.09792</x:v>
      </x:c>
      <x:c r="Y64" s="25" t="n">
        <x:v>23250</x:v>
      </x:c>
      <x:c r="Z64" s="25" t="n">
        <x:v>31146.310079999996</x:v>
      </x:c>
      <x:c r="AA64" s="25" t="n">
        <x:v>7896.310079999996</x:v>
      </x:c>
      <x:c r="AB64" s="25" t="n">
        <x:v>0.19790250827067657</x:v>
      </x:c>
      <x:c r="AC64" s="25" t="n">
        <x:v>1.3396262399999999</x:v>
      </x:c>
      <x:c r="AD64" s="25" t="n">
        <x:v>31146.310079999996</x:v>
      </x:c>
      <x:c r="AE64" s="25" t="n">
        <x:v>500.3856</x:v>
      </x:c>
      <x:c r="AF64" s="25" t="n">
        <x:v>1250.964</x:v>
      </x:c>
      <x:c r="AG64" s="25" t="n">
        <x:v>17.616813913110203</x:v>
      </x:c>
      <x:c r="AH64" s="25" t="n">
        <x:v>3.7593984962406015</x:v>
      </x:c>
      <x:c r="AI64" t="n">
        <x:f>Z64-Y64</x:f>
        <x:v>7896.310079999996</x:v>
      </x:c>
      <x:c r="AJ64" t="n">
        <x:f>AA64/S64</x:f>
        <x:v>0.19790250827067657</x:v>
      </x:c>
      <x:c r="AK64" t="n">
        <x:f>Z64/Y64</x:f>
        <x:v>1.3396262399999999</x:v>
      </x:c>
    </x:row>
    <x:row r="65" ht="15" hidden="0" customHeight="1">
      <x:c r="A65" s="25" t="str">
        <x:v>INSTANT</x:v>
      </x:c>
      <x:c r="B65" s="25" t="n">
        <x:v>5</x:v>
      </x:c>
      <x:c r="C65" s="25" t="str">
        <x:v>Bénin</x:v>
      </x:c>
      <x:c r="D65" s="25" t="str">
        <x:v>Base</x:v>
      </x:c>
      <x:c r="E65" s="25" t="n">
        <x:v>8</x:v>
      </x:c>
      <x:c r="F65" s="25" t="n">
        <x:v>4</x:v>
      </x:c>
      <x:c r="G65" s="25" t="n">
        <x:v>3</x:v>
      </x:c>
      <x:c r="H65" s="25" t="n">
        <x:v>30</x:v>
      </x:c>
      <x:c r="I65" s="25" t="str">
        <x:v>Conservateur</x:v>
      </x:c>
      <x:c r="J65" s="25" t="n">
        <x:v>1</x:v>
      </x:c>
      <x:c r="K65" s="25" t="n">
        <x:v>39900</x:v>
      </x:c>
      <x:c r="L65" s="25" t="n">
        <x:v>0</x:v>
      </x:c>
      <x:c r="M65" s="25" t="n">
        <x:v>39900</x:v>
      </x:c>
      <x:c r="N65" s="25" t="n">
        <x:v>1</x:v>
      </x:c>
      <x:c r="O65" s="25" t="n">
        <x:v>1</x:v>
      </x:c>
      <x:c r="P65" s="25" t="n">
        <x:v>1</x:v>
      </x:c>
      <x:c r="Q65" s="25" t="n">
        <x:v>0.07020000000000001</x:v>
      </x:c>
      <x:c r="R65" s="25" t="n">
        <x:v>1.2</x:v>
      </x:c>
      <x:c r="S65" s="25" t="n">
        <x:v>39900</x:v>
      </x:c>
      <x:c r="T65" s="25" t="n">
        <x:v>1596</x:v>
      </x:c>
      <x:c r="U65" s="25" t="n">
        <x:v>478.8</x:v>
      </x:c>
      <x:c r="V65" s="25" t="n">
        <x:v>5760</x:v>
      </x:c>
      <x:c r="W65" s="25" t="n">
        <x:v>909.7919999999999</x:v>
      </x:c>
      <x:c r="X65" s="25" t="n">
        <x:v>9.09792</x:v>
      </x:c>
      <x:c r="Y65" s="25" t="n">
        <x:v>15500</x:v>
      </x:c>
      <x:c r="Z65" s="25" t="n">
        <x:v>31146.310079999996</x:v>
      </x:c>
      <x:c r="AA65" s="25" t="n">
        <x:v>15646.310079999996</x:v>
      </x:c>
      <x:c r="AB65" s="25" t="n">
        <x:v>0.39213809724310766</x:v>
      </x:c>
      <x:c r="AC65" s="25" t="n">
        <x:v>2.0094393599999996</x:v>
      </x:c>
      <x:c r="AD65" s="25" t="n">
        <x:v>31146.310079999996</x:v>
      </x:c>
      <x:c r="AE65" s="25" t="n">
        <x:v>500.3856</x:v>
      </x:c>
      <x:c r="AF65" s="25" t="n">
        <x:v>1250.964</x:v>
      </x:c>
      <x:c r="AG65" s="25" t="n">
        <x:v>33.10486952462261</x:v>
      </x:c>
      <x:c r="AH65" s="25" t="n">
        <x:v>3.7593984962406015</x:v>
      </x:c>
      <x:c r="AI65" t="n">
        <x:f>Z65-Y65</x:f>
        <x:v>15646.310079999996</x:v>
      </x:c>
      <x:c r="AJ65" t="n">
        <x:f>AA65/S65</x:f>
        <x:v>0.39213809724310766</x:v>
      </x:c>
      <x:c r="AK65" t="n">
        <x:f>Z65/Y65</x:f>
        <x:v>2.0094393599999996</x:v>
      </x:c>
    </x:row>
    <x:row r="66" ht="15" hidden="0" customHeight="1">
      <x:c r="A66" s="25" t="str">
        <x:v>INSTANT</x:v>
      </x:c>
      <x:c r="B66" s="25" t="n">
        <x:v>5</x:v>
      </x:c>
      <x:c r="C66" s="25" t="str">
        <x:v>Burkina Faso</x:v>
      </x:c>
      <x:c r="D66" s="25" t="str">
        <x:v>Base</x:v>
      </x:c>
      <x:c r="E66" s="25" t="n">
        <x:v>8</x:v>
      </x:c>
      <x:c r="F66" s="25" t="n">
        <x:v>4</x:v>
      </x:c>
      <x:c r="G66" s="25" t="n">
        <x:v>3</x:v>
      </x:c>
      <x:c r="H66" s="25" t="n">
        <x:v>30</x:v>
      </x:c>
      <x:c r="I66" s="25" t="str">
        <x:v>Conservateur</x:v>
      </x:c>
      <x:c r="J66" s="25" t="n">
        <x:v>1</x:v>
      </x:c>
      <x:c r="K66" s="25" t="n">
        <x:v>39900</x:v>
      </x:c>
      <x:c r="L66" s="25" t="n">
        <x:v>0</x:v>
      </x:c>
      <x:c r="M66" s="25" t="n">
        <x:v>39900</x:v>
      </x:c>
      <x:c r="N66" s="25" t="n">
        <x:v>1</x:v>
      </x:c>
      <x:c r="O66" s="25" t="n">
        <x:v>1</x:v>
      </x:c>
      <x:c r="P66" s="25" t="n">
        <x:v>1</x:v>
      </x:c>
      <x:c r="Q66" s="25" t="n">
        <x:v>0.07020000000000001</x:v>
      </x:c>
      <x:c r="R66" s="25" t="n">
        <x:v>1.2</x:v>
      </x:c>
      <x:c r="S66" s="25" t="n">
        <x:v>39900</x:v>
      </x:c>
      <x:c r="T66" s="25" t="n">
        <x:v>1596</x:v>
      </x:c>
      <x:c r="U66" s="25" t="n">
        <x:v>478.8</x:v>
      </x:c>
      <x:c r="V66" s="25" t="n">
        <x:v>5760</x:v>
      </x:c>
      <x:c r="W66" s="25" t="n">
        <x:v>909.7919999999999</x:v>
      </x:c>
      <x:c r="X66" s="25" t="n">
        <x:v>9.09792</x:v>
      </x:c>
      <x:c r="Y66" s="25" t="n">
        <x:v>17825</x:v>
      </x:c>
      <x:c r="Z66" s="25" t="n">
        <x:v>31146.310079999996</x:v>
      </x:c>
      <x:c r="AA66" s="25" t="n">
        <x:v>13321.310079999996</x:v>
      </x:c>
      <x:c r="AB66" s="25" t="n">
        <x:v>0.33386742055137836</x:v>
      </x:c>
      <x:c r="AC66" s="25" t="n">
        <x:v>1.7473385739130431</x:v>
      </x:c>
      <x:c r="AD66" s="25" t="n">
        <x:v>31146.310079999996</x:v>
      </x:c>
      <x:c r="AE66" s="25" t="n">
        <x:v>500.3856</x:v>
      </x:c>
      <x:c r="AF66" s="25" t="n">
        <x:v>1250.964</x:v>
      </x:c>
      <x:c r="AG66" s="25" t="n">
        <x:v>28.458452841168885</x:v>
      </x:c>
      <x:c r="AH66" s="25" t="n">
        <x:v>3.7593984962406015</x:v>
      </x:c>
      <x:c r="AI66" t="n">
        <x:f>Z66-Y66</x:f>
        <x:v>13321.310079999996</x:v>
      </x:c>
      <x:c r="AJ66" t="n">
        <x:f>AA66/S66</x:f>
        <x:v>0.33386742055137836</x:v>
      </x:c>
      <x:c r="AK66" t="n">
        <x:f>Z66/Y66</x:f>
        <x:v>1.7473385739130431</x:v>
      </x:c>
    </x:row>
    <x:row r="67" ht="15" hidden="0" customHeight="1">
      <x:c r="A67" s="25" t="str">
        <x:v>INSTANT</x:v>
      </x:c>
      <x:c r="B67" s="25" t="n">
        <x:v>5</x:v>
      </x:c>
      <x:c r="C67" s="25" t="str">
        <x:v>Togo</x:v>
      </x:c>
      <x:c r="D67" s="25" t="str">
        <x:v>Base</x:v>
      </x:c>
      <x:c r="E67" s="25" t="n">
        <x:v>8</x:v>
      </x:c>
      <x:c r="F67" s="25" t="n">
        <x:v>4</x:v>
      </x:c>
      <x:c r="G67" s="25" t="n">
        <x:v>3</x:v>
      </x:c>
      <x:c r="H67" s="25" t="n">
        <x:v>30</x:v>
      </x:c>
      <x:c r="I67" s="25" t="str">
        <x:v>Conservateur</x:v>
      </x:c>
      <x:c r="J67" s="25" t="n">
        <x:v>1</x:v>
      </x:c>
      <x:c r="K67" s="25" t="n">
        <x:v>39900</x:v>
      </x:c>
      <x:c r="L67" s="25" t="n">
        <x:v>0</x:v>
      </x:c>
      <x:c r="M67" s="25" t="n">
        <x:v>39900</x:v>
      </x:c>
      <x:c r="N67" s="25" t="n">
        <x:v>1</x:v>
      </x:c>
      <x:c r="O67" s="25" t="n">
        <x:v>1</x:v>
      </x:c>
      <x:c r="P67" s="25" t="n">
        <x:v>1</x:v>
      </x:c>
      <x:c r="Q67" s="25" t="n">
        <x:v>0.07020000000000001</x:v>
      </x:c>
      <x:c r="R67" s="25" t="n">
        <x:v>1.2</x:v>
      </x:c>
      <x:c r="S67" s="25" t="n">
        <x:v>39900</x:v>
      </x:c>
      <x:c r="T67" s="25" t="n">
        <x:v>1596</x:v>
      </x:c>
      <x:c r="U67" s="25" t="n">
        <x:v>478.8</x:v>
      </x:c>
      <x:c r="V67" s="25" t="n">
        <x:v>5760</x:v>
      </x:c>
      <x:c r="W67" s="25" t="n">
        <x:v>909.7919999999999</x:v>
      </x:c>
      <x:c r="X67" s="25" t="n">
        <x:v>9.09792</x:v>
      </x:c>
      <x:c r="Y67" s="25" t="n">
        <x:v>21700</x:v>
      </x:c>
      <x:c r="Z67" s="25" t="n">
        <x:v>31146.310079999996</x:v>
      </x:c>
      <x:c r="AA67" s="25" t="n">
        <x:v>9446.310079999996</x:v>
      </x:c>
      <x:c r="AB67" s="25" t="n">
        <x:v>0.2367496260651628</x:v>
      </x:c>
      <x:c r="AC67" s="25" t="n">
        <x:v>1.4353138285714284</x:v>
      </x:c>
      <x:c r="AD67" s="25" t="n">
        <x:v>31146.310079999996</x:v>
      </x:c>
      <x:c r="AE67" s="25" t="n">
        <x:v>500.3856</x:v>
      </x:c>
      <x:c r="AF67" s="25" t="n">
        <x:v>1250.964</x:v>
      </x:c>
      <x:c r="AG67" s="25" t="n">
        <x:v>20.714425035412685</x:v>
      </x:c>
      <x:c r="AH67" s="25" t="n">
        <x:v>3.7593984962406015</x:v>
      </x:c>
      <x:c r="AI67" t="n">
        <x:f>Z67-Y67</x:f>
        <x:v>9446.310079999996</x:v>
      </x:c>
      <x:c r="AJ67" t="n">
        <x:f>AA67/S67</x:f>
        <x:v>0.2367496260651628</x:v>
      </x:c>
      <x:c r="AK67" t="n">
        <x:f>Z67/Y67</x:f>
        <x:v>1.4353138285714284</x:v>
      </x:c>
    </x:row>
    <x:row r="68" ht="15" hidden="0" customHeight="1">
      <x:c r="A68" s="25" t="str">
        <x:v>INSTANT</x:v>
      </x:c>
      <x:c r="B68" s="25" t="n">
        <x:v>10</x:v>
      </x:c>
      <x:c r="C68" s="25" t="str">
        <x:v>Côte d’Ivoire</x:v>
      </x:c>
      <x:c r="D68" s="25" t="str">
        <x:v>Base</x:v>
      </x:c>
      <x:c r="E68" s="25" t="n">
        <x:v>8</x:v>
      </x:c>
      <x:c r="F68" s="25" t="n">
        <x:v>4</x:v>
      </x:c>
      <x:c r="G68" s="25" t="n">
        <x:v>3</x:v>
      </x:c>
      <x:c r="H68" s="25" t="n">
        <x:v>30</x:v>
      </x:c>
      <x:c r="I68" s="25" t="str">
        <x:v>Conservateur</x:v>
      </x:c>
      <x:c r="J68" s="25" t="n">
        <x:v>1</x:v>
      </x:c>
      <x:c r="K68" s="25" t="n">
        <x:v>59900</x:v>
      </x:c>
      <x:c r="L68" s="25" t="n">
        <x:v>0</x:v>
      </x:c>
      <x:c r="M68" s="25" t="n">
        <x:v>59900</x:v>
      </x:c>
      <x:c r="N68" s="25" t="n">
        <x:v>1</x:v>
      </x:c>
      <x:c r="O68" s="25" t="n">
        <x:v>1</x:v>
      </x:c>
      <x:c r="P68" s="25" t="n">
        <x:v>1</x:v>
      </x:c>
      <x:c r="Q68" s="25" t="n">
        <x:v>0.07020000000000001</x:v>
      </x:c>
      <x:c r="R68" s="25" t="n">
        <x:v>1.2</x:v>
      </x:c>
      <x:c r="S68" s="25" t="n">
        <x:v>59900</x:v>
      </x:c>
      <x:c r="T68" s="25" t="n">
        <x:v>2396</x:v>
      </x:c>
      <x:c r="U68" s="25" t="n">
        <x:v>718.8000000000001</x:v>
      </x:c>
      <x:c r="V68" s="25" t="n">
        <x:v>5760</x:v>
      </x:c>
      <x:c r="W68" s="25" t="n">
        <x:v>1819.5839999999998</x:v>
      </x:c>
      <x:c r="X68" s="25" t="n">
        <x:v>18.19584</x:v>
      </x:c>
      <x:c r="Y68" s="25" t="n">
        <x:v>17050</x:v>
      </x:c>
      <x:c r="Z68" s="25" t="n">
        <x:v>49187.420159999994</x:v>
      </x:c>
      <x:c r="AA68" s="25" t="n">
        <x:v>32137.420159999994</x:v>
      </x:c>
      <x:c r="AB68" s="25" t="n">
        <x:v>0.5365178657762937</x:v>
      </x:c>
      <x:c r="AC68" s="25" t="n">
        <x:v>2.8848926780058646</x:v>
      </x:c>
      <x:c r="AD68" s="25" t="n">
        <x:v>49187.420159999994</x:v>
      </x:c>
      <x:c r="AE68" s="25" t="n">
        <x:v>1000.7712</x:v>
      </x:c>
      <x:c r="AF68" s="25" t="n">
        <x:v>2501.928</x:v>
      </x:c>
      <x:c r="AG68" s="25" t="n">
        <x:v>33.94901851691975</x:v>
      </x:c>
      <x:c r="AH68" s="25" t="n">
        <x:v>4.006677796327212</x:v>
      </x:c>
      <x:c r="AI68" t="n">
        <x:f>Z68-Y68</x:f>
        <x:v>32137.420159999994</x:v>
      </x:c>
      <x:c r="AJ68" t="n">
        <x:f>AA68/S68</x:f>
        <x:v>0.5365178657762937</x:v>
      </x:c>
      <x:c r="AK68" t="n">
        <x:f>Z68/Y68</x:f>
        <x:v>2.8848926780058646</x:v>
      </x:c>
    </x:row>
    <x:row r="69" ht="15" hidden="0" customHeight="1">
      <x:c r="A69" s="25" t="str">
        <x:v>INSTANT</x:v>
      </x:c>
      <x:c r="B69" s="25" t="n">
        <x:v>10</x:v>
      </x:c>
      <x:c r="C69" s="25" t="str">
        <x:v>Cameroun</x:v>
      </x:c>
      <x:c r="D69" s="25" t="str">
        <x:v>Base</x:v>
      </x:c>
      <x:c r="E69" s="25" t="n">
        <x:v>8</x:v>
      </x:c>
      <x:c r="F69" s="25" t="n">
        <x:v>4</x:v>
      </x:c>
      <x:c r="G69" s="25" t="n">
        <x:v>3</x:v>
      </x:c>
      <x:c r="H69" s="25" t="n">
        <x:v>30</x:v>
      </x:c>
      <x:c r="I69" s="25" t="str">
        <x:v>Conservateur</x:v>
      </x:c>
      <x:c r="J69" s="25" t="n">
        <x:v>1</x:v>
      </x:c>
      <x:c r="K69" s="25" t="n">
        <x:v>59900</x:v>
      </x:c>
      <x:c r="L69" s="25" t="n">
        <x:v>0</x:v>
      </x:c>
      <x:c r="M69" s="25" t="n">
        <x:v>59900</x:v>
      </x:c>
      <x:c r="N69" s="25" t="n">
        <x:v>1</x:v>
      </x:c>
      <x:c r="O69" s="25" t="n">
        <x:v>1</x:v>
      </x:c>
      <x:c r="P69" s="25" t="n">
        <x:v>1</x:v>
      </x:c>
      <x:c r="Q69" s="25" t="n">
        <x:v>0.07020000000000001</x:v>
      </x:c>
      <x:c r="R69" s="25" t="n">
        <x:v>1.2</x:v>
      </x:c>
      <x:c r="S69" s="25" t="n">
        <x:v>59900</x:v>
      </x:c>
      <x:c r="T69" s="25" t="n">
        <x:v>2396</x:v>
      </x:c>
      <x:c r="U69" s="25" t="n">
        <x:v>718.8000000000001</x:v>
      </x:c>
      <x:c r="V69" s="25" t="n">
        <x:v>5760</x:v>
      </x:c>
      <x:c r="W69" s="25" t="n">
        <x:v>1819.5839999999998</x:v>
      </x:c>
      <x:c r="X69" s="25" t="n">
        <x:v>18.19584</x:v>
      </x:c>
      <x:c r="Y69" s="25" t="n">
        <x:v>18600</x:v>
      </x:c>
      <x:c r="Z69" s="25" t="n">
        <x:v>49187.420159999994</x:v>
      </x:c>
      <x:c r="AA69" s="25" t="n">
        <x:v>30587.420159999994</x:v>
      </x:c>
      <x:c r="AB69" s="25" t="n">
        <x:v>0.5106414050083471</x:v>
      </x:c>
      <x:c r="AC69" s="25" t="n">
        <x:v>2.6444849548387093</x:v>
      </x:c>
      <x:c r="AD69" s="25" t="n">
        <x:v>49187.420159999994</x:v>
      </x:c>
      <x:c r="AE69" s="25" t="n">
        <x:v>1000.7712</x:v>
      </x:c>
      <x:c r="AF69" s="25" t="n">
        <x:v>2501.928</x:v>
      </x:c>
      <x:c r="AG69" s="25" t="n">
        <x:v>32.40021295576851</x:v>
      </x:c>
      <x:c r="AH69" s="25" t="n">
        <x:v>4.006677796327212</x:v>
      </x:c>
      <x:c r="AI69" t="n">
        <x:f>Z69-Y69</x:f>
        <x:v>30587.420159999994</x:v>
      </x:c>
      <x:c r="AJ69" t="n">
        <x:f>AA69/S69</x:f>
        <x:v>0.5106414050083471</x:v>
      </x:c>
      <x:c r="AK69" t="n">
        <x:f>Z69/Y69</x:f>
        <x:v>2.6444849548387093</x:v>
      </x:c>
    </x:row>
    <x:row r="70" ht="15" hidden="0" customHeight="1">
      <x:c r="A70" s="25" t="str">
        <x:v>INSTANT</x:v>
      </x:c>
      <x:c r="B70" s="25" t="n">
        <x:v>10</x:v>
      </x:c>
      <x:c r="C70" s="25" t="str">
        <x:v>Sénégal</x:v>
      </x:c>
      <x:c r="D70" s="25" t="str">
        <x:v>Base</x:v>
      </x:c>
      <x:c r="E70" s="25" t="n">
        <x:v>8</x:v>
      </x:c>
      <x:c r="F70" s="25" t="n">
        <x:v>4</x:v>
      </x:c>
      <x:c r="G70" s="25" t="n">
        <x:v>3</x:v>
      </x:c>
      <x:c r="H70" s="25" t="n">
        <x:v>30</x:v>
      </x:c>
      <x:c r="I70" s="25" t="str">
        <x:v>Conservateur</x:v>
      </x:c>
      <x:c r="J70" s="25" t="n">
        <x:v>1</x:v>
      </x:c>
      <x:c r="K70" s="25" t="n">
        <x:v>59900</x:v>
      </x:c>
      <x:c r="L70" s="25" t="n">
        <x:v>0</x:v>
      </x:c>
      <x:c r="M70" s="25" t="n">
        <x:v>59900</x:v>
      </x:c>
      <x:c r="N70" s="25" t="n">
        <x:v>1</x:v>
      </x:c>
      <x:c r="O70" s="25" t="n">
        <x:v>1</x:v>
      </x:c>
      <x:c r="P70" s="25" t="n">
        <x:v>1</x:v>
      </x:c>
      <x:c r="Q70" s="25" t="n">
        <x:v>0.07020000000000001</x:v>
      </x:c>
      <x:c r="R70" s="25" t="n">
        <x:v>1.2</x:v>
      </x:c>
      <x:c r="S70" s="25" t="n">
        <x:v>59900</x:v>
      </x:c>
      <x:c r="T70" s="25" t="n">
        <x:v>2396</x:v>
      </x:c>
      <x:c r="U70" s="25" t="n">
        <x:v>718.8000000000001</x:v>
      </x:c>
      <x:c r="V70" s="25" t="n">
        <x:v>5760</x:v>
      </x:c>
      <x:c r="W70" s="25" t="n">
        <x:v>1819.5839999999998</x:v>
      </x:c>
      <x:c r="X70" s="25" t="n">
        <x:v>18.19584</x:v>
      </x:c>
      <x:c r="Y70" s="25" t="n">
        <x:v>23250</x:v>
      </x:c>
      <x:c r="Z70" s="25" t="n">
        <x:v>49187.420159999994</x:v>
      </x:c>
      <x:c r="AA70" s="25" t="n">
        <x:v>25937.420159999994</x:v>
      </x:c>
      <x:c r="AB70" s="25" t="n">
        <x:v>0.4330120227045074</x:v>
      </x:c>
      <x:c r="AC70" s="25" t="n">
        <x:v>2.1155879638709676</x:v>
      </x:c>
      <x:c r="AD70" s="25" t="n">
        <x:v>49187.420159999994</x:v>
      </x:c>
      <x:c r="AE70" s="25" t="n">
        <x:v>1000.7712</x:v>
      </x:c>
      <x:c r="AF70" s="25" t="n">
        <x:v>2501.928</x:v>
      </x:c>
      <x:c r="AG70" s="25" t="n">
        <x:v>27.753796272314787</x:v>
      </x:c>
      <x:c r="AH70" s="25" t="n">
        <x:v>4.006677796327212</x:v>
      </x:c>
      <x:c r="AI70" t="n">
        <x:f>Z70-Y70</x:f>
        <x:v>25937.420159999994</x:v>
      </x:c>
      <x:c r="AJ70" t="n">
        <x:f>AA70/S70</x:f>
        <x:v>0.4330120227045074</x:v>
      </x:c>
      <x:c r="AK70" t="n">
        <x:f>Z70/Y70</x:f>
        <x:v>2.1155879638709676</x:v>
      </x:c>
    </x:row>
    <x:row r="71" ht="15" hidden="0" customHeight="1">
      <x:c r="A71" s="25" t="str">
        <x:v>INSTANT</x:v>
      </x:c>
      <x:c r="B71" s="25" t="n">
        <x:v>10</x:v>
      </x:c>
      <x:c r="C71" s="25" t="str">
        <x:v>Bénin</x:v>
      </x:c>
      <x:c r="D71" s="25" t="str">
        <x:v>Base</x:v>
      </x:c>
      <x:c r="E71" s="25" t="n">
        <x:v>8</x:v>
      </x:c>
      <x:c r="F71" s="25" t="n">
        <x:v>4</x:v>
      </x:c>
      <x:c r="G71" s="25" t="n">
        <x:v>3</x:v>
      </x:c>
      <x:c r="H71" s="25" t="n">
        <x:v>30</x:v>
      </x:c>
      <x:c r="I71" s="25" t="str">
        <x:v>Conservateur</x:v>
      </x:c>
      <x:c r="J71" s="25" t="n">
        <x:v>1</x:v>
      </x:c>
      <x:c r="K71" s="25" t="n">
        <x:v>59900</x:v>
      </x:c>
      <x:c r="L71" s="25" t="n">
        <x:v>0</x:v>
      </x:c>
      <x:c r="M71" s="25" t="n">
        <x:v>59900</x:v>
      </x:c>
      <x:c r="N71" s="25" t="n">
        <x:v>1</x:v>
      </x:c>
      <x:c r="O71" s="25" t="n">
        <x:v>1</x:v>
      </x:c>
      <x:c r="P71" s="25" t="n">
        <x:v>1</x:v>
      </x:c>
      <x:c r="Q71" s="25" t="n">
        <x:v>0.07020000000000001</x:v>
      </x:c>
      <x:c r="R71" s="25" t="n">
        <x:v>1.2</x:v>
      </x:c>
      <x:c r="S71" s="25" t="n">
        <x:v>59900</x:v>
      </x:c>
      <x:c r="T71" s="25" t="n">
        <x:v>2396</x:v>
      </x:c>
      <x:c r="U71" s="25" t="n">
        <x:v>718.8000000000001</x:v>
      </x:c>
      <x:c r="V71" s="25" t="n">
        <x:v>5760</x:v>
      </x:c>
      <x:c r="W71" s="25" t="n">
        <x:v>1819.5839999999998</x:v>
      </x:c>
      <x:c r="X71" s="25" t="n">
        <x:v>18.19584</x:v>
      </x:c>
      <x:c r="Y71" s="25" t="n">
        <x:v>15500</x:v>
      </x:c>
      <x:c r="Z71" s="25" t="n">
        <x:v>49187.420159999994</x:v>
      </x:c>
      <x:c r="AA71" s="25" t="n">
        <x:v>33687.420159999994</x:v>
      </x:c>
      <x:c r="AB71" s="25" t="n">
        <x:v>0.5623943265442403</x:v>
      </x:c>
      <x:c r="AC71" s="25" t="n">
        <x:v>3.1733819458064514</x:v>
      </x:c>
      <x:c r="AD71" s="25" t="n">
        <x:v>49187.420159999994</x:v>
      </x:c>
      <x:c r="AE71" s="25" t="n">
        <x:v>1000.7712</x:v>
      </x:c>
      <x:c r="AF71" s="25" t="n">
        <x:v>2501.928</x:v>
      </x:c>
      <x:c r="AG71" s="25" t="n">
        <x:v>35.49782407807099</x:v>
      </x:c>
      <x:c r="AH71" s="25" t="n">
        <x:v>4.006677796327212</x:v>
      </x:c>
      <x:c r="AI71" t="n">
        <x:f>Z71-Y71</x:f>
        <x:v>33687.420159999994</x:v>
      </x:c>
      <x:c r="AJ71" t="n">
        <x:f>AA71/S71</x:f>
        <x:v>0.5623943265442403</x:v>
      </x:c>
      <x:c r="AK71" t="n">
        <x:f>Z71/Y71</x:f>
        <x:v>3.1733819458064514</x:v>
      </x:c>
    </x:row>
    <x:row r="72" ht="15" hidden="0" customHeight="1">
      <x:c r="A72" s="25" t="str">
        <x:v>INSTANT</x:v>
      </x:c>
      <x:c r="B72" s="25" t="n">
        <x:v>10</x:v>
      </x:c>
      <x:c r="C72" s="25" t="str">
        <x:v>Burkina Faso</x:v>
      </x:c>
      <x:c r="D72" s="25" t="str">
        <x:v>Base</x:v>
      </x:c>
      <x:c r="E72" s="25" t="n">
        <x:v>8</x:v>
      </x:c>
      <x:c r="F72" s="25" t="n">
        <x:v>4</x:v>
      </x:c>
      <x:c r="G72" s="25" t="n">
        <x:v>3</x:v>
      </x:c>
      <x:c r="H72" s="25" t="n">
        <x:v>30</x:v>
      </x:c>
      <x:c r="I72" s="25" t="str">
        <x:v>Conservateur</x:v>
      </x:c>
      <x:c r="J72" s="25" t="n">
        <x:v>1</x:v>
      </x:c>
      <x:c r="K72" s="25" t="n">
        <x:v>59900</x:v>
      </x:c>
      <x:c r="L72" s="25" t="n">
        <x:v>0</x:v>
      </x:c>
      <x:c r="M72" s="25" t="n">
        <x:v>59900</x:v>
      </x:c>
      <x:c r="N72" s="25" t="n">
        <x:v>1</x:v>
      </x:c>
      <x:c r="O72" s="25" t="n">
        <x:v>1</x:v>
      </x:c>
      <x:c r="P72" s="25" t="n">
        <x:v>1</x:v>
      </x:c>
      <x:c r="Q72" s="25" t="n">
        <x:v>0.07020000000000001</x:v>
      </x:c>
      <x:c r="R72" s="25" t="n">
        <x:v>1.2</x:v>
      </x:c>
      <x:c r="S72" s="25" t="n">
        <x:v>59900</x:v>
      </x:c>
      <x:c r="T72" s="25" t="n">
        <x:v>2396</x:v>
      </x:c>
      <x:c r="U72" s="25" t="n">
        <x:v>718.8000000000001</x:v>
      </x:c>
      <x:c r="V72" s="25" t="n">
        <x:v>5760</x:v>
      </x:c>
      <x:c r="W72" s="25" t="n">
        <x:v>1819.5839999999998</x:v>
      </x:c>
      <x:c r="X72" s="25" t="n">
        <x:v>18.19584</x:v>
      </x:c>
      <x:c r="Y72" s="25" t="n">
        <x:v>17825</x:v>
      </x:c>
      <x:c r="Z72" s="25" t="n">
        <x:v>49187.420159999994</x:v>
      </x:c>
      <x:c r="AA72" s="25" t="n">
        <x:v>31362.420159999994</x:v>
      </x:c>
      <x:c r="AB72" s="25" t="n">
        <x:v>0.5235796353923204</x:v>
      </x:c>
      <x:c r="AC72" s="25" t="n">
        <x:v>2.7594625615708273</x:v>
      </x:c>
      <x:c r="AD72" s="25" t="n">
        <x:v>49187.420159999994</x:v>
      </x:c>
      <x:c r="AE72" s="25" t="n">
        <x:v>1000.7712</x:v>
      </x:c>
      <x:c r="AF72" s="25" t="n">
        <x:v>2501.928</x:v>
      </x:c>
      <x:c r="AG72" s="25" t="n">
        <x:v>33.17461573634413</x:v>
      </x:c>
      <x:c r="AH72" s="25" t="n">
        <x:v>4.006677796327212</x:v>
      </x:c>
      <x:c r="AI72" t="n">
        <x:f>Z72-Y72</x:f>
        <x:v>31362.420159999994</x:v>
      </x:c>
      <x:c r="AJ72" t="n">
        <x:f>AA72/S72</x:f>
        <x:v>0.5235796353923204</x:v>
      </x:c>
      <x:c r="AK72" t="n">
        <x:f>Z72/Y72</x:f>
        <x:v>2.7594625615708273</x:v>
      </x:c>
    </x:row>
    <x:row r="73" ht="15" hidden="0" customHeight="1">
      <x:c r="A73" s="25" t="str">
        <x:v>INSTANT</x:v>
      </x:c>
      <x:c r="B73" s="25" t="n">
        <x:v>10</x:v>
      </x:c>
      <x:c r="C73" s="25" t="str">
        <x:v>Togo</x:v>
      </x:c>
      <x:c r="D73" s="25" t="str">
        <x:v>Base</x:v>
      </x:c>
      <x:c r="E73" s="25" t="n">
        <x:v>8</x:v>
      </x:c>
      <x:c r="F73" s="25" t="n">
        <x:v>4</x:v>
      </x:c>
      <x:c r="G73" s="25" t="n">
        <x:v>3</x:v>
      </x:c>
      <x:c r="H73" s="25" t="n">
        <x:v>30</x:v>
      </x:c>
      <x:c r="I73" s="25" t="str">
        <x:v>Conservateur</x:v>
      </x:c>
      <x:c r="J73" s="25" t="n">
        <x:v>1</x:v>
      </x:c>
      <x:c r="K73" s="25" t="n">
        <x:v>59900</x:v>
      </x:c>
      <x:c r="L73" s="25" t="n">
        <x:v>0</x:v>
      </x:c>
      <x:c r="M73" s="25" t="n">
        <x:v>59900</x:v>
      </x:c>
      <x:c r="N73" s="25" t="n">
        <x:v>1</x:v>
      </x:c>
      <x:c r="O73" s="25" t="n">
        <x:v>1</x:v>
      </x:c>
      <x:c r="P73" s="25" t="n">
        <x:v>1</x:v>
      </x:c>
      <x:c r="Q73" s="25" t="n">
        <x:v>0.07020000000000001</x:v>
      </x:c>
      <x:c r="R73" s="25" t="n">
        <x:v>1.2</x:v>
      </x:c>
      <x:c r="S73" s="25" t="n">
        <x:v>59900</x:v>
      </x:c>
      <x:c r="T73" s="25" t="n">
        <x:v>2396</x:v>
      </x:c>
      <x:c r="U73" s="25" t="n">
        <x:v>718.8000000000001</x:v>
      </x:c>
      <x:c r="V73" s="25" t="n">
        <x:v>5760</x:v>
      </x:c>
      <x:c r="W73" s="25" t="n">
        <x:v>1819.5839999999998</x:v>
      </x:c>
      <x:c r="X73" s="25" t="n">
        <x:v>18.19584</x:v>
      </x:c>
      <x:c r="Y73" s="25" t="n">
        <x:v>21700</x:v>
      </x:c>
      <x:c r="Z73" s="25" t="n">
        <x:v>49187.420159999994</x:v>
      </x:c>
      <x:c r="AA73" s="25" t="n">
        <x:v>27487.420159999994</x:v>
      </x:c>
      <x:c r="AB73" s="25" t="n">
        <x:v>0.458888483472454</x:v>
      </x:c>
      <x:c r="AC73" s="25" t="n">
        <x:v>2.2667013898617507</x:v>
      </x:c>
      <x:c r="AD73" s="25" t="n">
        <x:v>49187.420159999994</x:v>
      </x:c>
      <x:c r="AE73" s="25" t="n">
        <x:v>1000.7712</x:v>
      </x:c>
      <x:c r="AF73" s="25" t="n">
        <x:v>2501.928</x:v>
      </x:c>
      <x:c r="AG73" s="25" t="n">
        <x:v>29.302601833466028</x:v>
      </x:c>
      <x:c r="AH73" s="25" t="n">
        <x:v>4.006677796327212</x:v>
      </x:c>
      <x:c r="AI73" t="n">
        <x:f>Z73-Y73</x:f>
        <x:v>27487.420159999994</x:v>
      </x:c>
      <x:c r="AJ73" t="n">
        <x:f>AA73/S73</x:f>
        <x:v>0.458888483472454</x:v>
      </x:c>
      <x:c r="AK73" t="n">
        <x:f>Z73/Y73</x:f>
        <x:v>2.2667013898617507</x:v>
      </x:c>
    </x:row>
    <x:row r="74" ht="15" hidden="0" customHeight="1">
      <x:c r="A74" s="25" t="str">
        <x:v>INSTANT</x:v>
      </x:c>
      <x:c r="B74" s="25" t="n">
        <x:v>25</x:v>
      </x:c>
      <x:c r="C74" s="25" t="str">
        <x:v>Côte d’Ivoire</x:v>
      </x:c>
      <x:c r="D74" s="25" t="str">
        <x:v>Base</x:v>
      </x:c>
      <x:c r="E74" s="25" t="n">
        <x:v>8</x:v>
      </x:c>
      <x:c r="F74" s="25" t="n">
        <x:v>4</x:v>
      </x:c>
      <x:c r="G74" s="25" t="n">
        <x:v>3</x:v>
      </x:c>
      <x:c r="H74" s="25" t="n">
        <x:v>30</x:v>
      </x:c>
      <x:c r="I74" s="25" t="str">
        <x:v>Conservateur</x:v>
      </x:c>
      <x:c r="J74" s="25" t="n">
        <x:v>1</x:v>
      </x:c>
      <x:c r="K74" s="25" t="n">
        <x:v>99900</x:v>
      </x:c>
      <x:c r="L74" s="25" t="n">
        <x:v>0</x:v>
      </x:c>
      <x:c r="M74" s="25" t="n">
        <x:v>99900</x:v>
      </x:c>
      <x:c r="N74" s="25" t="n">
        <x:v>1</x:v>
      </x:c>
      <x:c r="O74" s="25" t="n">
        <x:v>1</x:v>
      </x:c>
      <x:c r="P74" s="25" t="n">
        <x:v>1</x:v>
      </x:c>
      <x:c r="Q74" s="25" t="n">
        <x:v>0.07020000000000001</x:v>
      </x:c>
      <x:c r="R74" s="25" t="n">
        <x:v>1.2</x:v>
      </x:c>
      <x:c r="S74" s="25" t="n">
        <x:v>99900</x:v>
      </x:c>
      <x:c r="T74" s="25" t="n">
        <x:v>3996</x:v>
      </x:c>
      <x:c r="U74" s="25" t="n">
        <x:v>1198.8</x:v>
      </x:c>
      <x:c r="V74" s="25" t="n">
        <x:v>5760</x:v>
      </x:c>
      <x:c r="W74" s="25" t="n">
        <x:v>4548.96</x:v>
      </x:c>
      <x:c r="X74" s="25" t="n">
        <x:v>45.4896</x:v>
      </x:c>
      <x:c r="Y74" s="25" t="n">
        <x:v>17050</x:v>
      </x:c>
      <x:c r="Z74" s="25" t="n">
        <x:v>84350.75039999999</x:v>
      </x:c>
      <x:c r="AA74" s="25" t="n">
        <x:v>67300.75039999999</x:v>
      </x:c>
      <x:c r="AB74" s="25" t="n">
        <x:v>0.673681185185185</x:v>
      </x:c>
      <x:c r="AC74" s="25" t="n">
        <x:v>4.947258087976539</x:v>
      </x:c>
      <x:c r="AD74" s="25" t="n">
        <x:v>84350.75039999999</x:v>
      </x:c>
      <x:c r="AE74" s="25" t="n">
        <x:v>2501.9280000000003</x:v>
      </x:c>
      <x:c r="AF74" s="25" t="n">
        <x:v>6254.820000000001</x:v>
      </x:c>
      <x:c r="AG74" s="25" t="n">
        <x:v>28.735918859375644</x:v>
      </x:c>
      <x:c r="AH74" s="25" t="n">
        <x:v>5.405405405405405</x:v>
      </x:c>
      <x:c r="AI74" t="n">
        <x:f>Z74-Y74</x:f>
        <x:v>67300.75039999999</x:v>
      </x:c>
      <x:c r="AJ74" t="n">
        <x:f>AA74/S74</x:f>
        <x:v>0.673681185185185</x:v>
      </x:c>
      <x:c r="AK74" t="n">
        <x:f>Z74/Y74</x:f>
        <x:v>4.947258087976539</x:v>
      </x:c>
    </x:row>
    <x:row r="75" ht="15" hidden="0" customHeight="1">
      <x:c r="A75" s="25" t="str">
        <x:v>INSTANT</x:v>
      </x:c>
      <x:c r="B75" s="25" t="n">
        <x:v>25</x:v>
      </x:c>
      <x:c r="C75" s="25" t="str">
        <x:v>Cameroun</x:v>
      </x:c>
      <x:c r="D75" s="25" t="str">
        <x:v>Base</x:v>
      </x:c>
      <x:c r="E75" s="25" t="n">
        <x:v>8</x:v>
      </x:c>
      <x:c r="F75" s="25" t="n">
        <x:v>4</x:v>
      </x:c>
      <x:c r="G75" s="25" t="n">
        <x:v>3</x:v>
      </x:c>
      <x:c r="H75" s="25" t="n">
        <x:v>30</x:v>
      </x:c>
      <x:c r="I75" s="25" t="str">
        <x:v>Conservateur</x:v>
      </x:c>
      <x:c r="J75" s="25" t="n">
        <x:v>1</x:v>
      </x:c>
      <x:c r="K75" s="25" t="n">
        <x:v>99900</x:v>
      </x:c>
      <x:c r="L75" s="25" t="n">
        <x:v>0</x:v>
      </x:c>
      <x:c r="M75" s="25" t="n">
        <x:v>99900</x:v>
      </x:c>
      <x:c r="N75" s="25" t="n">
        <x:v>1</x:v>
      </x:c>
      <x:c r="O75" s="25" t="n">
        <x:v>1</x:v>
      </x:c>
      <x:c r="P75" s="25" t="n">
        <x:v>1</x:v>
      </x:c>
      <x:c r="Q75" s="25" t="n">
        <x:v>0.07020000000000001</x:v>
      </x:c>
      <x:c r="R75" s="25" t="n">
        <x:v>1.2</x:v>
      </x:c>
      <x:c r="S75" s="25" t="n">
        <x:v>99900</x:v>
      </x:c>
      <x:c r="T75" s="25" t="n">
        <x:v>3996</x:v>
      </x:c>
      <x:c r="U75" s="25" t="n">
        <x:v>1198.8</x:v>
      </x:c>
      <x:c r="V75" s="25" t="n">
        <x:v>5760</x:v>
      </x:c>
      <x:c r="W75" s="25" t="n">
        <x:v>4548.96</x:v>
      </x:c>
      <x:c r="X75" s="25" t="n">
        <x:v>45.4896</x:v>
      </x:c>
      <x:c r="Y75" s="25" t="n">
        <x:v>18600</x:v>
      </x:c>
      <x:c r="Z75" s="25" t="n">
        <x:v>84350.75039999999</x:v>
      </x:c>
      <x:c r="AA75" s="25" t="n">
        <x:v>65750.75039999999</x:v>
      </x:c>
      <x:c r="AB75" s="25" t="n">
        <x:v>0.6581656696696696</x:v>
      </x:c>
      <x:c r="AC75" s="25" t="n">
        <x:v>4.53498658064516</x:v>
      </x:c>
      <x:c r="AD75" s="25" t="n">
        <x:v>84350.75039999999</x:v>
      </x:c>
      <x:c r="AE75" s="25" t="n">
        <x:v>2501.9280000000003</x:v>
      </x:c>
      <x:c r="AF75" s="25" t="n">
        <x:v>6254.820000000001</x:v>
      </x:c>
      <x:c r="AG75" s="25" t="n">
        <x:v>28.116396634915148</x:v>
      </x:c>
      <x:c r="AH75" s="25" t="n">
        <x:v>5.405405405405405</x:v>
      </x:c>
      <x:c r="AI75" t="n">
        <x:f>Z75-Y75</x:f>
        <x:v>65750.75039999999</x:v>
      </x:c>
      <x:c r="AJ75" t="n">
        <x:f>AA75/S75</x:f>
        <x:v>0.6581656696696696</x:v>
      </x:c>
      <x:c r="AK75" t="n">
        <x:f>Z75/Y75</x:f>
        <x:v>4.53498658064516</x:v>
      </x:c>
    </x:row>
    <x:row r="76" ht="15" hidden="0" customHeight="1">
      <x:c r="A76" s="25" t="str">
        <x:v>INSTANT</x:v>
      </x:c>
      <x:c r="B76" s="25" t="n">
        <x:v>25</x:v>
      </x:c>
      <x:c r="C76" s="25" t="str">
        <x:v>Sénégal</x:v>
      </x:c>
      <x:c r="D76" s="25" t="str">
        <x:v>Base</x:v>
      </x:c>
      <x:c r="E76" s="25" t="n">
        <x:v>8</x:v>
      </x:c>
      <x:c r="F76" s="25" t="n">
        <x:v>4</x:v>
      </x:c>
      <x:c r="G76" s="25" t="n">
        <x:v>3</x:v>
      </x:c>
      <x:c r="H76" s="25" t="n">
        <x:v>30</x:v>
      </x:c>
      <x:c r="I76" s="25" t="str">
        <x:v>Conservateur</x:v>
      </x:c>
      <x:c r="J76" s="25" t="n">
        <x:v>1</x:v>
      </x:c>
      <x:c r="K76" s="25" t="n">
        <x:v>99900</x:v>
      </x:c>
      <x:c r="L76" s="25" t="n">
        <x:v>0</x:v>
      </x:c>
      <x:c r="M76" s="25" t="n">
        <x:v>99900</x:v>
      </x:c>
      <x:c r="N76" s="25" t="n">
        <x:v>1</x:v>
      </x:c>
      <x:c r="O76" s="25" t="n">
        <x:v>1</x:v>
      </x:c>
      <x:c r="P76" s="25" t="n">
        <x:v>1</x:v>
      </x:c>
      <x:c r="Q76" s="25" t="n">
        <x:v>0.07020000000000001</x:v>
      </x:c>
      <x:c r="R76" s="25" t="n">
        <x:v>1.2</x:v>
      </x:c>
      <x:c r="S76" s="25" t="n">
        <x:v>99900</x:v>
      </x:c>
      <x:c r="T76" s="25" t="n">
        <x:v>3996</x:v>
      </x:c>
      <x:c r="U76" s="25" t="n">
        <x:v>1198.8</x:v>
      </x:c>
      <x:c r="V76" s="25" t="n">
        <x:v>5760</x:v>
      </x:c>
      <x:c r="W76" s="25" t="n">
        <x:v>4548.96</x:v>
      </x:c>
      <x:c r="X76" s="25" t="n">
        <x:v>45.4896</x:v>
      </x:c>
      <x:c r="Y76" s="25" t="n">
        <x:v>23250</x:v>
      </x:c>
      <x:c r="Z76" s="25" t="n">
        <x:v>84350.75039999999</x:v>
      </x:c>
      <x:c r="AA76" s="25" t="n">
        <x:v>61100.75039999999</x:v>
      </x:c>
      <x:c r="AB76" s="25" t="n">
        <x:v>0.611619123123123</x:v>
      </x:c>
      <x:c r="AC76" s="25" t="n">
        <x:v>3.6279892645161285</x:v>
      </x:c>
      <x:c r="AD76" s="25" t="n">
        <x:v>84350.75039999999</x:v>
      </x:c>
      <x:c r="AE76" s="25" t="n">
        <x:v>2501.9280000000003</x:v>
      </x:c>
      <x:c r="AF76" s="25" t="n">
        <x:v>6254.820000000001</x:v>
      </x:c>
      <x:c r="AG76" s="25" t="n">
        <x:v>26.25782996153366</x:v>
      </x:c>
      <x:c r="AH76" s="25" t="n">
        <x:v>5.405405405405405</x:v>
      </x:c>
      <x:c r="AI76" t="n">
        <x:f>Z76-Y76</x:f>
        <x:v>61100.75039999999</x:v>
      </x:c>
      <x:c r="AJ76" t="n">
        <x:f>AA76/S76</x:f>
        <x:v>0.611619123123123</x:v>
      </x:c>
      <x:c r="AK76" t="n">
        <x:f>Z76/Y76</x:f>
        <x:v>3.6279892645161285</x:v>
      </x:c>
    </x:row>
    <x:row r="77" ht="15" hidden="0" customHeight="1">
      <x:c r="A77" s="25" t="str">
        <x:v>INSTANT</x:v>
      </x:c>
      <x:c r="B77" s="25" t="n">
        <x:v>25</x:v>
      </x:c>
      <x:c r="C77" s="25" t="str">
        <x:v>Bénin</x:v>
      </x:c>
      <x:c r="D77" s="25" t="str">
        <x:v>Base</x:v>
      </x:c>
      <x:c r="E77" s="25" t="n">
        <x:v>8</x:v>
      </x:c>
      <x:c r="F77" s="25" t="n">
        <x:v>4</x:v>
      </x:c>
      <x:c r="G77" s="25" t="n">
        <x:v>3</x:v>
      </x:c>
      <x:c r="H77" s="25" t="n">
        <x:v>30</x:v>
      </x:c>
      <x:c r="I77" s="25" t="str">
        <x:v>Conservateur</x:v>
      </x:c>
      <x:c r="J77" s="25" t="n">
        <x:v>1</x:v>
      </x:c>
      <x:c r="K77" s="25" t="n">
        <x:v>99900</x:v>
      </x:c>
      <x:c r="L77" s="25" t="n">
        <x:v>0</x:v>
      </x:c>
      <x:c r="M77" s="25" t="n">
        <x:v>99900</x:v>
      </x:c>
      <x:c r="N77" s="25" t="n">
        <x:v>1</x:v>
      </x:c>
      <x:c r="O77" s="25" t="n">
        <x:v>1</x:v>
      </x:c>
      <x:c r="P77" s="25" t="n">
        <x:v>1</x:v>
      </x:c>
      <x:c r="Q77" s="25" t="n">
        <x:v>0.07020000000000001</x:v>
      </x:c>
      <x:c r="R77" s="25" t="n">
        <x:v>1.2</x:v>
      </x:c>
      <x:c r="S77" s="25" t="n">
        <x:v>99900</x:v>
      </x:c>
      <x:c r="T77" s="25" t="n">
        <x:v>3996</x:v>
      </x:c>
      <x:c r="U77" s="25" t="n">
        <x:v>1198.8</x:v>
      </x:c>
      <x:c r="V77" s="25" t="n">
        <x:v>5760</x:v>
      </x:c>
      <x:c r="W77" s="25" t="n">
        <x:v>4548.96</x:v>
      </x:c>
      <x:c r="X77" s="25" t="n">
        <x:v>45.4896</x:v>
      </x:c>
      <x:c r="Y77" s="25" t="n">
        <x:v>15500</x:v>
      </x:c>
      <x:c r="Z77" s="25" t="n">
        <x:v>84350.75039999999</x:v>
      </x:c>
      <x:c r="AA77" s="25" t="n">
        <x:v>68850.75039999999</x:v>
      </x:c>
      <x:c r="AB77" s="25" t="n">
        <x:v>0.6891967007007006</x:v>
      </x:c>
      <x:c r="AC77" s="25" t="n">
        <x:v>5.441983896774193</x:v>
      </x:c>
      <x:c r="AD77" s="25" t="n">
        <x:v>84350.75039999999</x:v>
      </x:c>
      <x:c r="AE77" s="25" t="n">
        <x:v>2501.9280000000003</x:v>
      </x:c>
      <x:c r="AF77" s="25" t="n">
        <x:v>6254.820000000001</x:v>
      </x:c>
      <x:c r="AG77" s="25" t="n">
        <x:v>29.35544108383614</x:v>
      </x:c>
      <x:c r="AH77" s="25" t="n">
        <x:v>5.405405405405405</x:v>
      </x:c>
      <x:c r="AI77" t="n">
        <x:f>Z77-Y77</x:f>
        <x:v>68850.75039999999</x:v>
      </x:c>
      <x:c r="AJ77" t="n">
        <x:f>AA77/S77</x:f>
        <x:v>0.6891967007007006</x:v>
      </x:c>
      <x:c r="AK77" t="n">
        <x:f>Z77/Y77</x:f>
        <x:v>5.441983896774193</x:v>
      </x:c>
    </x:row>
    <x:row r="78" ht="15" hidden="0" customHeight="1">
      <x:c r="A78" s="25" t="str">
        <x:v>INSTANT</x:v>
      </x:c>
      <x:c r="B78" s="25" t="n">
        <x:v>25</x:v>
      </x:c>
      <x:c r="C78" s="25" t="str">
        <x:v>Burkina Faso</x:v>
      </x:c>
      <x:c r="D78" s="25" t="str">
        <x:v>Base</x:v>
      </x:c>
      <x:c r="E78" s="25" t="n">
        <x:v>8</x:v>
      </x:c>
      <x:c r="F78" s="25" t="n">
        <x:v>4</x:v>
      </x:c>
      <x:c r="G78" s="25" t="n">
        <x:v>3</x:v>
      </x:c>
      <x:c r="H78" s="25" t="n">
        <x:v>30</x:v>
      </x:c>
      <x:c r="I78" s="25" t="str">
        <x:v>Conservateur</x:v>
      </x:c>
      <x:c r="J78" s="25" t="n">
        <x:v>1</x:v>
      </x:c>
      <x:c r="K78" s="25" t="n">
        <x:v>99900</x:v>
      </x:c>
      <x:c r="L78" s="25" t="n">
        <x:v>0</x:v>
      </x:c>
      <x:c r="M78" s="25" t="n">
        <x:v>99900</x:v>
      </x:c>
      <x:c r="N78" s="25" t="n">
        <x:v>1</x:v>
      </x:c>
      <x:c r="O78" s="25" t="n">
        <x:v>1</x:v>
      </x:c>
      <x:c r="P78" s="25" t="n">
        <x:v>1</x:v>
      </x:c>
      <x:c r="Q78" s="25" t="n">
        <x:v>0.07020000000000001</x:v>
      </x:c>
      <x:c r="R78" s="25" t="n">
        <x:v>1.2</x:v>
      </x:c>
      <x:c r="S78" s="25" t="n">
        <x:v>99900</x:v>
      </x:c>
      <x:c r="T78" s="25" t="n">
        <x:v>3996</x:v>
      </x:c>
      <x:c r="U78" s="25" t="n">
        <x:v>1198.8</x:v>
      </x:c>
      <x:c r="V78" s="25" t="n">
        <x:v>5760</x:v>
      </x:c>
      <x:c r="W78" s="25" t="n">
        <x:v>4548.96</x:v>
      </x:c>
      <x:c r="X78" s="25" t="n">
        <x:v>45.4896</x:v>
      </x:c>
      <x:c r="Y78" s="25" t="n">
        <x:v>17825</x:v>
      </x:c>
      <x:c r="Z78" s="25" t="n">
        <x:v>84350.75039999999</x:v>
      </x:c>
      <x:c r="AA78" s="25" t="n">
        <x:v>66525.75039999999</x:v>
      </x:c>
      <x:c r="AB78" s="25" t="n">
        <x:v>0.6659234274274273</x:v>
      </x:c>
      <x:c r="AC78" s="25" t="n">
        <x:v>4.732159910238429</x:v>
      </x:c>
      <x:c r="AD78" s="25" t="n">
        <x:v>84350.75039999999</x:v>
      </x:c>
      <x:c r="AE78" s="25" t="n">
        <x:v>2501.9280000000003</x:v>
      </x:c>
      <x:c r="AF78" s="25" t="n">
        <x:v>6254.820000000001</x:v>
      </x:c>
      <x:c r="AG78" s="25" t="n">
        <x:v>28.426157747145396</x:v>
      </x:c>
      <x:c r="AH78" s="25" t="n">
        <x:v>5.405405405405405</x:v>
      </x:c>
      <x:c r="AI78" t="n">
        <x:f>Z78-Y78</x:f>
        <x:v>66525.75039999999</x:v>
      </x:c>
      <x:c r="AJ78" t="n">
        <x:f>AA78/S78</x:f>
        <x:v>0.6659234274274273</x:v>
      </x:c>
      <x:c r="AK78" t="n">
        <x:f>Z78/Y78</x:f>
        <x:v>4.732159910238429</x:v>
      </x:c>
    </x:row>
    <x:row r="79" ht="15" hidden="0" customHeight="1">
      <x:c r="A79" s="25" t="str">
        <x:v>INSTANT</x:v>
      </x:c>
      <x:c r="B79" s="25" t="n">
        <x:v>25</x:v>
      </x:c>
      <x:c r="C79" s="25" t="str">
        <x:v>Togo</x:v>
      </x:c>
      <x:c r="D79" s="25" t="str">
        <x:v>Base</x:v>
      </x:c>
      <x:c r="E79" s="25" t="n">
        <x:v>8</x:v>
      </x:c>
      <x:c r="F79" s="25" t="n">
        <x:v>4</x:v>
      </x:c>
      <x:c r="G79" s="25" t="n">
        <x:v>3</x:v>
      </x:c>
      <x:c r="H79" s="25" t="n">
        <x:v>30</x:v>
      </x:c>
      <x:c r="I79" s="25" t="str">
        <x:v>Conservateur</x:v>
      </x:c>
      <x:c r="J79" s="25" t="n">
        <x:v>1</x:v>
      </x:c>
      <x:c r="K79" s="25" t="n">
        <x:v>99900</x:v>
      </x:c>
      <x:c r="L79" s="25" t="n">
        <x:v>0</x:v>
      </x:c>
      <x:c r="M79" s="25" t="n">
        <x:v>99900</x:v>
      </x:c>
      <x:c r="N79" s="25" t="n">
        <x:v>1</x:v>
      </x:c>
      <x:c r="O79" s="25" t="n">
        <x:v>1</x:v>
      </x:c>
      <x:c r="P79" s="25" t="n">
        <x:v>1</x:v>
      </x:c>
      <x:c r="Q79" s="25" t="n">
        <x:v>0.07020000000000001</x:v>
      </x:c>
      <x:c r="R79" s="25" t="n">
        <x:v>1.2</x:v>
      </x:c>
      <x:c r="S79" s="25" t="n">
        <x:v>99900</x:v>
      </x:c>
      <x:c r="T79" s="25" t="n">
        <x:v>3996</x:v>
      </x:c>
      <x:c r="U79" s="25" t="n">
        <x:v>1198.8</x:v>
      </x:c>
      <x:c r="V79" s="25" t="n">
        <x:v>5760</x:v>
      </x:c>
      <x:c r="W79" s="25" t="n">
        <x:v>4548.96</x:v>
      </x:c>
      <x:c r="X79" s="25" t="n">
        <x:v>45.4896</x:v>
      </x:c>
      <x:c r="Y79" s="25" t="n">
        <x:v>21700</x:v>
      </x:c>
      <x:c r="Z79" s="25" t="n">
        <x:v>84350.75039999999</x:v>
      </x:c>
      <x:c r="AA79" s="25" t="n">
        <x:v>62650.75039999999</x:v>
      </x:c>
      <x:c r="AB79" s="25" t="n">
        <x:v>0.6271346386386385</x:v>
      </x:c>
      <x:c r="AC79" s="25" t="n">
        <x:v>3.887131354838709</x:v>
      </x:c>
      <x:c r="AD79" s="25" t="n">
        <x:v>84350.75039999999</x:v>
      </x:c>
      <x:c r="AE79" s="25" t="n">
        <x:v>2501.9280000000003</x:v>
      </x:c>
      <x:c r="AF79" s="25" t="n">
        <x:v>6254.820000000001</x:v>
      </x:c>
      <x:c r="AG79" s="25" t="n">
        <x:v>26.877352185994155</x:v>
      </x:c>
      <x:c r="AH79" s="25" t="n">
        <x:v>5.405405405405405</x:v>
      </x:c>
      <x:c r="AI79" t="n">
        <x:f>Z79-Y79</x:f>
        <x:v>62650.75039999999</x:v>
      </x:c>
      <x:c r="AJ79" t="n">
        <x:f>AA79/S79</x:f>
        <x:v>0.6271346386386385</x:v>
      </x:c>
      <x:c r="AK79" t="n">
        <x:f>Z79/Y79</x:f>
        <x:v>3.887131354838709</x:v>
      </x:c>
    </x:row>
    <x:row r="80" ht="15" hidden="0" customHeight="1">
      <x:c r="A80" s="25" t="str">
        <x:v>INSTANT</x:v>
      </x:c>
      <x:c r="B80" s="25" t="n">
        <x:v>50</x:v>
      </x:c>
      <x:c r="C80" s="25" t="str">
        <x:v>Côte d’Ivoire</x:v>
      </x:c>
      <x:c r="D80" s="25" t="str">
        <x:v>Base</x:v>
      </x:c>
      <x:c r="E80" s="25" t="n">
        <x:v>8</x:v>
      </x:c>
      <x:c r="F80" s="25" t="n">
        <x:v>4</x:v>
      </x:c>
      <x:c r="G80" s="25" t="n">
        <x:v>3</x:v>
      </x:c>
      <x:c r="H80" s="25" t="n">
        <x:v>30</x:v>
      </x:c>
      <x:c r="I80" s="25" t="str">
        <x:v>Conservateur</x:v>
      </x:c>
      <x:c r="J80" s="25" t="n">
        <x:v>1</x:v>
      </x:c>
      <x:c r="K80" s="25" t="n">
        <x:v>169900</x:v>
      </x:c>
      <x:c r="L80" s="25" t="n">
        <x:v>0</x:v>
      </x:c>
      <x:c r="M80" s="25" t="n">
        <x:v>169900</x:v>
      </x:c>
      <x:c r="N80" s="25" t="n">
        <x:v>1</x:v>
      </x:c>
      <x:c r="O80" s="25" t="n">
        <x:v>1</x:v>
      </x:c>
      <x:c r="P80" s="25" t="n">
        <x:v>1</x:v>
      </x:c>
      <x:c r="Q80" s="25" t="n">
        <x:v>0.07020000000000001</x:v>
      </x:c>
      <x:c r="R80" s="25" t="n">
        <x:v>1.2</x:v>
      </x:c>
      <x:c r="S80" s="25" t="n">
        <x:v>169900</x:v>
      </x:c>
      <x:c r="T80" s="25" t="n">
        <x:v>6796</x:v>
      </x:c>
      <x:c r="U80" s="25" t="n">
        <x:v>2038.8</x:v>
      </x:c>
      <x:c r="V80" s="25" t="n">
        <x:v>5760</x:v>
      </x:c>
      <x:c r="W80" s="25" t="n">
        <x:v>9097.92</x:v>
      </x:c>
      <x:c r="X80" s="25" t="n">
        <x:v>90.9792</x:v>
      </x:c>
      <x:c r="Y80" s="25" t="n">
        <x:v>17050</x:v>
      </x:c>
      <x:c r="Z80" s="25" t="n">
        <x:v>146116.3008</x:v>
      </x:c>
      <x:c r="AA80" s="25" t="n">
        <x:v>129066.3008</x:v>
      </x:c>
      <x:c r="AB80" s="25" t="n">
        <x:v>0.7596603931724544</x:v>
      </x:c>
      <x:c r="AC80" s="25" t="n">
        <x:v>8.569871014662757</x:v>
      </x:c>
      <x:c r="AD80" s="25" t="n">
        <x:v>146116.3008</x:v>
      </x:c>
      <x:c r="AE80" s="25" t="n">
        <x:v>5003.856000000001</x:v>
      </x:c>
      <x:c r="AF80" s="25" t="n">
        <x:v>12509.640000000001</x:v>
      </x:c>
      <x:c r="AG80" s="25" t="n">
        <x:v>27.629731950719602</x:v>
      </x:c>
      <x:c r="AH80" s="25" t="n">
        <x:v>5.29723366686286</x:v>
      </x:c>
      <x:c r="AI80" t="n">
        <x:f>Z80-Y80</x:f>
        <x:v>129066.3008</x:v>
      </x:c>
      <x:c r="AJ80" t="n">
        <x:f>AA80/S80</x:f>
        <x:v>0.7596603931724544</x:v>
      </x:c>
      <x:c r="AK80" t="n">
        <x:f>Z80/Y80</x:f>
        <x:v>8.569871014662757</x:v>
      </x:c>
    </x:row>
    <x:row r="81" ht="15" hidden="0" customHeight="1">
      <x:c r="A81" s="25" t="str">
        <x:v>INSTANT</x:v>
      </x:c>
      <x:c r="B81" s="25" t="n">
        <x:v>50</x:v>
      </x:c>
      <x:c r="C81" s="25" t="str">
        <x:v>Cameroun</x:v>
      </x:c>
      <x:c r="D81" s="25" t="str">
        <x:v>Base</x:v>
      </x:c>
      <x:c r="E81" s="25" t="n">
        <x:v>8</x:v>
      </x:c>
      <x:c r="F81" s="25" t="n">
        <x:v>4</x:v>
      </x:c>
      <x:c r="G81" s="25" t="n">
        <x:v>3</x:v>
      </x:c>
      <x:c r="H81" s="25" t="n">
        <x:v>30</x:v>
      </x:c>
      <x:c r="I81" s="25" t="str">
        <x:v>Conservateur</x:v>
      </x:c>
      <x:c r="J81" s="25" t="n">
        <x:v>1</x:v>
      </x:c>
      <x:c r="K81" s="25" t="n">
        <x:v>169900</x:v>
      </x:c>
      <x:c r="L81" s="25" t="n">
        <x:v>0</x:v>
      </x:c>
      <x:c r="M81" s="25" t="n">
        <x:v>169900</x:v>
      </x:c>
      <x:c r="N81" s="25" t="n">
        <x:v>1</x:v>
      </x:c>
      <x:c r="O81" s="25" t="n">
        <x:v>1</x:v>
      </x:c>
      <x:c r="P81" s="25" t="n">
        <x:v>1</x:v>
      </x:c>
      <x:c r="Q81" s="25" t="n">
        <x:v>0.07020000000000001</x:v>
      </x:c>
      <x:c r="R81" s="25" t="n">
        <x:v>1.2</x:v>
      </x:c>
      <x:c r="S81" s="25" t="n">
        <x:v>169900</x:v>
      </x:c>
      <x:c r="T81" s="25" t="n">
        <x:v>6796</x:v>
      </x:c>
      <x:c r="U81" s="25" t="n">
        <x:v>2038.8</x:v>
      </x:c>
      <x:c r="V81" s="25" t="n">
        <x:v>5760</x:v>
      </x:c>
      <x:c r="W81" s="25" t="n">
        <x:v>9097.92</x:v>
      </x:c>
      <x:c r="X81" s="25" t="n">
        <x:v>90.9792</x:v>
      </x:c>
      <x:c r="Y81" s="25" t="n">
        <x:v>18600</x:v>
      </x:c>
      <x:c r="Z81" s="25" t="n">
        <x:v>146116.3008</x:v>
      </x:c>
      <x:c r="AA81" s="25" t="n">
        <x:v>127516.3008</x:v>
      </x:c>
      <x:c r="AB81" s="25" t="n">
        <x:v>0.7505373796350795</x:v>
      </x:c>
      <x:c r="AC81" s="25" t="n">
        <x:v>7.855715096774193</x:v>
      </x:c>
      <x:c r="AD81" s="25" t="n">
        <x:v>146116.3008</x:v>
      </x:c>
      <x:c r="AE81" s="25" t="n">
        <x:v>5003.856000000001</x:v>
      </x:c>
      <x:c r="AF81" s="25" t="n">
        <x:v>12509.640000000001</x:v>
      </x:c>
      <x:c r="AG81" s="25" t="n">
        <x:v>27.319970838489354</x:v>
      </x:c>
      <x:c r="AH81" s="25" t="n">
        <x:v>5.29723366686286</x:v>
      </x:c>
      <x:c r="AI81" t="n">
        <x:f>Z81-Y81</x:f>
        <x:v>127516.3008</x:v>
      </x:c>
      <x:c r="AJ81" t="n">
        <x:f>AA81/S81</x:f>
        <x:v>0.7505373796350795</x:v>
      </x:c>
      <x:c r="AK81" t="n">
        <x:f>Z81/Y81</x:f>
        <x:v>7.855715096774193</x:v>
      </x:c>
    </x:row>
    <x:row r="82" ht="15" hidden="0" customHeight="1">
      <x:c r="A82" s="25" t="str">
        <x:v>INSTANT</x:v>
      </x:c>
      <x:c r="B82" s="25" t="n">
        <x:v>50</x:v>
      </x:c>
      <x:c r="C82" s="25" t="str">
        <x:v>Sénégal</x:v>
      </x:c>
      <x:c r="D82" s="25" t="str">
        <x:v>Base</x:v>
      </x:c>
      <x:c r="E82" s="25" t="n">
        <x:v>8</x:v>
      </x:c>
      <x:c r="F82" s="25" t="n">
        <x:v>4</x:v>
      </x:c>
      <x:c r="G82" s="25" t="n">
        <x:v>3</x:v>
      </x:c>
      <x:c r="H82" s="25" t="n">
        <x:v>30</x:v>
      </x:c>
      <x:c r="I82" s="25" t="str">
        <x:v>Conservateur</x:v>
      </x:c>
      <x:c r="J82" s="25" t="n">
        <x:v>1</x:v>
      </x:c>
      <x:c r="K82" s="25" t="n">
        <x:v>169900</x:v>
      </x:c>
      <x:c r="L82" s="25" t="n">
        <x:v>0</x:v>
      </x:c>
      <x:c r="M82" s="25" t="n">
        <x:v>169900</x:v>
      </x:c>
      <x:c r="N82" s="25" t="n">
        <x:v>1</x:v>
      </x:c>
      <x:c r="O82" s="25" t="n">
        <x:v>1</x:v>
      </x:c>
      <x:c r="P82" s="25" t="n">
        <x:v>1</x:v>
      </x:c>
      <x:c r="Q82" s="25" t="n">
        <x:v>0.07020000000000001</x:v>
      </x:c>
      <x:c r="R82" s="25" t="n">
        <x:v>1.2</x:v>
      </x:c>
      <x:c r="S82" s="25" t="n">
        <x:v>169900</x:v>
      </x:c>
      <x:c r="T82" s="25" t="n">
        <x:v>6796</x:v>
      </x:c>
      <x:c r="U82" s="25" t="n">
        <x:v>2038.8</x:v>
      </x:c>
      <x:c r="V82" s="25" t="n">
        <x:v>5760</x:v>
      </x:c>
      <x:c r="W82" s="25" t="n">
        <x:v>9097.92</x:v>
      </x:c>
      <x:c r="X82" s="25" t="n">
        <x:v>90.9792</x:v>
      </x:c>
      <x:c r="Y82" s="25" t="n">
        <x:v>23250</x:v>
      </x:c>
      <x:c r="Z82" s="25" t="n">
        <x:v>146116.3008</x:v>
      </x:c>
      <x:c r="AA82" s="25" t="n">
        <x:v>122866.3008</x:v>
      </x:c>
      <x:c r="AB82" s="25" t="n">
        <x:v>0.7231683390229546</x:v>
      </x:c>
      <x:c r="AC82" s="25" t="n">
        <x:v>6.284572077419354</x:v>
      </x:c>
      <x:c r="AD82" s="25" t="n">
        <x:v>146116.3008</x:v>
      </x:c>
      <x:c r="AE82" s="25" t="n">
        <x:v>5003.856000000001</x:v>
      </x:c>
      <x:c r="AF82" s="25" t="n">
        <x:v>12509.640000000001</x:v>
      </x:c>
      <x:c r="AG82" s="25" t="n">
        <x:v>26.390687501798613</x:v>
      </x:c>
      <x:c r="AH82" s="25" t="n">
        <x:v>5.29723366686286</x:v>
      </x:c>
      <x:c r="AI82" t="n">
        <x:f>Z82-Y82</x:f>
        <x:v>122866.3008</x:v>
      </x:c>
      <x:c r="AJ82" t="n">
        <x:f>AA82/S82</x:f>
        <x:v>0.7231683390229546</x:v>
      </x:c>
      <x:c r="AK82" t="n">
        <x:f>Z82/Y82</x:f>
        <x:v>6.284572077419354</x:v>
      </x:c>
    </x:row>
    <x:row r="83" ht="15" hidden="0" customHeight="1">
      <x:c r="A83" s="25" t="str">
        <x:v>INSTANT</x:v>
      </x:c>
      <x:c r="B83" s="25" t="n">
        <x:v>50</x:v>
      </x:c>
      <x:c r="C83" s="25" t="str">
        <x:v>Bénin</x:v>
      </x:c>
      <x:c r="D83" s="25" t="str">
        <x:v>Base</x:v>
      </x:c>
      <x:c r="E83" s="25" t="n">
        <x:v>8</x:v>
      </x:c>
      <x:c r="F83" s="25" t="n">
        <x:v>4</x:v>
      </x:c>
      <x:c r="G83" s="25" t="n">
        <x:v>3</x:v>
      </x:c>
      <x:c r="H83" s="25" t="n">
        <x:v>30</x:v>
      </x:c>
      <x:c r="I83" s="25" t="str">
        <x:v>Conservateur</x:v>
      </x:c>
      <x:c r="J83" s="25" t="n">
        <x:v>1</x:v>
      </x:c>
      <x:c r="K83" s="25" t="n">
        <x:v>169900</x:v>
      </x:c>
      <x:c r="L83" s="25" t="n">
        <x:v>0</x:v>
      </x:c>
      <x:c r="M83" s="25" t="n">
        <x:v>169900</x:v>
      </x:c>
      <x:c r="N83" s="25" t="n">
        <x:v>1</x:v>
      </x:c>
      <x:c r="O83" s="25" t="n">
        <x:v>1</x:v>
      </x:c>
      <x:c r="P83" s="25" t="n">
        <x:v>1</x:v>
      </x:c>
      <x:c r="Q83" s="25" t="n">
        <x:v>0.07020000000000001</x:v>
      </x:c>
      <x:c r="R83" s="25" t="n">
        <x:v>1.2</x:v>
      </x:c>
      <x:c r="S83" s="25" t="n">
        <x:v>169900</x:v>
      </x:c>
      <x:c r="T83" s="25" t="n">
        <x:v>6796</x:v>
      </x:c>
      <x:c r="U83" s="25" t="n">
        <x:v>2038.8</x:v>
      </x:c>
      <x:c r="V83" s="25" t="n">
        <x:v>5760</x:v>
      </x:c>
      <x:c r="W83" s="25" t="n">
        <x:v>9097.92</x:v>
      </x:c>
      <x:c r="X83" s="25" t="n">
        <x:v>90.9792</x:v>
      </x:c>
      <x:c r="Y83" s="25" t="n">
        <x:v>15500</x:v>
      </x:c>
      <x:c r="Z83" s="25" t="n">
        <x:v>146116.3008</x:v>
      </x:c>
      <x:c r="AA83" s="25" t="n">
        <x:v>130616.3008</x:v>
      </x:c>
      <x:c r="AB83" s="25" t="n">
        <x:v>0.7687834067098293</x:v>
      </x:c>
      <x:c r="AC83" s="25" t="n">
        <x:v>9.426858116129033</x:v>
      </x:c>
      <x:c r="AD83" s="25" t="n">
        <x:v>146116.3008</x:v>
      </x:c>
      <x:c r="AE83" s="25" t="n">
        <x:v>5003.856000000001</x:v>
      </x:c>
      <x:c r="AF83" s="25" t="n">
        <x:v>12509.640000000001</x:v>
      </x:c>
      <x:c r="AG83" s="25" t="n">
        <x:v>27.93949306294985</x:v>
      </x:c>
      <x:c r="AH83" s="25" t="n">
        <x:v>5.29723366686286</x:v>
      </x:c>
      <x:c r="AI83" t="n">
        <x:f>Z83-Y83</x:f>
        <x:v>130616.3008</x:v>
      </x:c>
      <x:c r="AJ83" t="n">
        <x:f>AA83/S83</x:f>
        <x:v>0.7687834067098293</x:v>
      </x:c>
      <x:c r="AK83" t="n">
        <x:f>Z83/Y83</x:f>
        <x:v>9.426858116129033</x:v>
      </x:c>
    </x:row>
    <x:row r="84" ht="15" hidden="0" customHeight="1">
      <x:c r="A84" s="25" t="str">
        <x:v>INSTANT</x:v>
      </x:c>
      <x:c r="B84" s="25" t="n">
        <x:v>50</x:v>
      </x:c>
      <x:c r="C84" s="25" t="str">
        <x:v>Burkina Faso</x:v>
      </x:c>
      <x:c r="D84" s="25" t="str">
        <x:v>Base</x:v>
      </x:c>
      <x:c r="E84" s="25" t="n">
        <x:v>8</x:v>
      </x:c>
      <x:c r="F84" s="25" t="n">
        <x:v>4</x:v>
      </x:c>
      <x:c r="G84" s="25" t="n">
        <x:v>3</x:v>
      </x:c>
      <x:c r="H84" s="25" t="n">
        <x:v>30</x:v>
      </x:c>
      <x:c r="I84" s="25" t="str">
        <x:v>Conservateur</x:v>
      </x:c>
      <x:c r="J84" s="25" t="n">
        <x:v>1</x:v>
      </x:c>
      <x:c r="K84" s="25" t="n">
        <x:v>169900</x:v>
      </x:c>
      <x:c r="L84" s="25" t="n">
        <x:v>0</x:v>
      </x:c>
      <x:c r="M84" s="25" t="n">
        <x:v>169900</x:v>
      </x:c>
      <x:c r="N84" s="25" t="n">
        <x:v>1</x:v>
      </x:c>
      <x:c r="O84" s="25" t="n">
        <x:v>1</x:v>
      </x:c>
      <x:c r="P84" s="25" t="n">
        <x:v>1</x:v>
      </x:c>
      <x:c r="Q84" s="25" t="n">
        <x:v>0.07020000000000001</x:v>
      </x:c>
      <x:c r="R84" s="25" t="n">
        <x:v>1.2</x:v>
      </x:c>
      <x:c r="S84" s="25" t="n">
        <x:v>169900</x:v>
      </x:c>
      <x:c r="T84" s="25" t="n">
        <x:v>6796</x:v>
      </x:c>
      <x:c r="U84" s="25" t="n">
        <x:v>2038.8</x:v>
      </x:c>
      <x:c r="V84" s="25" t="n">
        <x:v>5760</x:v>
      </x:c>
      <x:c r="W84" s="25" t="n">
        <x:v>9097.92</x:v>
      </x:c>
      <x:c r="X84" s="25" t="n">
        <x:v>90.9792</x:v>
      </x:c>
      <x:c r="Y84" s="25" t="n">
        <x:v>17825</x:v>
      </x:c>
      <x:c r="Z84" s="25" t="n">
        <x:v>146116.3008</x:v>
      </x:c>
      <x:c r="AA84" s="25" t="n">
        <x:v>128291.3008</x:v>
      </x:c>
      <x:c r="AB84" s="25" t="n">
        <x:v>0.7550988864037669</x:v>
      </x:c>
      <x:c r="AC84" s="25" t="n">
        <x:v>8.197267927068724</x:v>
      </x:c>
      <x:c r="AD84" s="25" t="n">
        <x:v>146116.3008</x:v>
      </x:c>
      <x:c r="AE84" s="25" t="n">
        <x:v>5003.856000000001</x:v>
      </x:c>
      <x:c r="AF84" s="25" t="n">
        <x:v>12509.640000000001</x:v>
      </x:c>
      <x:c r="AG84" s="25" t="n">
        <x:v>27.474851394604478</x:v>
      </x:c>
      <x:c r="AH84" s="25" t="n">
        <x:v>5.29723366686286</x:v>
      </x:c>
      <x:c r="AI84" t="n">
        <x:f>Z84-Y84</x:f>
        <x:v>128291.3008</x:v>
      </x:c>
      <x:c r="AJ84" t="n">
        <x:f>AA84/S84</x:f>
        <x:v>0.7550988864037669</x:v>
      </x:c>
      <x:c r="AK84" t="n">
        <x:f>Z84/Y84</x:f>
        <x:v>8.197267927068724</x:v>
      </x:c>
    </x:row>
    <x:row r="85" ht="15" hidden="0" customHeight="1">
      <x:c r="A85" s="25" t="str">
        <x:v>INSTANT</x:v>
      </x:c>
      <x:c r="B85" s="25" t="n">
        <x:v>50</x:v>
      </x:c>
      <x:c r="C85" s="25" t="str">
        <x:v>Togo</x:v>
      </x:c>
      <x:c r="D85" s="25" t="str">
        <x:v>Base</x:v>
      </x:c>
      <x:c r="E85" s="25" t="n">
        <x:v>8</x:v>
      </x:c>
      <x:c r="F85" s="25" t="n">
        <x:v>4</x:v>
      </x:c>
      <x:c r="G85" s="25" t="n">
        <x:v>3</x:v>
      </x:c>
      <x:c r="H85" s="25" t="n">
        <x:v>30</x:v>
      </x:c>
      <x:c r="I85" s="25" t="str">
        <x:v>Conservateur</x:v>
      </x:c>
      <x:c r="J85" s="25" t="n">
        <x:v>1</x:v>
      </x:c>
      <x:c r="K85" s="25" t="n">
        <x:v>169900</x:v>
      </x:c>
      <x:c r="L85" s="25" t="n">
        <x:v>0</x:v>
      </x:c>
      <x:c r="M85" s="25" t="n">
        <x:v>169900</x:v>
      </x:c>
      <x:c r="N85" s="25" t="n">
        <x:v>1</x:v>
      </x:c>
      <x:c r="O85" s="25" t="n">
        <x:v>1</x:v>
      </x:c>
      <x:c r="P85" s="25" t="n">
        <x:v>1</x:v>
      </x:c>
      <x:c r="Q85" s="25" t="n">
        <x:v>0.07020000000000001</x:v>
      </x:c>
      <x:c r="R85" s="25" t="n">
        <x:v>1.2</x:v>
      </x:c>
      <x:c r="S85" s="25" t="n">
        <x:v>169900</x:v>
      </x:c>
      <x:c r="T85" s="25" t="n">
        <x:v>6796</x:v>
      </x:c>
      <x:c r="U85" s="25" t="n">
        <x:v>2038.8</x:v>
      </x:c>
      <x:c r="V85" s="25" t="n">
        <x:v>5760</x:v>
      </x:c>
      <x:c r="W85" s="25" t="n">
        <x:v>9097.92</x:v>
      </x:c>
      <x:c r="X85" s="25" t="n">
        <x:v>90.9792</x:v>
      </x:c>
      <x:c r="Y85" s="25" t="n">
        <x:v>21700</x:v>
      </x:c>
      <x:c r="Z85" s="25" t="n">
        <x:v>146116.3008</x:v>
      </x:c>
      <x:c r="AA85" s="25" t="n">
        <x:v>124416.3008</x:v>
      </x:c>
      <x:c r="AB85" s="25" t="n">
        <x:v>0.7322913525603296</x:v>
      </x:c>
      <x:c r="AC85" s="25" t="n">
        <x:v>6.733470082949308</x:v>
      </x:c>
      <x:c r="AD85" s="25" t="n">
        <x:v>146116.3008</x:v>
      </x:c>
      <x:c r="AE85" s="25" t="n">
        <x:v>5003.856000000001</x:v>
      </x:c>
      <x:c r="AF85" s="25" t="n">
        <x:v>12509.640000000001</x:v>
      </x:c>
      <x:c r="AG85" s="25" t="n">
        <x:v>26.70044861402886</x:v>
      </x:c>
      <x:c r="AH85" s="25" t="n">
        <x:v>5.29723366686286</x:v>
      </x:c>
      <x:c r="AI85" t="n">
        <x:f>Z85-Y85</x:f>
        <x:v>124416.3008</x:v>
      </x:c>
      <x:c r="AJ85" t="n">
        <x:f>AA85/S85</x:f>
        <x:v>0.7322913525603296</x:v>
      </x:c>
      <x:c r="AK85" t="n">
        <x:f>Z85/Y85</x:f>
        <x:v>6.733470082949308</x:v>
      </x:c>
    </x:row>
    <x:row r="86" ht="15" hidden="0" customHeight="1">
      <x:c r="A86" s="25" t="str">
        <x:v>INSTANT</x:v>
      </x:c>
      <x:c r="B86" s="25" t="n">
        <x:v>100</x:v>
      </x:c>
      <x:c r="C86" s="25" t="str">
        <x:v>Côte d’Ivoire</x:v>
      </x:c>
      <x:c r="D86" s="25" t="str">
        <x:v>Base</x:v>
      </x:c>
      <x:c r="E86" s="25" t="n">
        <x:v>8</x:v>
      </x:c>
      <x:c r="F86" s="25" t="n">
        <x:v>4</x:v>
      </x:c>
      <x:c r="G86" s="25" t="n">
        <x:v>3</x:v>
      </x:c>
      <x:c r="H86" s="25" t="n">
        <x:v>30</x:v>
      </x:c>
      <x:c r="I86" s="25" t="str">
        <x:v>Conservateur</x:v>
      </x:c>
      <x:c r="J86" s="25" t="n">
        <x:v>1</x:v>
      </x:c>
      <x:c r="K86" s="25" t="n">
        <x:v>279900</x:v>
      </x:c>
      <x:c r="L86" s="25" t="n">
        <x:v>0</x:v>
      </x:c>
      <x:c r="M86" s="25" t="n">
        <x:v>279900</x:v>
      </x:c>
      <x:c r="N86" s="25" t="n">
        <x:v>1</x:v>
      </x:c>
      <x:c r="O86" s="25" t="n">
        <x:v>1</x:v>
      </x:c>
      <x:c r="P86" s="25" t="n">
        <x:v>1</x:v>
      </x:c>
      <x:c r="Q86" s="25" t="n">
        <x:v>0.07020000000000001</x:v>
      </x:c>
      <x:c r="R86" s="25" t="n">
        <x:v>1.2</x:v>
      </x:c>
      <x:c r="S86" s="25" t="n">
        <x:v>279900</x:v>
      </x:c>
      <x:c r="T86" s="25" t="n">
        <x:v>11196</x:v>
      </x:c>
      <x:c r="U86" s="25" t="n">
        <x:v>3358.8</x:v>
      </x:c>
      <x:c r="V86" s="25" t="n">
        <x:v>5760</x:v>
      </x:c>
      <x:c r="W86" s="25" t="n">
        <x:v>18195.84</x:v>
      </x:c>
      <x:c r="X86" s="25" t="n">
        <x:v>181.9584</x:v>
      </x:c>
      <x:c r="Y86" s="25" t="n">
        <x:v>17050</x:v>
      </x:c>
      <x:c r="Z86" s="25" t="n">
        <x:v>241207.4016</x:v>
      </x:c>
      <x:c r="AA86" s="25" t="n">
        <x:v>224157.4016</x:v>
      </x:c>
      <x:c r="AB86" s="25" t="n">
        <x:v>0.8008481657734906</x:v>
      </x:c>
      <x:c r="AC86" s="25" t="n">
        <x:v>14.147061677419355</x:v>
      </x:c>
      <x:c r="AD86" s="25" t="n">
        <x:v>241207.4016</x:v>
      </x:c>
      <x:c r="AE86" s="25" t="n">
        <x:v>10007.712000000001</x:v>
      </x:c>
      <x:c r="AF86" s="25" t="n">
        <x:v>25019.280000000002</x:v>
      </x:c>
      <x:c r="AG86" s="25" t="n">
        <x:v>24.23483009902763</x:v>
      </x:c>
      <x:c r="AH86" s="25" t="n">
        <x:v>5.359056806002144</x:v>
      </x:c>
      <x:c r="AI86" t="n">
        <x:f>Z86-Y86</x:f>
        <x:v>224157.4016</x:v>
      </x:c>
      <x:c r="AJ86" t="n">
        <x:f>AA86/S86</x:f>
        <x:v>0.8008481657734906</x:v>
      </x:c>
      <x:c r="AK86" t="n">
        <x:f>Z86/Y86</x:f>
        <x:v>14.147061677419355</x:v>
      </x:c>
    </x:row>
    <x:row r="87" ht="15" hidden="0" customHeight="1">
      <x:c r="A87" s="25" t="str">
        <x:v>INSTANT</x:v>
      </x:c>
      <x:c r="B87" s="25" t="n">
        <x:v>100</x:v>
      </x:c>
      <x:c r="C87" s="25" t="str">
        <x:v>Cameroun</x:v>
      </x:c>
      <x:c r="D87" s="25" t="str">
        <x:v>Base</x:v>
      </x:c>
      <x:c r="E87" s="25" t="n">
        <x:v>8</x:v>
      </x:c>
      <x:c r="F87" s="25" t="n">
        <x:v>4</x:v>
      </x:c>
      <x:c r="G87" s="25" t="n">
        <x:v>3</x:v>
      </x:c>
      <x:c r="H87" s="25" t="n">
        <x:v>30</x:v>
      </x:c>
      <x:c r="I87" s="25" t="str">
        <x:v>Conservateur</x:v>
      </x:c>
      <x:c r="J87" s="25" t="n">
        <x:v>1</x:v>
      </x:c>
      <x:c r="K87" s="25" t="n">
        <x:v>279900</x:v>
      </x:c>
      <x:c r="L87" s="25" t="n">
        <x:v>0</x:v>
      </x:c>
      <x:c r="M87" s="25" t="n">
        <x:v>279900</x:v>
      </x:c>
      <x:c r="N87" s="25" t="n">
        <x:v>1</x:v>
      </x:c>
      <x:c r="O87" s="25" t="n">
        <x:v>1</x:v>
      </x:c>
      <x:c r="P87" s="25" t="n">
        <x:v>1</x:v>
      </x:c>
      <x:c r="Q87" s="25" t="n">
        <x:v>0.07020000000000001</x:v>
      </x:c>
      <x:c r="R87" s="25" t="n">
        <x:v>1.2</x:v>
      </x:c>
      <x:c r="S87" s="25" t="n">
        <x:v>279900</x:v>
      </x:c>
      <x:c r="T87" s="25" t="n">
        <x:v>11196</x:v>
      </x:c>
      <x:c r="U87" s="25" t="n">
        <x:v>3358.8</x:v>
      </x:c>
      <x:c r="V87" s="25" t="n">
        <x:v>5760</x:v>
      </x:c>
      <x:c r="W87" s="25" t="n">
        <x:v>18195.84</x:v>
      </x:c>
      <x:c r="X87" s="25" t="n">
        <x:v>181.9584</x:v>
      </x:c>
      <x:c r="Y87" s="25" t="n">
        <x:v>18600</x:v>
      </x:c>
      <x:c r="Z87" s="25" t="n">
        <x:v>241207.4016</x:v>
      </x:c>
      <x:c r="AA87" s="25" t="n">
        <x:v>222607.4016</x:v>
      </x:c>
      <x:c r="AB87" s="25" t="n">
        <x:v>0.7953104737406217</x:v>
      </x:c>
      <x:c r="AC87" s="25" t="n">
        <x:v>12.968139870967743</x:v>
      </x:c>
      <x:c r="AD87" s="25" t="n">
        <x:v>241207.4016</x:v>
      </x:c>
      <x:c r="AE87" s="25" t="n">
        <x:v>10007.712000000001</x:v>
      </x:c>
      <x:c r="AF87" s="25" t="n">
        <x:v>25019.280000000002</x:v>
      </x:c>
      <x:c r="AG87" s="25" t="n">
        <x:v>24.079949542912505</x:v>
      </x:c>
      <x:c r="AH87" s="25" t="n">
        <x:v>5.359056806002144</x:v>
      </x:c>
      <x:c r="AI87" t="n">
        <x:f>Z87-Y87</x:f>
        <x:v>222607.4016</x:v>
      </x:c>
      <x:c r="AJ87" t="n">
        <x:f>AA87/S87</x:f>
        <x:v>0.7953104737406217</x:v>
      </x:c>
      <x:c r="AK87" t="n">
        <x:f>Z87/Y87</x:f>
        <x:v>12.968139870967743</x:v>
      </x:c>
    </x:row>
    <x:row r="88" ht="15" hidden="0" customHeight="1">
      <x:c r="A88" s="25" t="str">
        <x:v>INSTANT</x:v>
      </x:c>
      <x:c r="B88" s="25" t="n">
        <x:v>100</x:v>
      </x:c>
      <x:c r="C88" s="25" t="str">
        <x:v>Sénégal</x:v>
      </x:c>
      <x:c r="D88" s="25" t="str">
        <x:v>Base</x:v>
      </x:c>
      <x:c r="E88" s="25" t="n">
        <x:v>8</x:v>
      </x:c>
      <x:c r="F88" s="25" t="n">
        <x:v>4</x:v>
      </x:c>
      <x:c r="G88" s="25" t="n">
        <x:v>3</x:v>
      </x:c>
      <x:c r="H88" s="25" t="n">
        <x:v>30</x:v>
      </x:c>
      <x:c r="I88" s="25" t="str">
        <x:v>Conservateur</x:v>
      </x:c>
      <x:c r="J88" s="25" t="n">
        <x:v>1</x:v>
      </x:c>
      <x:c r="K88" s="25" t="n">
        <x:v>279900</x:v>
      </x:c>
      <x:c r="L88" s="25" t="n">
        <x:v>0</x:v>
      </x:c>
      <x:c r="M88" s="25" t="n">
        <x:v>279900</x:v>
      </x:c>
      <x:c r="N88" s="25" t="n">
        <x:v>1</x:v>
      </x:c>
      <x:c r="O88" s="25" t="n">
        <x:v>1</x:v>
      </x:c>
      <x:c r="P88" s="25" t="n">
        <x:v>1</x:v>
      </x:c>
      <x:c r="Q88" s="25" t="n">
        <x:v>0.07020000000000001</x:v>
      </x:c>
      <x:c r="R88" s="25" t="n">
        <x:v>1.2</x:v>
      </x:c>
      <x:c r="S88" s="25" t="n">
        <x:v>279900</x:v>
      </x:c>
      <x:c r="T88" s="25" t="n">
        <x:v>11196</x:v>
      </x:c>
      <x:c r="U88" s="25" t="n">
        <x:v>3358.8</x:v>
      </x:c>
      <x:c r="V88" s="25" t="n">
        <x:v>5760</x:v>
      </x:c>
      <x:c r="W88" s="25" t="n">
        <x:v>18195.84</x:v>
      </x:c>
      <x:c r="X88" s="25" t="n">
        <x:v>181.9584</x:v>
      </x:c>
      <x:c r="Y88" s="25" t="n">
        <x:v>23250</x:v>
      </x:c>
      <x:c r="Z88" s="25" t="n">
        <x:v>241207.4016</x:v>
      </x:c>
      <x:c r="AA88" s="25" t="n">
        <x:v>217957.4016</x:v>
      </x:c>
      <x:c r="AB88" s="25" t="n">
        <x:v>0.7786973976420151</x:v>
      </x:c>
      <x:c r="AC88" s="25" t="n">
        <x:v>10.374511896774194</x:v>
      </x:c>
      <x:c r="AD88" s="25" t="n">
        <x:v>241207.4016</x:v>
      </x:c>
      <x:c r="AE88" s="25" t="n">
        <x:v>10007.712000000001</x:v>
      </x:c>
      <x:c r="AF88" s="25" t="n">
        <x:v>25019.280000000002</x:v>
      </x:c>
      <x:c r="AG88" s="25" t="n">
        <x:v>23.615307874567133</x:v>
      </x:c>
      <x:c r="AH88" s="25" t="n">
        <x:v>5.359056806002144</x:v>
      </x:c>
      <x:c r="AI88" t="n">
        <x:f>Z88-Y88</x:f>
        <x:v>217957.4016</x:v>
      </x:c>
      <x:c r="AJ88" t="n">
        <x:f>AA88/S88</x:f>
        <x:v>0.7786973976420151</x:v>
      </x:c>
      <x:c r="AK88" t="n">
        <x:f>Z88/Y88</x:f>
        <x:v>10.374511896774194</x:v>
      </x:c>
    </x:row>
    <x:row r="89" ht="15" hidden="0" customHeight="1">
      <x:c r="A89" s="25" t="str">
        <x:v>INSTANT</x:v>
      </x:c>
      <x:c r="B89" s="25" t="n">
        <x:v>100</x:v>
      </x:c>
      <x:c r="C89" s="25" t="str">
        <x:v>Bénin</x:v>
      </x:c>
      <x:c r="D89" s="25" t="str">
        <x:v>Base</x:v>
      </x:c>
      <x:c r="E89" s="25" t="n">
        <x:v>8</x:v>
      </x:c>
      <x:c r="F89" s="25" t="n">
        <x:v>4</x:v>
      </x:c>
      <x:c r="G89" s="25" t="n">
        <x:v>3</x:v>
      </x:c>
      <x:c r="H89" s="25" t="n">
        <x:v>30</x:v>
      </x:c>
      <x:c r="I89" s="25" t="str">
        <x:v>Conservateur</x:v>
      </x:c>
      <x:c r="J89" s="25" t="n">
        <x:v>1</x:v>
      </x:c>
      <x:c r="K89" s="25" t="n">
        <x:v>279900</x:v>
      </x:c>
      <x:c r="L89" s="25" t="n">
        <x:v>0</x:v>
      </x:c>
      <x:c r="M89" s="25" t="n">
        <x:v>279900</x:v>
      </x:c>
      <x:c r="N89" s="25" t="n">
        <x:v>1</x:v>
      </x:c>
      <x:c r="O89" s="25" t="n">
        <x:v>1</x:v>
      </x:c>
      <x:c r="P89" s="25" t="n">
        <x:v>1</x:v>
      </x:c>
      <x:c r="Q89" s="25" t="n">
        <x:v>0.07020000000000001</x:v>
      </x:c>
      <x:c r="R89" s="25" t="n">
        <x:v>1.2</x:v>
      </x:c>
      <x:c r="S89" s="25" t="n">
        <x:v>279900</x:v>
      </x:c>
      <x:c r="T89" s="25" t="n">
        <x:v>11196</x:v>
      </x:c>
      <x:c r="U89" s="25" t="n">
        <x:v>3358.8</x:v>
      </x:c>
      <x:c r="V89" s="25" t="n">
        <x:v>5760</x:v>
      </x:c>
      <x:c r="W89" s="25" t="n">
        <x:v>18195.84</x:v>
      </x:c>
      <x:c r="X89" s="25" t="n">
        <x:v>181.9584</x:v>
      </x:c>
      <x:c r="Y89" s="25" t="n">
        <x:v>15500</x:v>
      </x:c>
      <x:c r="Z89" s="25" t="n">
        <x:v>241207.4016</x:v>
      </x:c>
      <x:c r="AA89" s="25" t="n">
        <x:v>225707.4016</x:v>
      </x:c>
      <x:c r="AB89" s="25" t="n">
        <x:v>0.8063858578063594</x:v>
      </x:c>
      <x:c r="AC89" s="25" t="n">
        <x:v>15.561767845161292</x:v>
      </x:c>
      <x:c r="AD89" s="25" t="n">
        <x:v>241207.4016</x:v>
      </x:c>
      <x:c r="AE89" s="25" t="n">
        <x:v>10007.712000000001</x:v>
      </x:c>
      <x:c r="AF89" s="25" t="n">
        <x:v>25019.280000000002</x:v>
      </x:c>
      <x:c r="AG89" s="25" t="n">
        <x:v>24.389710655142753</x:v>
      </x:c>
      <x:c r="AH89" s="25" t="n">
        <x:v>5.359056806002144</x:v>
      </x:c>
      <x:c r="AI89" t="n">
        <x:f>Z89-Y89</x:f>
        <x:v>225707.4016</x:v>
      </x:c>
      <x:c r="AJ89" t="n">
        <x:f>AA89/S89</x:f>
        <x:v>0.8063858578063594</x:v>
      </x:c>
      <x:c r="AK89" t="n">
        <x:f>Z89/Y89</x:f>
        <x:v>15.561767845161292</x:v>
      </x:c>
    </x:row>
    <x:row r="90" ht="15" hidden="0" customHeight="1">
      <x:c r="A90" s="25" t="str">
        <x:v>INSTANT</x:v>
      </x:c>
      <x:c r="B90" s="25" t="n">
        <x:v>100</x:v>
      </x:c>
      <x:c r="C90" s="25" t="str">
        <x:v>Burkina Faso</x:v>
      </x:c>
      <x:c r="D90" s="25" t="str">
        <x:v>Base</x:v>
      </x:c>
      <x:c r="E90" s="25" t="n">
        <x:v>8</x:v>
      </x:c>
      <x:c r="F90" s="25" t="n">
        <x:v>4</x:v>
      </x:c>
      <x:c r="G90" s="25" t="n">
        <x:v>3</x:v>
      </x:c>
      <x:c r="H90" s="25" t="n">
        <x:v>30</x:v>
      </x:c>
      <x:c r="I90" s="25" t="str">
        <x:v>Conservateur</x:v>
      </x:c>
      <x:c r="J90" s="25" t="n">
        <x:v>1</x:v>
      </x:c>
      <x:c r="K90" s="25" t="n">
        <x:v>279900</x:v>
      </x:c>
      <x:c r="L90" s="25" t="n">
        <x:v>0</x:v>
      </x:c>
      <x:c r="M90" s="25" t="n">
        <x:v>279900</x:v>
      </x:c>
      <x:c r="N90" s="25" t="n">
        <x:v>1</x:v>
      </x:c>
      <x:c r="O90" s="25" t="n">
        <x:v>1</x:v>
      </x:c>
      <x:c r="P90" s="25" t="n">
        <x:v>1</x:v>
      </x:c>
      <x:c r="Q90" s="25" t="n">
        <x:v>0.07020000000000001</x:v>
      </x:c>
      <x:c r="R90" s="25" t="n">
        <x:v>1.2</x:v>
      </x:c>
      <x:c r="S90" s="25" t="n">
        <x:v>279900</x:v>
      </x:c>
      <x:c r="T90" s="25" t="n">
        <x:v>11196</x:v>
      </x:c>
      <x:c r="U90" s="25" t="n">
        <x:v>3358.8</x:v>
      </x:c>
      <x:c r="V90" s="25" t="n">
        <x:v>5760</x:v>
      </x:c>
      <x:c r="W90" s="25" t="n">
        <x:v>18195.84</x:v>
      </x:c>
      <x:c r="X90" s="25" t="n">
        <x:v>181.9584</x:v>
      </x:c>
      <x:c r="Y90" s="25" t="n">
        <x:v>17825</x:v>
      </x:c>
      <x:c r="Z90" s="25" t="n">
        <x:v>241207.4016</x:v>
      </x:c>
      <x:c r="AA90" s="25" t="n">
        <x:v>223382.4016</x:v>
      </x:c>
      <x:c r="AB90" s="25" t="n">
        <x:v>0.7980793197570561</x:v>
      </x:c>
      <x:c r="AC90" s="25" t="n">
        <x:v>13.531972039270688</x:v>
      </x:c>
      <x:c r="AD90" s="25" t="n">
        <x:v>241207.4016</x:v>
      </x:c>
      <x:c r="AE90" s="25" t="n">
        <x:v>10007.712000000001</x:v>
      </x:c>
      <x:c r="AF90" s="25" t="n">
        <x:v>25019.280000000002</x:v>
      </x:c>
      <x:c r="AG90" s="25" t="n">
        <x:v>24.157389820970067</x:v>
      </x:c>
      <x:c r="AH90" s="25" t="n">
        <x:v>5.359056806002144</x:v>
      </x:c>
      <x:c r="AI90" t="n">
        <x:f>Z90-Y90</x:f>
        <x:v>223382.4016</x:v>
      </x:c>
      <x:c r="AJ90" t="n">
        <x:f>AA90/S90</x:f>
        <x:v>0.7980793197570561</x:v>
      </x:c>
      <x:c r="AK90" t="n">
        <x:f>Z90/Y90</x:f>
        <x:v>13.531972039270688</x:v>
      </x:c>
    </x:row>
    <x:row r="91" ht="15" hidden="0" customHeight="1">
      <x:c r="A91" s="25" t="str">
        <x:v>INSTANT</x:v>
      </x:c>
      <x:c r="B91" s="25" t="n">
        <x:v>100</x:v>
      </x:c>
      <x:c r="C91" s="25" t="str">
        <x:v>Togo</x:v>
      </x:c>
      <x:c r="D91" s="25" t="str">
        <x:v>Base</x:v>
      </x:c>
      <x:c r="E91" s="25" t="n">
        <x:v>8</x:v>
      </x:c>
      <x:c r="F91" s="25" t="n">
        <x:v>4</x:v>
      </x:c>
      <x:c r="G91" s="25" t="n">
        <x:v>3</x:v>
      </x:c>
      <x:c r="H91" s="25" t="n">
        <x:v>30</x:v>
      </x:c>
      <x:c r="I91" s="25" t="str">
        <x:v>Conservateur</x:v>
      </x:c>
      <x:c r="J91" s="25" t="n">
        <x:v>1</x:v>
      </x:c>
      <x:c r="K91" s="25" t="n">
        <x:v>279900</x:v>
      </x:c>
      <x:c r="L91" s="25" t="n">
        <x:v>0</x:v>
      </x:c>
      <x:c r="M91" s="25" t="n">
        <x:v>279900</x:v>
      </x:c>
      <x:c r="N91" s="25" t="n">
        <x:v>1</x:v>
      </x:c>
      <x:c r="O91" s="25" t="n">
        <x:v>1</x:v>
      </x:c>
      <x:c r="P91" s="25" t="n">
        <x:v>1</x:v>
      </x:c>
      <x:c r="Q91" s="25" t="n">
        <x:v>0.07020000000000001</x:v>
      </x:c>
      <x:c r="R91" s="25" t="n">
        <x:v>1.2</x:v>
      </x:c>
      <x:c r="S91" s="25" t="n">
        <x:v>279900</x:v>
      </x:c>
      <x:c r="T91" s="25" t="n">
        <x:v>11196</x:v>
      </x:c>
      <x:c r="U91" s="25" t="n">
        <x:v>3358.8</x:v>
      </x:c>
      <x:c r="V91" s="25" t="n">
        <x:v>5760</x:v>
      </x:c>
      <x:c r="W91" s="25" t="n">
        <x:v>18195.84</x:v>
      </x:c>
      <x:c r="X91" s="25" t="n">
        <x:v>181.9584</x:v>
      </x:c>
      <x:c r="Y91" s="25" t="n">
        <x:v>21700</x:v>
      </x:c>
      <x:c r="Z91" s="25" t="n">
        <x:v>241207.4016</x:v>
      </x:c>
      <x:c r="AA91" s="25" t="n">
        <x:v>219507.4016</x:v>
      </x:c>
      <x:c r="AB91" s="25" t="n">
        <x:v>0.784235089674884</x:v>
      </x:c>
      <x:c r="AC91" s="25" t="n">
        <x:v>11.115548460829494</x:v>
      </x:c>
      <x:c r="AD91" s="25" t="n">
        <x:v>241207.4016</x:v>
      </x:c>
      <x:c r="AE91" s="25" t="n">
        <x:v>10007.712000000001</x:v>
      </x:c>
      <x:c r="AF91" s="25" t="n">
        <x:v>25019.280000000002</x:v>
      </x:c>
      <x:c r="AG91" s="25" t="n">
        <x:v>23.770188430682257</x:v>
      </x:c>
      <x:c r="AH91" s="25" t="n">
        <x:v>5.359056806002144</x:v>
      </x:c>
      <x:c r="AI91" t="n">
        <x:f>Z91-Y91</x:f>
        <x:v>219507.4016</x:v>
      </x:c>
      <x:c r="AJ91" t="n">
        <x:f>AA91/S91</x:f>
        <x:v>0.784235089674884</x:v>
      </x:c>
      <x:c r="AK91" t="n">
        <x:f>Z91/Y91</x:f>
        <x:v>11.115548460829494</x:v>
      </x:c>
    </x:row>
    <x:row r="92" ht="15" hidden="0" customHeight="1">
      <x:c r="A92" s="25" t="str">
        <x:v>ONE</x:v>
      </x:c>
      <x:c r="B92" s="25" t="n">
        <x:v>5</x:v>
      </x:c>
      <x:c r="C92" s="25" t="str">
        <x:v>Côte d’Ivoire</x:v>
      </x:c>
      <x:c r="D92" s="25" t="str">
        <x:v>Stress</x:v>
      </x:c>
      <x:c r="E92" s="25" t="n">
        <x:v>8</x:v>
      </x:c>
      <x:c r="F92" s="25" t="n">
        <x:v>4</x:v>
      </x:c>
      <x:c r="G92" s="25" t="n">
        <x:v>2</x:v>
      </x:c>
      <x:c r="H92" s="25" t="n">
        <x:v>35</x:v>
      </x:c>
      <x:c r="I92" s="25" t="str">
        <x:v>Équilibré</x:v>
      </x:c>
      <x:c r="J92" s="25" t="n">
        <x:v>1</x:v>
      </x:c>
      <x:c r="K92" s="25" t="n">
        <x:v>19900</x:v>
      </x:c>
      <x:c r="L92" s="25" t="n">
        <x:v>0</x:v>
      </x:c>
      <x:c r="M92" s="25" t="n">
        <x:v>19900</x:v>
      </x:c>
      <x:c r="N92" s="25" t="n">
        <x:v>0.12</x:v>
      </x:c>
      <x:c r="O92" s="25" t="n">
        <x:v>1</x:v>
      </x:c>
      <x:c r="P92" s="25" t="n">
        <x:v>0.12</x:v>
      </x:c>
      <x:c r="Q92" s="25" t="n">
        <x:v>0.29700000000000004</x:v>
      </x:c>
      <x:c r="R92" s="25" t="n">
        <x:v>1.8</x:v>
      </x:c>
      <x:c r="S92" s="25" t="n">
        <x:v>19900</x:v>
      </x:c>
      <x:c r="T92" s="25" t="n">
        <x:v>1194</x:v>
      </x:c>
      <x:c r="U92" s="25" t="n">
        <x:v>497.5</x:v>
      </x:c>
      <x:c r="V92" s="25" t="n">
        <x:v>4416</x:v>
      </x:c>
      <x:c r="W92" s="25" t="n">
        <x:v>2908.2240000000006</x:v>
      </x:c>
      <x:c r="X92" s="25" t="n">
        <x:v>43.623360000000005</x:v>
      </x:c>
      <x:c r="Y92" s="25" t="n">
        <x:v>17050</x:v>
      </x:c>
      <x:c r="Z92" s="25" t="n">
        <x:v>10840.65264</x:v>
      </x:c>
      <x:c r="AA92" s="25" t="n">
        <x:v>-6209.34736</x:v>
      </x:c>
      <x:c r="AB92" s="25" t="n">
        <x:v>-0.3120275055276382</x:v>
      </x:c>
      <x:c r="AC92" s="25" t="n">
        <x:v>0.6358154041055719</x:v>
      </x:c>
      <x:c r="AD92" s="25" t="n">
        <x:v>10840.65264</x:v>
      </x:c>
      <x:c r="AE92" s="25" t="n">
        <x:v>1890.3456000000006</x:v>
      </x:c>
      <x:c r="AF92" s="25" t="n">
        <x:v>4725.864000000001</x:v>
      </x:c>
      <x:c r="AG92" s="25" t="n">
        <x:v>-1.7232298686547047</x:v>
      </x:c>
      <x:c r="AH92" s="25" t="n">
        <x:v>7.5376884422110555</x:v>
      </x:c>
      <x:c r="AI92" t="n">
        <x:f>Z92-Y92</x:f>
        <x:v>-6209.34736</x:v>
      </x:c>
      <x:c r="AJ92" t="n">
        <x:f>AA92/S92</x:f>
        <x:v>-0.3120275055276382</x:v>
      </x:c>
      <x:c r="AK92" t="n">
        <x:f>Z92/Y92</x:f>
        <x:v>0.6358154041055719</x:v>
      </x:c>
    </x:row>
    <x:row r="93" ht="15" hidden="0" customHeight="1">
      <x:c r="A93" s="25" t="str">
        <x:v>ONE</x:v>
      </x:c>
      <x:c r="B93" s="25" t="n">
        <x:v>5</x:v>
      </x:c>
      <x:c r="C93" s="25" t="str">
        <x:v>Cameroun</x:v>
      </x:c>
      <x:c r="D93" s="25" t="str">
        <x:v>Stress</x:v>
      </x:c>
      <x:c r="E93" s="25" t="n">
        <x:v>8</x:v>
      </x:c>
      <x:c r="F93" s="25" t="n">
        <x:v>4</x:v>
      </x:c>
      <x:c r="G93" s="25" t="n">
        <x:v>2</x:v>
      </x:c>
      <x:c r="H93" s="25" t="n">
        <x:v>35</x:v>
      </x:c>
      <x:c r="I93" s="25" t="str">
        <x:v>Équilibré</x:v>
      </x:c>
      <x:c r="J93" s="25" t="n">
        <x:v>1</x:v>
      </x:c>
      <x:c r="K93" s="25" t="n">
        <x:v>19900</x:v>
      </x:c>
      <x:c r="L93" s="25" t="n">
        <x:v>0</x:v>
      </x:c>
      <x:c r="M93" s="25" t="n">
        <x:v>19900</x:v>
      </x:c>
      <x:c r="N93" s="25" t="n">
        <x:v>0.12</x:v>
      </x:c>
      <x:c r="O93" s="25" t="n">
        <x:v>1</x:v>
      </x:c>
      <x:c r="P93" s="25" t="n">
        <x:v>0.12</x:v>
      </x:c>
      <x:c r="Q93" s="25" t="n">
        <x:v>0.29700000000000004</x:v>
      </x:c>
      <x:c r="R93" s="25" t="n">
        <x:v>1.8</x:v>
      </x:c>
      <x:c r="S93" s="25" t="n">
        <x:v>19900</x:v>
      </x:c>
      <x:c r="T93" s="25" t="n">
        <x:v>1194</x:v>
      </x:c>
      <x:c r="U93" s="25" t="n">
        <x:v>497.5</x:v>
      </x:c>
      <x:c r="V93" s="25" t="n">
        <x:v>4416</x:v>
      </x:c>
      <x:c r="W93" s="25" t="n">
        <x:v>2908.2240000000006</x:v>
      </x:c>
      <x:c r="X93" s="25" t="n">
        <x:v>43.623360000000005</x:v>
      </x:c>
      <x:c r="Y93" s="25" t="n">
        <x:v>18600</x:v>
      </x:c>
      <x:c r="Z93" s="25" t="n">
        <x:v>10840.65264</x:v>
      </x:c>
      <x:c r="AA93" s="25" t="n">
        <x:v>-7759.34736</x:v>
      </x:c>
      <x:c r="AB93" s="25" t="n">
        <x:v>-0.3899169527638191</x:v>
      </x:c>
      <x:c r="AC93" s="25" t="n">
        <x:v>0.5828307870967742</x:v>
      </x:c>
      <x:c r="AD93" s="25" t="n">
        <x:v>10840.65264</x:v>
      </x:c>
      <x:c r="AE93" s="25" t="n">
        <x:v>1890.3456000000006</x:v>
      </x:c>
      <x:c r="AF93" s="25" t="n">
        <x:v>4725.864000000001</x:v>
      </x:c>
      <x:c r="AG93" s="25" t="n">
        <x:v>-2.543185753970067</x:v>
      </x:c>
      <x:c r="AH93" s="25" t="n">
        <x:v>7.5376884422110555</x:v>
      </x:c>
      <x:c r="AI93" t="n">
        <x:f>Z93-Y93</x:f>
        <x:v>-7759.34736</x:v>
      </x:c>
      <x:c r="AJ93" t="n">
        <x:f>AA93/S93</x:f>
        <x:v>-0.3899169527638191</x:v>
      </x:c>
      <x:c r="AK93" t="n">
        <x:f>Z93/Y93</x:f>
        <x:v>0.5828307870967742</x:v>
      </x:c>
    </x:row>
    <x:row r="94" ht="15" hidden="0" customHeight="1">
      <x:c r="A94" s="25" t="str">
        <x:v>ONE</x:v>
      </x:c>
      <x:c r="B94" s="25" t="n">
        <x:v>5</x:v>
      </x:c>
      <x:c r="C94" s="25" t="str">
        <x:v>Sénégal</x:v>
      </x:c>
      <x:c r="D94" s="25" t="str">
        <x:v>Stress</x:v>
      </x:c>
      <x:c r="E94" s="25" t="n">
        <x:v>8</x:v>
      </x:c>
      <x:c r="F94" s="25" t="n">
        <x:v>4</x:v>
      </x:c>
      <x:c r="G94" s="25" t="n">
        <x:v>2</x:v>
      </x:c>
      <x:c r="H94" s="25" t="n">
        <x:v>35</x:v>
      </x:c>
      <x:c r="I94" s="25" t="str">
        <x:v>Équilibré</x:v>
      </x:c>
      <x:c r="J94" s="25" t="n">
        <x:v>1</x:v>
      </x:c>
      <x:c r="K94" s="25" t="n">
        <x:v>19900</x:v>
      </x:c>
      <x:c r="L94" s="25" t="n">
        <x:v>0</x:v>
      </x:c>
      <x:c r="M94" s="25" t="n">
        <x:v>19900</x:v>
      </x:c>
      <x:c r="N94" s="25" t="n">
        <x:v>0.12</x:v>
      </x:c>
      <x:c r="O94" s="25" t="n">
        <x:v>1</x:v>
      </x:c>
      <x:c r="P94" s="25" t="n">
        <x:v>0.12</x:v>
      </x:c>
      <x:c r="Q94" s="25" t="n">
        <x:v>0.29700000000000004</x:v>
      </x:c>
      <x:c r="R94" s="25" t="n">
        <x:v>1.8</x:v>
      </x:c>
      <x:c r="S94" s="25" t="n">
        <x:v>19900</x:v>
      </x:c>
      <x:c r="T94" s="25" t="n">
        <x:v>1194</x:v>
      </x:c>
      <x:c r="U94" s="25" t="n">
        <x:v>497.5</x:v>
      </x:c>
      <x:c r="V94" s="25" t="n">
        <x:v>4416</x:v>
      </x:c>
      <x:c r="W94" s="25" t="n">
        <x:v>2908.2240000000006</x:v>
      </x:c>
      <x:c r="X94" s="25" t="n">
        <x:v>43.623360000000005</x:v>
      </x:c>
      <x:c r="Y94" s="25" t="n">
        <x:v>23250</x:v>
      </x:c>
      <x:c r="Z94" s="25" t="n">
        <x:v>10840.65264</x:v>
      </x:c>
      <x:c r="AA94" s="25" t="n">
        <x:v>-12409.34736</x:v>
      </x:c>
      <x:c r="AB94" s="25" t="n">
        <x:v>-0.6235852944723618</x:v>
      </x:c>
      <x:c r="AC94" s="25" t="n">
        <x:v>0.4662646296774194</x:v>
      </x:c>
      <x:c r="AD94" s="25" t="n">
        <x:v>10840.65264</x:v>
      </x:c>
      <x:c r="AE94" s="25" t="n">
        <x:v>1890.3456000000006</x:v>
      </x:c>
      <x:c r="AF94" s="25" t="n">
        <x:v>4725.864000000001</x:v>
      </x:c>
      <x:c r="AG94" s="25" t="n">
        <x:v>-5.003053409916154</x:v>
      </x:c>
      <x:c r="AH94" s="25" t="n">
        <x:v>7.5376884422110555</x:v>
      </x:c>
      <x:c r="AI94" t="n">
        <x:f>Z94-Y94</x:f>
        <x:v>-12409.34736</x:v>
      </x:c>
      <x:c r="AJ94" t="n">
        <x:f>AA94/S94</x:f>
        <x:v>-0.6235852944723618</x:v>
      </x:c>
      <x:c r="AK94" t="n">
        <x:f>Z94/Y94</x:f>
        <x:v>0.4662646296774194</x:v>
      </x:c>
    </x:row>
    <x:row r="95" ht="15" hidden="0" customHeight="1">
      <x:c r="A95" s="25" t="str">
        <x:v>ONE</x:v>
      </x:c>
      <x:c r="B95" s="25" t="n">
        <x:v>5</x:v>
      </x:c>
      <x:c r="C95" s="25" t="str">
        <x:v>Bénin</x:v>
      </x:c>
      <x:c r="D95" s="25" t="str">
        <x:v>Stress</x:v>
      </x:c>
      <x:c r="E95" s="25" t="n">
        <x:v>8</x:v>
      </x:c>
      <x:c r="F95" s="25" t="n">
        <x:v>4</x:v>
      </x:c>
      <x:c r="G95" s="25" t="n">
        <x:v>2</x:v>
      </x:c>
      <x:c r="H95" s="25" t="n">
        <x:v>35</x:v>
      </x:c>
      <x:c r="I95" s="25" t="str">
        <x:v>Équilibré</x:v>
      </x:c>
      <x:c r="J95" s="25" t="n">
        <x:v>1</x:v>
      </x:c>
      <x:c r="K95" s="25" t="n">
        <x:v>19900</x:v>
      </x:c>
      <x:c r="L95" s="25" t="n">
        <x:v>0</x:v>
      </x:c>
      <x:c r="M95" s="25" t="n">
        <x:v>19900</x:v>
      </x:c>
      <x:c r="N95" s="25" t="n">
        <x:v>0.12</x:v>
      </x:c>
      <x:c r="O95" s="25" t="n">
        <x:v>1</x:v>
      </x:c>
      <x:c r="P95" s="25" t="n">
        <x:v>0.12</x:v>
      </x:c>
      <x:c r="Q95" s="25" t="n">
        <x:v>0.29700000000000004</x:v>
      </x:c>
      <x:c r="R95" s="25" t="n">
        <x:v>1.8</x:v>
      </x:c>
      <x:c r="S95" s="25" t="n">
        <x:v>19900</x:v>
      </x:c>
      <x:c r="T95" s="25" t="n">
        <x:v>1194</x:v>
      </x:c>
      <x:c r="U95" s="25" t="n">
        <x:v>497.5</x:v>
      </x:c>
      <x:c r="V95" s="25" t="n">
        <x:v>4416</x:v>
      </x:c>
      <x:c r="W95" s="25" t="n">
        <x:v>2908.2240000000006</x:v>
      </x:c>
      <x:c r="X95" s="25" t="n">
        <x:v>43.623360000000005</x:v>
      </x:c>
      <x:c r="Y95" s="25" t="n">
        <x:v>15500</x:v>
      </x:c>
      <x:c r="Z95" s="25" t="n">
        <x:v>10840.65264</x:v>
      </x:c>
      <x:c r="AA95" s="25" t="n">
        <x:v>-4659.34736</x:v>
      </x:c>
      <x:c r="AB95" s="25" t="n">
        <x:v>-0.23413805829145728</x:v>
      </x:c>
      <x:c r="AC95" s="25" t="n">
        <x:v>0.699396944516129</x:v>
      </x:c>
      <x:c r="AD95" s="25" t="n">
        <x:v>10840.65264</x:v>
      </x:c>
      <x:c r="AE95" s="25" t="n">
        <x:v>1890.3456000000006</x:v>
      </x:c>
      <x:c r="AF95" s="25" t="n">
        <x:v>4725.864000000001</x:v>
      </x:c>
      <x:c r="AG95" s="25" t="n">
        <x:v>-0.9032739833393425</x:v>
      </x:c>
      <x:c r="AH95" s="25" t="n">
        <x:v>7.5376884422110555</x:v>
      </x:c>
      <x:c r="AI95" t="n">
        <x:f>Z95-Y95</x:f>
        <x:v>-4659.34736</x:v>
      </x:c>
      <x:c r="AJ95" t="n">
        <x:f>AA95/S95</x:f>
        <x:v>-0.23413805829145728</x:v>
      </x:c>
      <x:c r="AK95" t="n">
        <x:f>Z95/Y95</x:f>
        <x:v>0.699396944516129</x:v>
      </x:c>
    </x:row>
    <x:row r="96" ht="15" hidden="0" customHeight="1">
      <x:c r="A96" s="25" t="str">
        <x:v>ONE</x:v>
      </x:c>
      <x:c r="B96" s="25" t="n">
        <x:v>5</x:v>
      </x:c>
      <x:c r="C96" s="25" t="str">
        <x:v>Burkina Faso</x:v>
      </x:c>
      <x:c r="D96" s="25" t="str">
        <x:v>Stress</x:v>
      </x:c>
      <x:c r="E96" s="25" t="n">
        <x:v>8</x:v>
      </x:c>
      <x:c r="F96" s="25" t="n">
        <x:v>4</x:v>
      </x:c>
      <x:c r="G96" s="25" t="n">
        <x:v>2</x:v>
      </x:c>
      <x:c r="H96" s="25" t="n">
        <x:v>35</x:v>
      </x:c>
      <x:c r="I96" s="25" t="str">
        <x:v>Équilibré</x:v>
      </x:c>
      <x:c r="J96" s="25" t="n">
        <x:v>1</x:v>
      </x:c>
      <x:c r="K96" s="25" t="n">
        <x:v>19900</x:v>
      </x:c>
      <x:c r="L96" s="25" t="n">
        <x:v>0</x:v>
      </x:c>
      <x:c r="M96" s="25" t="n">
        <x:v>19900</x:v>
      </x:c>
      <x:c r="N96" s="25" t="n">
        <x:v>0.12</x:v>
      </x:c>
      <x:c r="O96" s="25" t="n">
        <x:v>1</x:v>
      </x:c>
      <x:c r="P96" s="25" t="n">
        <x:v>0.12</x:v>
      </x:c>
      <x:c r="Q96" s="25" t="n">
        <x:v>0.29700000000000004</x:v>
      </x:c>
      <x:c r="R96" s="25" t="n">
        <x:v>1.8</x:v>
      </x:c>
      <x:c r="S96" s="25" t="n">
        <x:v>19900</x:v>
      </x:c>
      <x:c r="T96" s="25" t="n">
        <x:v>1194</x:v>
      </x:c>
      <x:c r="U96" s="25" t="n">
        <x:v>497.5</x:v>
      </x:c>
      <x:c r="V96" s="25" t="n">
        <x:v>4416</x:v>
      </x:c>
      <x:c r="W96" s="25" t="n">
        <x:v>2908.2240000000006</x:v>
      </x:c>
      <x:c r="X96" s="25" t="n">
        <x:v>43.623360000000005</x:v>
      </x:c>
      <x:c r="Y96" s="25" t="n">
        <x:v>17825</x:v>
      </x:c>
      <x:c r="Z96" s="25" t="n">
        <x:v>10840.65264</x:v>
      </x:c>
      <x:c r="AA96" s="25" t="n">
        <x:v>-6984.34736</x:v>
      </x:c>
      <x:c r="AB96" s="25" t="n">
        <x:v>-0.3509722291457286</x:v>
      </x:c>
      <x:c r="AC96" s="25" t="n">
        <x:v>0.6081712561009818</x:v>
      </x:c>
      <x:c r="AD96" s="25" t="n">
        <x:v>10840.65264</x:v>
      </x:c>
      <x:c r="AE96" s="25" t="n">
        <x:v>1890.3456000000006</x:v>
      </x:c>
      <x:c r="AF96" s="25" t="n">
        <x:v>4725.864000000001</x:v>
      </x:c>
      <x:c r="AG96" s="25" t="n">
        <x:v>-2.133207811312386</x:v>
      </x:c>
      <x:c r="AH96" s="25" t="n">
        <x:v>7.5376884422110555</x:v>
      </x:c>
      <x:c r="AI96" t="n">
        <x:f>Z96-Y96</x:f>
        <x:v>-6984.34736</x:v>
      </x:c>
      <x:c r="AJ96" t="n">
        <x:f>AA96/S96</x:f>
        <x:v>-0.3509722291457286</x:v>
      </x:c>
      <x:c r="AK96" t="n">
        <x:f>Z96/Y96</x:f>
        <x:v>0.6081712561009818</x:v>
      </x:c>
    </x:row>
    <x:row r="97" ht="15" hidden="0" customHeight="1">
      <x:c r="A97" s="25" t="str">
        <x:v>ONE</x:v>
      </x:c>
      <x:c r="B97" s="25" t="n">
        <x:v>5</x:v>
      </x:c>
      <x:c r="C97" s="25" t="str">
        <x:v>Togo</x:v>
      </x:c>
      <x:c r="D97" s="25" t="str">
        <x:v>Stress</x:v>
      </x:c>
      <x:c r="E97" s="25" t="n">
        <x:v>8</x:v>
      </x:c>
      <x:c r="F97" s="25" t="n">
        <x:v>4</x:v>
      </x:c>
      <x:c r="G97" s="25" t="n">
        <x:v>2</x:v>
      </x:c>
      <x:c r="H97" s="25" t="n">
        <x:v>35</x:v>
      </x:c>
      <x:c r="I97" s="25" t="str">
        <x:v>Équilibré</x:v>
      </x:c>
      <x:c r="J97" s="25" t="n">
        <x:v>1</x:v>
      </x:c>
      <x:c r="K97" s="25" t="n">
        <x:v>19900</x:v>
      </x:c>
      <x:c r="L97" s="25" t="n">
        <x:v>0</x:v>
      </x:c>
      <x:c r="M97" s="25" t="n">
        <x:v>19900</x:v>
      </x:c>
      <x:c r="N97" s="25" t="n">
        <x:v>0.12</x:v>
      </x:c>
      <x:c r="O97" s="25" t="n">
        <x:v>1</x:v>
      </x:c>
      <x:c r="P97" s="25" t="n">
        <x:v>0.12</x:v>
      </x:c>
      <x:c r="Q97" s="25" t="n">
        <x:v>0.29700000000000004</x:v>
      </x:c>
      <x:c r="R97" s="25" t="n">
        <x:v>1.8</x:v>
      </x:c>
      <x:c r="S97" s="25" t="n">
        <x:v>19900</x:v>
      </x:c>
      <x:c r="T97" s="25" t="n">
        <x:v>1194</x:v>
      </x:c>
      <x:c r="U97" s="25" t="n">
        <x:v>497.5</x:v>
      </x:c>
      <x:c r="V97" s="25" t="n">
        <x:v>4416</x:v>
      </x:c>
      <x:c r="W97" s="25" t="n">
        <x:v>2908.2240000000006</x:v>
      </x:c>
      <x:c r="X97" s="25" t="n">
        <x:v>43.623360000000005</x:v>
      </x:c>
      <x:c r="Y97" s="25" t="n">
        <x:v>21700</x:v>
      </x:c>
      <x:c r="Z97" s="25" t="n">
        <x:v>10840.65264</x:v>
      </x:c>
      <x:c r="AA97" s="25" t="n">
        <x:v>-10859.34736</x:v>
      </x:c>
      <x:c r="AB97" s="25" t="n">
        <x:v>-0.5456958472361809</x:v>
      </x:c>
      <x:c r="AC97" s="25" t="n">
        <x:v>0.49956924608294934</x:v>
      </x:c>
      <x:c r="AD97" s="25" t="n">
        <x:v>10840.65264</x:v>
      </x:c>
      <x:c r="AE97" s="25" t="n">
        <x:v>1890.3456000000006</x:v>
      </x:c>
      <x:c r="AF97" s="25" t="n">
        <x:v>4725.864000000001</x:v>
      </x:c>
      <x:c r="AG97" s="25" t="n">
        <x:v>-4.183097524600791</x:v>
      </x:c>
      <x:c r="AH97" s="25" t="n">
        <x:v>7.5376884422110555</x:v>
      </x:c>
      <x:c r="AI97" t="n">
        <x:f>Z97-Y97</x:f>
        <x:v>-10859.34736</x:v>
      </x:c>
      <x:c r="AJ97" t="n">
        <x:f>AA97/S97</x:f>
        <x:v>-0.5456958472361809</x:v>
      </x:c>
      <x:c r="AK97" t="n">
        <x:f>Z97/Y97</x:f>
        <x:v>0.49956924608294934</x:v>
      </x:c>
    </x:row>
    <x:row r="98" ht="15" hidden="0" customHeight="1">
      <x:c r="A98" s="25" t="str">
        <x:v>ONE</x:v>
      </x:c>
      <x:c r="B98" s="25" t="n">
        <x:v>10</x:v>
      </x:c>
      <x:c r="C98" s="25" t="str">
        <x:v>Côte d’Ivoire</x:v>
      </x:c>
      <x:c r="D98" s="25" t="str">
        <x:v>Stress</x:v>
      </x:c>
      <x:c r="E98" s="25" t="n">
        <x:v>8</x:v>
      </x:c>
      <x:c r="F98" s="25" t="n">
        <x:v>4</x:v>
      </x:c>
      <x:c r="G98" s="25" t="n">
        <x:v>2</x:v>
      </x:c>
      <x:c r="H98" s="25" t="n">
        <x:v>35</x:v>
      </x:c>
      <x:c r="I98" s="25" t="str">
        <x:v>Équilibré</x:v>
      </x:c>
      <x:c r="J98" s="25" t="n">
        <x:v>1</x:v>
      </x:c>
      <x:c r="K98" s="25" t="n">
        <x:v>34900</x:v>
      </x:c>
      <x:c r="L98" s="25" t="n">
        <x:v>0</x:v>
      </x:c>
      <x:c r="M98" s="25" t="n">
        <x:v>34900</x:v>
      </x:c>
      <x:c r="N98" s="25" t="n">
        <x:v>0.12</x:v>
      </x:c>
      <x:c r="O98" s="25" t="n">
        <x:v>1</x:v>
      </x:c>
      <x:c r="P98" s="25" t="n">
        <x:v>0.12</x:v>
      </x:c>
      <x:c r="Q98" s="25" t="n">
        <x:v>0.29700000000000004</x:v>
      </x:c>
      <x:c r="R98" s="25" t="n">
        <x:v>1.8</x:v>
      </x:c>
      <x:c r="S98" s="25" t="n">
        <x:v>34900</x:v>
      </x:c>
      <x:c r="T98" s="25" t="n">
        <x:v>2094</x:v>
      </x:c>
      <x:c r="U98" s="25" t="n">
        <x:v>872.5</x:v>
      </x:c>
      <x:c r="V98" s="25" t="n">
        <x:v>4416</x:v>
      </x:c>
      <x:c r="W98" s="25" t="n">
        <x:v>5816.448000000001</x:v>
      </x:c>
      <x:c r="X98" s="25" t="n">
        <x:v>87.24672000000001</x:v>
      </x:c>
      <x:c r="Y98" s="25" t="n">
        <x:v>17050</x:v>
      </x:c>
      <x:c r="Z98" s="25" t="n">
        <x:v>21613.80528</x:v>
      </x:c>
      <x:c r="AA98" s="25" t="n">
        <x:v>4563.8052800000005</x:v>
      </x:c>
      <x:c r="AB98" s="25" t="n">
        <x:v>0.13076805959885388</x:v>
      </x:c>
      <x:c r="AC98" s="25" t="n">
        <x:v>1.2676718639296187</x:v>
      </x:c>
      <x:c r="AD98" s="25" t="n">
        <x:v>21613.80528</x:v>
      </x:c>
      <x:c r="AE98" s="25" t="n">
        <x:v>3780.691200000001</x:v>
      </x:c>
      <x:c r="AF98" s="25" t="n">
        <x:v>9451.728000000003</x:v>
      </x:c>
      <x:c r="AG98" s="25" t="n">
        <x:v>2.7686736224317916</x:v>
      </x:c>
      <x:c r="AH98" s="25" t="n">
        <x:v>6.876790830945558</x:v>
      </x:c>
      <x:c r="AI98" t="n">
        <x:f>Z98-Y98</x:f>
        <x:v>4563.8052800000005</x:v>
      </x:c>
      <x:c r="AJ98" t="n">
        <x:f>AA98/S98</x:f>
        <x:v>0.13076805959885388</x:v>
      </x:c>
      <x:c r="AK98" t="n">
        <x:f>Z98/Y98</x:f>
        <x:v>1.2676718639296187</x:v>
      </x:c>
    </x:row>
    <x:row r="99" ht="15" hidden="0" customHeight="1">
      <x:c r="A99" s="25" t="str">
        <x:v>ONE</x:v>
      </x:c>
      <x:c r="B99" s="25" t="n">
        <x:v>10</x:v>
      </x:c>
      <x:c r="C99" s="25" t="str">
        <x:v>Cameroun</x:v>
      </x:c>
      <x:c r="D99" s="25" t="str">
        <x:v>Stress</x:v>
      </x:c>
      <x:c r="E99" s="25" t="n">
        <x:v>8</x:v>
      </x:c>
      <x:c r="F99" s="25" t="n">
        <x:v>4</x:v>
      </x:c>
      <x:c r="G99" s="25" t="n">
        <x:v>2</x:v>
      </x:c>
      <x:c r="H99" s="25" t="n">
        <x:v>35</x:v>
      </x:c>
      <x:c r="I99" s="25" t="str">
        <x:v>Équilibré</x:v>
      </x:c>
      <x:c r="J99" s="25" t="n">
        <x:v>1</x:v>
      </x:c>
      <x:c r="K99" s="25" t="n">
        <x:v>34900</x:v>
      </x:c>
      <x:c r="L99" s="25" t="n">
        <x:v>0</x:v>
      </x:c>
      <x:c r="M99" s="25" t="n">
        <x:v>34900</x:v>
      </x:c>
      <x:c r="N99" s="25" t="n">
        <x:v>0.12</x:v>
      </x:c>
      <x:c r="O99" s="25" t="n">
        <x:v>1</x:v>
      </x:c>
      <x:c r="P99" s="25" t="n">
        <x:v>0.12</x:v>
      </x:c>
      <x:c r="Q99" s="25" t="n">
        <x:v>0.29700000000000004</x:v>
      </x:c>
      <x:c r="R99" s="25" t="n">
        <x:v>1.8</x:v>
      </x:c>
      <x:c r="S99" s="25" t="n">
        <x:v>34900</x:v>
      </x:c>
      <x:c r="T99" s="25" t="n">
        <x:v>2094</x:v>
      </x:c>
      <x:c r="U99" s="25" t="n">
        <x:v>872.5</x:v>
      </x:c>
      <x:c r="V99" s="25" t="n">
        <x:v>4416</x:v>
      </x:c>
      <x:c r="W99" s="25" t="n">
        <x:v>5816.448000000001</x:v>
      </x:c>
      <x:c r="X99" s="25" t="n">
        <x:v>87.24672000000001</x:v>
      </x:c>
      <x:c r="Y99" s="25" t="n">
        <x:v>18600</x:v>
      </x:c>
      <x:c r="Z99" s="25" t="n">
        <x:v>21613.80528</x:v>
      </x:c>
      <x:c r="AA99" s="25" t="n">
        <x:v>3013.8052800000005</x:v>
      </x:c>
      <x:c r="AB99" s="25" t="n">
        <x:v>0.08635545214899715</x:v>
      </x:c>
      <x:c r="AC99" s="25" t="n">
        <x:v>1.162032541935484</x:v>
      </x:c>
      <x:c r="AD99" s="25" t="n">
        <x:v>21613.80528</x:v>
      </x:c>
      <x:c r="AE99" s="25" t="n">
        <x:v>3780.691200000001</x:v>
      </x:c>
      <x:c r="AF99" s="25" t="n">
        <x:v>9451.728000000003</x:v>
      </x:c>
      <x:c r="AG99" s="25" t="n">
        <x:v>2.3586956797741103</x:v>
      </x:c>
      <x:c r="AH99" s="25" t="n">
        <x:v>6.876790830945558</x:v>
      </x:c>
      <x:c r="AI99" t="n">
        <x:f>Z99-Y99</x:f>
        <x:v>3013.8052800000005</x:v>
      </x:c>
      <x:c r="AJ99" t="n">
        <x:f>AA99/S99</x:f>
        <x:v>0.08635545214899715</x:v>
      </x:c>
      <x:c r="AK99" t="n">
        <x:f>Z99/Y99</x:f>
        <x:v>1.162032541935484</x:v>
      </x:c>
    </x:row>
    <x:row r="100" ht="15" hidden="0" customHeight="1">
      <x:c r="A100" s="25" t="str">
        <x:v>ONE</x:v>
      </x:c>
      <x:c r="B100" s="25" t="n">
        <x:v>10</x:v>
      </x:c>
      <x:c r="C100" s="25" t="str">
        <x:v>Sénégal</x:v>
      </x:c>
      <x:c r="D100" s="25" t="str">
        <x:v>Stress</x:v>
      </x:c>
      <x:c r="E100" s="25" t="n">
        <x:v>8</x:v>
      </x:c>
      <x:c r="F100" s="25" t="n">
        <x:v>4</x:v>
      </x:c>
      <x:c r="G100" s="25" t="n">
        <x:v>2</x:v>
      </x:c>
      <x:c r="H100" s="25" t="n">
        <x:v>35</x:v>
      </x:c>
      <x:c r="I100" s="25" t="str">
        <x:v>Équilibré</x:v>
      </x:c>
      <x:c r="J100" s="25" t="n">
        <x:v>1</x:v>
      </x:c>
      <x:c r="K100" s="25" t="n">
        <x:v>34900</x:v>
      </x:c>
      <x:c r="L100" s="25" t="n">
        <x:v>0</x:v>
      </x:c>
      <x:c r="M100" s="25" t="n">
        <x:v>34900</x:v>
      </x:c>
      <x:c r="N100" s="25" t="n">
        <x:v>0.12</x:v>
      </x:c>
      <x:c r="O100" s="25" t="n">
        <x:v>1</x:v>
      </x:c>
      <x:c r="P100" s="25" t="n">
        <x:v>0.12</x:v>
      </x:c>
      <x:c r="Q100" s="25" t="n">
        <x:v>0.29700000000000004</x:v>
      </x:c>
      <x:c r="R100" s="25" t="n">
        <x:v>1.8</x:v>
      </x:c>
      <x:c r="S100" s="25" t="n">
        <x:v>34900</x:v>
      </x:c>
      <x:c r="T100" s="25" t="n">
        <x:v>2094</x:v>
      </x:c>
      <x:c r="U100" s="25" t="n">
        <x:v>872.5</x:v>
      </x:c>
      <x:c r="V100" s="25" t="n">
        <x:v>4416</x:v>
      </x:c>
      <x:c r="W100" s="25" t="n">
        <x:v>5816.448000000001</x:v>
      </x:c>
      <x:c r="X100" s="25" t="n">
        <x:v>87.24672000000001</x:v>
      </x:c>
      <x:c r="Y100" s="25" t="n">
        <x:v>23250</x:v>
      </x:c>
      <x:c r="Z100" s="25" t="n">
        <x:v>21613.80528</x:v>
      </x:c>
      <x:c r="AA100" s="25" t="n">
        <x:v>-1636.1947199999995</x:v>
      </x:c>
      <x:c r="AB100" s="25" t="n">
        <x:v>-0.04688237020057305</x:v>
      </x:c>
      <x:c r="AC100" s="25" t="n">
        <x:v>0.9296260335483871</x:v>
      </x:c>
      <x:c r="AD100" s="25" t="n">
        <x:v>21613.80528</x:v>
      </x:c>
      <x:c r="AE100" s="25" t="n">
        <x:v>3780.691200000001</x:v>
      </x:c>
      <x:c r="AF100" s="25" t="n">
        <x:v>9451.728000000003</x:v>
      </x:c>
      <x:c r="AG100" s="25" t="n">
        <x:v>1.1287618518010671</x:v>
      </x:c>
      <x:c r="AH100" s="25" t="n">
        <x:v>6.876790830945558</x:v>
      </x:c>
      <x:c r="AI100" t="n">
        <x:f>Z100-Y100</x:f>
        <x:v>-1636.1947199999995</x:v>
      </x:c>
      <x:c r="AJ100" t="n">
        <x:f>AA100/S100</x:f>
        <x:v>-0.04688237020057305</x:v>
      </x:c>
      <x:c r="AK100" t="n">
        <x:f>Z100/Y100</x:f>
        <x:v>0.9296260335483871</x:v>
      </x:c>
    </x:row>
    <x:row r="101" ht="15" hidden="0" customHeight="1">
      <x:c r="A101" s="25" t="str">
        <x:v>ONE</x:v>
      </x:c>
      <x:c r="B101" s="25" t="n">
        <x:v>10</x:v>
      </x:c>
      <x:c r="C101" s="25" t="str">
        <x:v>Bénin</x:v>
      </x:c>
      <x:c r="D101" s="25" t="str">
        <x:v>Stress</x:v>
      </x:c>
      <x:c r="E101" s="25" t="n">
        <x:v>8</x:v>
      </x:c>
      <x:c r="F101" s="25" t="n">
        <x:v>4</x:v>
      </x:c>
      <x:c r="G101" s="25" t="n">
        <x:v>2</x:v>
      </x:c>
      <x:c r="H101" s="25" t="n">
        <x:v>35</x:v>
      </x:c>
      <x:c r="I101" s="25" t="str">
        <x:v>Équilibré</x:v>
      </x:c>
      <x:c r="J101" s="25" t="n">
        <x:v>1</x:v>
      </x:c>
      <x:c r="K101" s="25" t="n">
        <x:v>34900</x:v>
      </x:c>
      <x:c r="L101" s="25" t="n">
        <x:v>0</x:v>
      </x:c>
      <x:c r="M101" s="25" t="n">
        <x:v>34900</x:v>
      </x:c>
      <x:c r="N101" s="25" t="n">
        <x:v>0.12</x:v>
      </x:c>
      <x:c r="O101" s="25" t="n">
        <x:v>1</x:v>
      </x:c>
      <x:c r="P101" s="25" t="n">
        <x:v>0.12</x:v>
      </x:c>
      <x:c r="Q101" s="25" t="n">
        <x:v>0.29700000000000004</x:v>
      </x:c>
      <x:c r="R101" s="25" t="n">
        <x:v>1.8</x:v>
      </x:c>
      <x:c r="S101" s="25" t="n">
        <x:v>34900</x:v>
      </x:c>
      <x:c r="T101" s="25" t="n">
        <x:v>2094</x:v>
      </x:c>
      <x:c r="U101" s="25" t="n">
        <x:v>872.5</x:v>
      </x:c>
      <x:c r="V101" s="25" t="n">
        <x:v>4416</x:v>
      </x:c>
      <x:c r="W101" s="25" t="n">
        <x:v>5816.448000000001</x:v>
      </x:c>
      <x:c r="X101" s="25" t="n">
        <x:v>87.24672000000001</x:v>
      </x:c>
      <x:c r="Y101" s="25" t="n">
        <x:v>15500</x:v>
      </x:c>
      <x:c r="Z101" s="25" t="n">
        <x:v>21613.80528</x:v>
      </x:c>
      <x:c r="AA101" s="25" t="n">
        <x:v>6113.8052800000005</x:v>
      </x:c>
      <x:c r="AB101" s="25" t="n">
        <x:v>0.1751806670487106</x:v>
      </x:c>
      <x:c r="AC101" s="25" t="n">
        <x:v>1.3944390503225808</x:v>
      </x:c>
      <x:c r="AD101" s="25" t="n">
        <x:v>21613.80528</x:v>
      </x:c>
      <x:c r="AE101" s="25" t="n">
        <x:v>3780.691200000001</x:v>
      </x:c>
      <x:c r="AF101" s="25" t="n">
        <x:v>9451.728000000003</x:v>
      </x:c>
      <x:c r="AG101" s="25" t="n">
        <x:v>3.1786515650894724</x:v>
      </x:c>
      <x:c r="AH101" s="25" t="n">
        <x:v>6.876790830945558</x:v>
      </x:c>
      <x:c r="AI101" t="n">
        <x:f>Z101-Y101</x:f>
        <x:v>6113.8052800000005</x:v>
      </x:c>
      <x:c r="AJ101" t="n">
        <x:f>AA101/S101</x:f>
        <x:v>0.1751806670487106</x:v>
      </x:c>
      <x:c r="AK101" t="n">
        <x:f>Z101/Y101</x:f>
        <x:v>1.3944390503225808</x:v>
      </x:c>
    </x:row>
    <x:row r="102" ht="15" hidden="0" customHeight="1">
      <x:c r="A102" s="25" t="str">
        <x:v>ONE</x:v>
      </x:c>
      <x:c r="B102" s="25" t="n">
        <x:v>10</x:v>
      </x:c>
      <x:c r="C102" s="25" t="str">
        <x:v>Burkina Faso</x:v>
      </x:c>
      <x:c r="D102" s="25" t="str">
        <x:v>Stress</x:v>
      </x:c>
      <x:c r="E102" s="25" t="n">
        <x:v>8</x:v>
      </x:c>
      <x:c r="F102" s="25" t="n">
        <x:v>4</x:v>
      </x:c>
      <x:c r="G102" s="25" t="n">
        <x:v>2</x:v>
      </x:c>
      <x:c r="H102" s="25" t="n">
        <x:v>35</x:v>
      </x:c>
      <x:c r="I102" s="25" t="str">
        <x:v>Équilibré</x:v>
      </x:c>
      <x:c r="J102" s="25" t="n">
        <x:v>1</x:v>
      </x:c>
      <x:c r="K102" s="25" t="n">
        <x:v>34900</x:v>
      </x:c>
      <x:c r="L102" s="25" t="n">
        <x:v>0</x:v>
      </x:c>
      <x:c r="M102" s="25" t="n">
        <x:v>34900</x:v>
      </x:c>
      <x:c r="N102" s="25" t="n">
        <x:v>0.12</x:v>
      </x:c>
      <x:c r="O102" s="25" t="n">
        <x:v>1</x:v>
      </x:c>
      <x:c r="P102" s="25" t="n">
        <x:v>0.12</x:v>
      </x:c>
      <x:c r="Q102" s="25" t="n">
        <x:v>0.29700000000000004</x:v>
      </x:c>
      <x:c r="R102" s="25" t="n">
        <x:v>1.8</x:v>
      </x:c>
      <x:c r="S102" s="25" t="n">
        <x:v>34900</x:v>
      </x:c>
      <x:c r="T102" s="25" t="n">
        <x:v>2094</x:v>
      </x:c>
      <x:c r="U102" s="25" t="n">
        <x:v>872.5</x:v>
      </x:c>
      <x:c r="V102" s="25" t="n">
        <x:v>4416</x:v>
      </x:c>
      <x:c r="W102" s="25" t="n">
        <x:v>5816.448000000001</x:v>
      </x:c>
      <x:c r="X102" s="25" t="n">
        <x:v>87.24672000000001</x:v>
      </x:c>
      <x:c r="Y102" s="25" t="n">
        <x:v>17825</x:v>
      </x:c>
      <x:c r="Z102" s="25" t="n">
        <x:v>21613.80528</x:v>
      </x:c>
      <x:c r="AA102" s="25" t="n">
        <x:v>3788.8052800000005</x:v>
      </x:c>
      <x:c r="AB102" s="25" t="n">
        <x:v>0.10856175587392551</x:v>
      </x:c>
      <x:c r="AC102" s="25" t="n">
        <x:v>1.2125556959326789</x:v>
      </x:c>
      <x:c r="AD102" s="25" t="n">
        <x:v>21613.80528</x:v>
      </x:c>
      <x:c r="AE102" s="25" t="n">
        <x:v>3780.691200000001</x:v>
      </x:c>
      <x:c r="AF102" s="25" t="n">
        <x:v>9451.728000000003</x:v>
      </x:c>
      <x:c r="AG102" s="25" t="n">
        <x:v>2.563684651102951</x:v>
      </x:c>
      <x:c r="AH102" s="25" t="n">
        <x:v>6.876790830945558</x:v>
      </x:c>
      <x:c r="AI102" t="n">
        <x:f>Z102-Y102</x:f>
        <x:v>3788.8052800000005</x:v>
      </x:c>
      <x:c r="AJ102" t="n">
        <x:f>AA102/S102</x:f>
        <x:v>0.10856175587392551</x:v>
      </x:c>
      <x:c r="AK102" t="n">
        <x:f>Z102/Y102</x:f>
        <x:v>1.2125556959326789</x:v>
      </x:c>
    </x:row>
    <x:row r="103" ht="15" hidden="0" customHeight="1">
      <x:c r="A103" s="25" t="str">
        <x:v>ONE</x:v>
      </x:c>
      <x:c r="B103" s="25" t="n">
        <x:v>10</x:v>
      </x:c>
      <x:c r="C103" s="25" t="str">
        <x:v>Togo</x:v>
      </x:c>
      <x:c r="D103" s="25" t="str">
        <x:v>Stress</x:v>
      </x:c>
      <x:c r="E103" s="25" t="n">
        <x:v>8</x:v>
      </x:c>
      <x:c r="F103" s="25" t="n">
        <x:v>4</x:v>
      </x:c>
      <x:c r="G103" s="25" t="n">
        <x:v>2</x:v>
      </x:c>
      <x:c r="H103" s="25" t="n">
        <x:v>35</x:v>
      </x:c>
      <x:c r="I103" s="25" t="str">
        <x:v>Équilibré</x:v>
      </x:c>
      <x:c r="J103" s="25" t="n">
        <x:v>1</x:v>
      </x:c>
      <x:c r="K103" s="25" t="n">
        <x:v>34900</x:v>
      </x:c>
      <x:c r="L103" s="25" t="n">
        <x:v>0</x:v>
      </x:c>
      <x:c r="M103" s="25" t="n">
        <x:v>34900</x:v>
      </x:c>
      <x:c r="N103" s="25" t="n">
        <x:v>0.12</x:v>
      </x:c>
      <x:c r="O103" s="25" t="n">
        <x:v>1</x:v>
      </x:c>
      <x:c r="P103" s="25" t="n">
        <x:v>0.12</x:v>
      </x:c>
      <x:c r="Q103" s="25" t="n">
        <x:v>0.29700000000000004</x:v>
      </x:c>
      <x:c r="R103" s="25" t="n">
        <x:v>1.8</x:v>
      </x:c>
      <x:c r="S103" s="25" t="n">
        <x:v>34900</x:v>
      </x:c>
      <x:c r="T103" s="25" t="n">
        <x:v>2094</x:v>
      </x:c>
      <x:c r="U103" s="25" t="n">
        <x:v>872.5</x:v>
      </x:c>
      <x:c r="V103" s="25" t="n">
        <x:v>4416</x:v>
      </x:c>
      <x:c r="W103" s="25" t="n">
        <x:v>5816.448000000001</x:v>
      </x:c>
      <x:c r="X103" s="25" t="n">
        <x:v>87.24672000000001</x:v>
      </x:c>
      <x:c r="Y103" s="25" t="n">
        <x:v>21700</x:v>
      </x:c>
      <x:c r="Z103" s="25" t="n">
        <x:v>21613.80528</x:v>
      </x:c>
      <x:c r="AA103" s="25" t="n">
        <x:v>-86.1947199999995</x:v>
      </x:c>
      <x:c r="AB103" s="25" t="n">
        <x:v>-0.0024697627507163184</x:v>
      </x:c>
      <x:c r="AC103" s="25" t="n">
        <x:v>0.9960278930875577</x:v>
      </x:c>
      <x:c r="AD103" s="25" t="n">
        <x:v>21613.80528</x:v>
      </x:c>
      <x:c r="AE103" s="25" t="n">
        <x:v>3780.691200000001</x:v>
      </x:c>
      <x:c r="AF103" s="25" t="n">
        <x:v>9451.728000000003</x:v>
      </x:c>
      <x:c r="AG103" s="25" t="n">
        <x:v>1.5387397944587482</x:v>
      </x:c>
      <x:c r="AH103" s="25" t="n">
        <x:v>6.876790830945558</x:v>
      </x:c>
      <x:c r="AI103" t="n">
        <x:f>Z103-Y103</x:f>
        <x:v>-86.1947199999995</x:v>
      </x:c>
      <x:c r="AJ103" t="n">
        <x:f>AA103/S103</x:f>
        <x:v>-0.0024697627507163184</x:v>
      </x:c>
      <x:c r="AK103" t="n">
        <x:f>Z103/Y103</x:f>
        <x:v>0.9960278930875577</x:v>
      </x:c>
    </x:row>
    <x:row r="104" ht="15" hidden="0" customHeight="1">
      <x:c r="A104" s="25" t="str">
        <x:v>ONE</x:v>
      </x:c>
      <x:c r="B104" s="25" t="n">
        <x:v>25</x:v>
      </x:c>
      <x:c r="C104" s="25" t="str">
        <x:v>Côte d’Ivoire</x:v>
      </x:c>
      <x:c r="D104" s="25" t="str">
        <x:v>Stress</x:v>
      </x:c>
      <x:c r="E104" s="25" t="n">
        <x:v>8</x:v>
      </x:c>
      <x:c r="F104" s="25" t="n">
        <x:v>4</x:v>
      </x:c>
      <x:c r="G104" s="25" t="n">
        <x:v>2</x:v>
      </x:c>
      <x:c r="H104" s="25" t="n">
        <x:v>35</x:v>
      </x:c>
      <x:c r="I104" s="25" t="str">
        <x:v>Équilibré</x:v>
      </x:c>
      <x:c r="J104" s="25" t="n">
        <x:v>1</x:v>
      </x:c>
      <x:c r="K104" s="25" t="n">
        <x:v>69900</x:v>
      </x:c>
      <x:c r="L104" s="25" t="n">
        <x:v>0</x:v>
      </x:c>
      <x:c r="M104" s="25" t="n">
        <x:v>69900</x:v>
      </x:c>
      <x:c r="N104" s="25" t="n">
        <x:v>0.12</x:v>
      </x:c>
      <x:c r="O104" s="25" t="n">
        <x:v>1</x:v>
      </x:c>
      <x:c r="P104" s="25" t="n">
        <x:v>0.12</x:v>
      </x:c>
      <x:c r="Q104" s="25" t="n">
        <x:v>0.29700000000000004</x:v>
      </x:c>
      <x:c r="R104" s="25" t="n">
        <x:v>1.8</x:v>
      </x:c>
      <x:c r="S104" s="25" t="n">
        <x:v>69900</x:v>
      </x:c>
      <x:c r="T104" s="25" t="n">
        <x:v>4194</x:v>
      </x:c>
      <x:c r="U104" s="25" t="n">
        <x:v>1747.5</x:v>
      </x:c>
      <x:c r="V104" s="25" t="n">
        <x:v>4416</x:v>
      </x:c>
      <x:c r="W104" s="25" t="n">
        <x:v>14541.120000000003</x:v>
      </x:c>
      <x:c r="X104" s="25" t="n">
        <x:v>218.11680000000004</x:v>
      </x:c>
      <x:c r="Y104" s="25" t="n">
        <x:v>17050</x:v>
      </x:c>
      <x:c r="Z104" s="25" t="n">
        <x:v>44783.263199999994</x:v>
      </x:c>
      <x:c r="AA104" s="25" t="n">
        <x:v>27733.263199999994</x:v>
      </x:c>
      <x:c r="AB104" s="25" t="n">
        <x:v>0.39675626895565086</x:v>
      </x:c>
      <x:c r="AC104" s="25" t="n">
        <x:v>2.626584351906158</x:v>
      </x:c>
      <x:c r="AD104" s="25" t="n">
        <x:v>44783.263199999994</x:v>
      </x:c>
      <x:c r="AE104" s="25" t="n">
        <x:v>9451.728000000003</x:v>
      </x:c>
      <x:c r="AF104" s="25" t="n">
        <x:v>23629.320000000007</x:v>
      </x:c>
      <x:c r="AG104" s="25" t="n">
        <x:v>4.495738768614585</x:v>
      </x:c>
      <x:c r="AH104" s="25" t="n">
        <x:v>7.725321888412017</x:v>
      </x:c>
      <x:c r="AI104" t="n">
        <x:f>Z104-Y104</x:f>
        <x:v>27733.263199999994</x:v>
      </x:c>
      <x:c r="AJ104" t="n">
        <x:f>AA104/S104</x:f>
        <x:v>0.39675626895565086</x:v>
      </x:c>
      <x:c r="AK104" t="n">
        <x:f>Z104/Y104</x:f>
        <x:v>2.626584351906158</x:v>
      </x:c>
    </x:row>
    <x:row r="105" ht="15" hidden="0" customHeight="1">
      <x:c r="A105" s="25" t="str">
        <x:v>ONE</x:v>
      </x:c>
      <x:c r="B105" s="25" t="n">
        <x:v>25</x:v>
      </x:c>
      <x:c r="C105" s="25" t="str">
        <x:v>Cameroun</x:v>
      </x:c>
      <x:c r="D105" s="25" t="str">
        <x:v>Stress</x:v>
      </x:c>
      <x:c r="E105" s="25" t="n">
        <x:v>8</x:v>
      </x:c>
      <x:c r="F105" s="25" t="n">
        <x:v>4</x:v>
      </x:c>
      <x:c r="G105" s="25" t="n">
        <x:v>2</x:v>
      </x:c>
      <x:c r="H105" s="25" t="n">
        <x:v>35</x:v>
      </x:c>
      <x:c r="I105" s="25" t="str">
        <x:v>Équilibré</x:v>
      </x:c>
      <x:c r="J105" s="25" t="n">
        <x:v>1</x:v>
      </x:c>
      <x:c r="K105" s="25" t="n">
        <x:v>69900</x:v>
      </x:c>
      <x:c r="L105" s="25" t="n">
        <x:v>0</x:v>
      </x:c>
      <x:c r="M105" s="25" t="n">
        <x:v>69900</x:v>
      </x:c>
      <x:c r="N105" s="25" t="n">
        <x:v>0.12</x:v>
      </x:c>
      <x:c r="O105" s="25" t="n">
        <x:v>1</x:v>
      </x:c>
      <x:c r="P105" s="25" t="n">
        <x:v>0.12</x:v>
      </x:c>
      <x:c r="Q105" s="25" t="n">
        <x:v>0.29700000000000004</x:v>
      </x:c>
      <x:c r="R105" s="25" t="n">
        <x:v>1.8</x:v>
      </x:c>
      <x:c r="S105" s="25" t="n">
        <x:v>69900</x:v>
      </x:c>
      <x:c r="T105" s="25" t="n">
        <x:v>4194</x:v>
      </x:c>
      <x:c r="U105" s="25" t="n">
        <x:v>1747.5</x:v>
      </x:c>
      <x:c r="V105" s="25" t="n">
        <x:v>4416</x:v>
      </x:c>
      <x:c r="W105" s="25" t="n">
        <x:v>14541.120000000003</x:v>
      </x:c>
      <x:c r="X105" s="25" t="n">
        <x:v>218.11680000000004</x:v>
      </x:c>
      <x:c r="Y105" s="25" t="n">
        <x:v>18600</x:v>
      </x:c>
      <x:c r="Z105" s="25" t="n">
        <x:v>44783.263199999994</x:v>
      </x:c>
      <x:c r="AA105" s="25" t="n">
        <x:v>26183.263199999994</x:v>
      </x:c>
      <x:c r="AB105" s="25" t="n">
        <x:v>0.3745817339055793</x:v>
      </x:c>
      <x:c r="AC105" s="25" t="n">
        <x:v>2.407702322580645</x:v>
      </x:c>
      <x:c r="AD105" s="25" t="n">
        <x:v>44783.263199999994</x:v>
      </x:c>
      <x:c r="AE105" s="25" t="n">
        <x:v>9451.728000000003</x:v>
      </x:c>
      <x:c r="AF105" s="25" t="n">
        <x:v>23629.320000000007</x:v>
      </x:c>
      <x:c r="AG105" s="25" t="n">
        <x:v>4.331747591551512</x:v>
      </x:c>
      <x:c r="AH105" s="25" t="n">
        <x:v>7.725321888412017</x:v>
      </x:c>
      <x:c r="AI105" t="n">
        <x:f>Z105-Y105</x:f>
        <x:v>26183.263199999994</x:v>
      </x:c>
      <x:c r="AJ105" t="n">
        <x:f>AA105/S105</x:f>
        <x:v>0.3745817339055793</x:v>
      </x:c>
      <x:c r="AK105" t="n">
        <x:f>Z105/Y105</x:f>
        <x:v>2.407702322580645</x:v>
      </x:c>
    </x:row>
    <x:row r="106" ht="15" hidden="0" customHeight="1">
      <x:c r="A106" s="25" t="str">
        <x:v>ONE</x:v>
      </x:c>
      <x:c r="B106" s="25" t="n">
        <x:v>25</x:v>
      </x:c>
      <x:c r="C106" s="25" t="str">
        <x:v>Sénégal</x:v>
      </x:c>
      <x:c r="D106" s="25" t="str">
        <x:v>Stress</x:v>
      </x:c>
      <x:c r="E106" s="25" t="n">
        <x:v>8</x:v>
      </x:c>
      <x:c r="F106" s="25" t="n">
        <x:v>4</x:v>
      </x:c>
      <x:c r="G106" s="25" t="n">
        <x:v>2</x:v>
      </x:c>
      <x:c r="H106" s="25" t="n">
        <x:v>35</x:v>
      </x:c>
      <x:c r="I106" s="25" t="str">
        <x:v>Équilibré</x:v>
      </x:c>
      <x:c r="J106" s="25" t="n">
        <x:v>1</x:v>
      </x:c>
      <x:c r="K106" s="25" t="n">
        <x:v>69900</x:v>
      </x:c>
      <x:c r="L106" s="25" t="n">
        <x:v>0</x:v>
      </x:c>
      <x:c r="M106" s="25" t="n">
        <x:v>69900</x:v>
      </x:c>
      <x:c r="N106" s="25" t="n">
        <x:v>0.12</x:v>
      </x:c>
      <x:c r="O106" s="25" t="n">
        <x:v>1</x:v>
      </x:c>
      <x:c r="P106" s="25" t="n">
        <x:v>0.12</x:v>
      </x:c>
      <x:c r="Q106" s="25" t="n">
        <x:v>0.29700000000000004</x:v>
      </x:c>
      <x:c r="R106" s="25" t="n">
        <x:v>1.8</x:v>
      </x:c>
      <x:c r="S106" s="25" t="n">
        <x:v>69900</x:v>
      </x:c>
      <x:c r="T106" s="25" t="n">
        <x:v>4194</x:v>
      </x:c>
      <x:c r="U106" s="25" t="n">
        <x:v>1747.5</x:v>
      </x:c>
      <x:c r="V106" s="25" t="n">
        <x:v>4416</x:v>
      </x:c>
      <x:c r="W106" s="25" t="n">
        <x:v>14541.120000000003</x:v>
      </x:c>
      <x:c r="X106" s="25" t="n">
        <x:v>218.11680000000004</x:v>
      </x:c>
      <x:c r="Y106" s="25" t="n">
        <x:v>23250</x:v>
      </x:c>
      <x:c r="Z106" s="25" t="n">
        <x:v>44783.263199999994</x:v>
      </x:c>
      <x:c r="AA106" s="25" t="n">
        <x:v>21533.263199999994</x:v>
      </x:c>
      <x:c r="AB106" s="25" t="n">
        <x:v>0.3080581287553647</x:v>
      </x:c>
      <x:c r="AC106" s="25" t="n">
        <x:v>1.926161858064516</x:v>
      </x:c>
      <x:c r="AD106" s="25" t="n">
        <x:v>44783.263199999994</x:v>
      </x:c>
      <x:c r="AE106" s="25" t="n">
        <x:v>9451.728000000003</x:v>
      </x:c>
      <x:c r="AF106" s="25" t="n">
        <x:v>23629.320000000007</x:v>
      </x:c>
      <x:c r="AG106" s="25" t="n">
        <x:v>3.8397740603622945</x:v>
      </x:c>
      <x:c r="AH106" s="25" t="n">
        <x:v>7.725321888412017</x:v>
      </x:c>
      <x:c r="AI106" t="n">
        <x:f>Z106-Y106</x:f>
        <x:v>21533.263199999994</x:v>
      </x:c>
      <x:c r="AJ106" t="n">
        <x:f>AA106/S106</x:f>
        <x:v>0.3080581287553647</x:v>
      </x:c>
      <x:c r="AK106" t="n">
        <x:f>Z106/Y106</x:f>
        <x:v>1.926161858064516</x:v>
      </x:c>
    </x:row>
    <x:row r="107" ht="15" hidden="0" customHeight="1">
      <x:c r="A107" s="25" t="str">
        <x:v>ONE</x:v>
      </x:c>
      <x:c r="B107" s="25" t="n">
        <x:v>25</x:v>
      </x:c>
      <x:c r="C107" s="25" t="str">
        <x:v>Bénin</x:v>
      </x:c>
      <x:c r="D107" s="25" t="str">
        <x:v>Stress</x:v>
      </x:c>
      <x:c r="E107" s="25" t="n">
        <x:v>8</x:v>
      </x:c>
      <x:c r="F107" s="25" t="n">
        <x:v>4</x:v>
      </x:c>
      <x:c r="G107" s="25" t="n">
        <x:v>2</x:v>
      </x:c>
      <x:c r="H107" s="25" t="n">
        <x:v>35</x:v>
      </x:c>
      <x:c r="I107" s="25" t="str">
        <x:v>Équilibré</x:v>
      </x:c>
      <x:c r="J107" s="25" t="n">
        <x:v>1</x:v>
      </x:c>
      <x:c r="K107" s="25" t="n">
        <x:v>69900</x:v>
      </x:c>
      <x:c r="L107" s="25" t="n">
        <x:v>0</x:v>
      </x:c>
      <x:c r="M107" s="25" t="n">
        <x:v>69900</x:v>
      </x:c>
      <x:c r="N107" s="25" t="n">
        <x:v>0.12</x:v>
      </x:c>
      <x:c r="O107" s="25" t="n">
        <x:v>1</x:v>
      </x:c>
      <x:c r="P107" s="25" t="n">
        <x:v>0.12</x:v>
      </x:c>
      <x:c r="Q107" s="25" t="n">
        <x:v>0.29700000000000004</x:v>
      </x:c>
      <x:c r="R107" s="25" t="n">
        <x:v>1.8</x:v>
      </x:c>
      <x:c r="S107" s="25" t="n">
        <x:v>69900</x:v>
      </x:c>
      <x:c r="T107" s="25" t="n">
        <x:v>4194</x:v>
      </x:c>
      <x:c r="U107" s="25" t="n">
        <x:v>1747.5</x:v>
      </x:c>
      <x:c r="V107" s="25" t="n">
        <x:v>4416</x:v>
      </x:c>
      <x:c r="W107" s="25" t="n">
        <x:v>14541.120000000003</x:v>
      </x:c>
      <x:c r="X107" s="25" t="n">
        <x:v>218.11680000000004</x:v>
      </x:c>
      <x:c r="Y107" s="25" t="n">
        <x:v>15500</x:v>
      </x:c>
      <x:c r="Z107" s="25" t="n">
        <x:v>44783.263199999994</x:v>
      </x:c>
      <x:c r="AA107" s="25" t="n">
        <x:v>29283.263199999994</x:v>
      </x:c>
      <x:c r="AB107" s="25" t="n">
        <x:v>0.41893080400572236</x:v>
      </x:c>
      <x:c r="AC107" s="25" t="n">
        <x:v>2.889242787096774</x:v>
      </x:c>
      <x:c r="AD107" s="25" t="n">
        <x:v>44783.263199999994</x:v>
      </x:c>
      <x:c r="AE107" s="25" t="n">
        <x:v>9451.728000000003</x:v>
      </x:c>
      <x:c r="AF107" s="25" t="n">
        <x:v>23629.320000000007</x:v>
      </x:c>
      <x:c r="AG107" s="25" t="n">
        <x:v>4.659729945677657</x:v>
      </x:c>
      <x:c r="AH107" s="25" t="n">
        <x:v>7.725321888412017</x:v>
      </x:c>
      <x:c r="AI107" t="n">
        <x:f>Z107-Y107</x:f>
        <x:v>29283.263199999994</x:v>
      </x:c>
      <x:c r="AJ107" t="n">
        <x:f>AA107/S107</x:f>
        <x:v>0.41893080400572236</x:v>
      </x:c>
      <x:c r="AK107" t="n">
        <x:f>Z107/Y107</x:f>
        <x:v>2.889242787096774</x:v>
      </x:c>
    </x:row>
    <x:row r="108" ht="15" hidden="0" customHeight="1">
      <x:c r="A108" s="25" t="str">
        <x:v>ONE</x:v>
      </x:c>
      <x:c r="B108" s="25" t="n">
        <x:v>25</x:v>
      </x:c>
      <x:c r="C108" s="25" t="str">
        <x:v>Burkina Faso</x:v>
      </x:c>
      <x:c r="D108" s="25" t="str">
        <x:v>Stress</x:v>
      </x:c>
      <x:c r="E108" s="25" t="n">
        <x:v>8</x:v>
      </x:c>
      <x:c r="F108" s="25" t="n">
        <x:v>4</x:v>
      </x:c>
      <x:c r="G108" s="25" t="n">
        <x:v>2</x:v>
      </x:c>
      <x:c r="H108" s="25" t="n">
        <x:v>35</x:v>
      </x:c>
      <x:c r="I108" s="25" t="str">
        <x:v>Équilibré</x:v>
      </x:c>
      <x:c r="J108" s="25" t="n">
        <x:v>1</x:v>
      </x:c>
      <x:c r="K108" s="25" t="n">
        <x:v>69900</x:v>
      </x:c>
      <x:c r="L108" s="25" t="n">
        <x:v>0</x:v>
      </x:c>
      <x:c r="M108" s="25" t="n">
        <x:v>69900</x:v>
      </x:c>
      <x:c r="N108" s="25" t="n">
        <x:v>0.12</x:v>
      </x:c>
      <x:c r="O108" s="25" t="n">
        <x:v>1</x:v>
      </x:c>
      <x:c r="P108" s="25" t="n">
        <x:v>0.12</x:v>
      </x:c>
      <x:c r="Q108" s="25" t="n">
        <x:v>0.29700000000000004</x:v>
      </x:c>
      <x:c r="R108" s="25" t="n">
        <x:v>1.8</x:v>
      </x:c>
      <x:c r="S108" s="25" t="n">
        <x:v>69900</x:v>
      </x:c>
      <x:c r="T108" s="25" t="n">
        <x:v>4194</x:v>
      </x:c>
      <x:c r="U108" s="25" t="n">
        <x:v>1747.5</x:v>
      </x:c>
      <x:c r="V108" s="25" t="n">
        <x:v>4416</x:v>
      </x:c>
      <x:c r="W108" s="25" t="n">
        <x:v>14541.120000000003</x:v>
      </x:c>
      <x:c r="X108" s="25" t="n">
        <x:v>218.11680000000004</x:v>
      </x:c>
      <x:c r="Y108" s="25" t="n">
        <x:v>17825</x:v>
      </x:c>
      <x:c r="Z108" s="25" t="n">
        <x:v>44783.263199999994</x:v>
      </x:c>
      <x:c r="AA108" s="25" t="n">
        <x:v>26958.263199999994</x:v>
      </x:c>
      <x:c r="AB108" s="25" t="n">
        <x:v>0.38566900143061505</x:v>
      </x:c>
      <x:c r="AC108" s="25" t="n">
        <x:v>2.5123850322580643</x:v>
      </x:c>
      <x:c r="AD108" s="25" t="n">
        <x:v>44783.263199999994</x:v>
      </x:c>
      <x:c r="AE108" s="25" t="n">
        <x:v>9451.728000000003</x:v>
      </x:c>
      <x:c r="AF108" s="25" t="n">
        <x:v>23629.320000000007</x:v>
      </x:c>
      <x:c r="AG108" s="25" t="n">
        <x:v>4.413743180083048</x:v>
      </x:c>
      <x:c r="AH108" s="25" t="n">
        <x:v>7.725321888412017</x:v>
      </x:c>
      <x:c r="AI108" t="n">
        <x:f>Z108-Y108</x:f>
        <x:v>26958.263199999994</x:v>
      </x:c>
      <x:c r="AJ108" t="n">
        <x:f>AA108/S108</x:f>
        <x:v>0.38566900143061505</x:v>
      </x:c>
      <x:c r="AK108" t="n">
        <x:f>Z108/Y108</x:f>
        <x:v>2.5123850322580643</x:v>
      </x:c>
    </x:row>
    <x:row r="109" ht="15" hidden="0" customHeight="1">
      <x:c r="A109" s="25" t="str">
        <x:v>ONE</x:v>
      </x:c>
      <x:c r="B109" s="25" t="n">
        <x:v>25</x:v>
      </x:c>
      <x:c r="C109" s="25" t="str">
        <x:v>Togo</x:v>
      </x:c>
      <x:c r="D109" s="25" t="str">
        <x:v>Stress</x:v>
      </x:c>
      <x:c r="E109" s="25" t="n">
        <x:v>8</x:v>
      </x:c>
      <x:c r="F109" s="25" t="n">
        <x:v>4</x:v>
      </x:c>
      <x:c r="G109" s="25" t="n">
        <x:v>2</x:v>
      </x:c>
      <x:c r="H109" s="25" t="n">
        <x:v>35</x:v>
      </x:c>
      <x:c r="I109" s="25" t="str">
        <x:v>Équilibré</x:v>
      </x:c>
      <x:c r="J109" s="25" t="n">
        <x:v>1</x:v>
      </x:c>
      <x:c r="K109" s="25" t="n">
        <x:v>69900</x:v>
      </x:c>
      <x:c r="L109" s="25" t="n">
        <x:v>0</x:v>
      </x:c>
      <x:c r="M109" s="25" t="n">
        <x:v>69900</x:v>
      </x:c>
      <x:c r="N109" s="25" t="n">
        <x:v>0.12</x:v>
      </x:c>
      <x:c r="O109" s="25" t="n">
        <x:v>1</x:v>
      </x:c>
      <x:c r="P109" s="25" t="n">
        <x:v>0.12</x:v>
      </x:c>
      <x:c r="Q109" s="25" t="n">
        <x:v>0.29700000000000004</x:v>
      </x:c>
      <x:c r="R109" s="25" t="n">
        <x:v>1.8</x:v>
      </x:c>
      <x:c r="S109" s="25" t="n">
        <x:v>69900</x:v>
      </x:c>
      <x:c r="T109" s="25" t="n">
        <x:v>4194</x:v>
      </x:c>
      <x:c r="U109" s="25" t="n">
        <x:v>1747.5</x:v>
      </x:c>
      <x:c r="V109" s="25" t="n">
        <x:v>4416</x:v>
      </x:c>
      <x:c r="W109" s="25" t="n">
        <x:v>14541.120000000003</x:v>
      </x:c>
      <x:c r="X109" s="25" t="n">
        <x:v>218.11680000000004</x:v>
      </x:c>
      <x:c r="Y109" s="25" t="n">
        <x:v>21700</x:v>
      </x:c>
      <x:c r="Z109" s="25" t="n">
        <x:v>44783.263199999994</x:v>
      </x:c>
      <x:c r="AA109" s="25" t="n">
        <x:v>23083.263199999994</x:v>
      </x:c>
      <x:c r="AB109" s="25" t="n">
        <x:v>0.33023266380543626</x:v>
      </x:c>
      <x:c r="AC109" s="25" t="n">
        <x:v>2.0637448479262672</x:v>
      </x:c>
      <x:c r="AD109" s="25" t="n">
        <x:v>44783.263199999994</x:v>
      </x:c>
      <x:c r="AE109" s="25" t="n">
        <x:v>9451.728000000003</x:v>
      </x:c>
      <x:c r="AF109" s="25" t="n">
        <x:v>23629.320000000007</x:v>
      </x:c>
      <x:c r="AG109" s="25" t="n">
        <x:v>4.003765237425367</x:v>
      </x:c>
      <x:c r="AH109" s="25" t="n">
        <x:v>7.725321888412017</x:v>
      </x:c>
      <x:c r="AI109" t="n">
        <x:f>Z109-Y109</x:f>
        <x:v>23083.263199999994</x:v>
      </x:c>
      <x:c r="AJ109" t="n">
        <x:f>AA109/S109</x:f>
        <x:v>0.33023266380543626</x:v>
      </x:c>
      <x:c r="AK109" t="n">
        <x:f>Z109/Y109</x:f>
        <x:v>2.0637448479262672</x:v>
      </x:c>
    </x:row>
    <x:row r="110" ht="15" hidden="0" customHeight="1">
      <x:c r="A110" s="25" t="str">
        <x:v>ONE</x:v>
      </x:c>
      <x:c r="B110" s="25" t="n">
        <x:v>50</x:v>
      </x:c>
      <x:c r="C110" s="25" t="str">
        <x:v>Côte d’Ivoire</x:v>
      </x:c>
      <x:c r="D110" s="25" t="str">
        <x:v>Stress</x:v>
      </x:c>
      <x:c r="E110" s="25" t="n">
        <x:v>8</x:v>
      </x:c>
      <x:c r="F110" s="25" t="n">
        <x:v>4</x:v>
      </x:c>
      <x:c r="G110" s="25" t="n">
        <x:v>2</x:v>
      </x:c>
      <x:c r="H110" s="25" t="n">
        <x:v>35</x:v>
      </x:c>
      <x:c r="I110" s="25" t="str">
        <x:v>Équilibré</x:v>
      </x:c>
      <x:c r="J110" s="25" t="n">
        <x:v>1</x:v>
      </x:c>
      <x:c r="K110" s="25" t="n">
        <x:v>119900</x:v>
      </x:c>
      <x:c r="L110" s="25" t="n">
        <x:v>0</x:v>
      </x:c>
      <x:c r="M110" s="25" t="n">
        <x:v>119900</x:v>
      </x:c>
      <x:c r="N110" s="25" t="n">
        <x:v>0.12</x:v>
      </x:c>
      <x:c r="O110" s="25" t="n">
        <x:v>1</x:v>
      </x:c>
      <x:c r="P110" s="25" t="n">
        <x:v>0.12</x:v>
      </x:c>
      <x:c r="Q110" s="25" t="n">
        <x:v>0.29700000000000004</x:v>
      </x:c>
      <x:c r="R110" s="25" t="n">
        <x:v>1.8</x:v>
      </x:c>
      <x:c r="S110" s="25" t="n">
        <x:v>119900</x:v>
      </x:c>
      <x:c r="T110" s="25" t="n">
        <x:v>7194</x:v>
      </x:c>
      <x:c r="U110" s="25" t="n">
        <x:v>2997.5</x:v>
      </x:c>
      <x:c r="V110" s="25" t="n">
        <x:v>4416</x:v>
      </x:c>
      <x:c r="W110" s="25" t="n">
        <x:v>29082.240000000005</x:v>
      </x:c>
      <x:c r="X110" s="25" t="n">
        <x:v>436.2336000000001</x:v>
      </x:c>
      <x:c r="Y110" s="25" t="n">
        <x:v>17050</x:v>
      </x:c>
      <x:c r="Z110" s="25" t="n">
        <x:v>75774.02639999999</x:v>
      </x:c>
      <x:c r="AA110" s="25" t="n">
        <x:v>58724.02639999999</x:v>
      </x:c>
      <x:c r="AB110" s="25" t="n">
        <x:v>0.4897750325271058</x:v>
      </x:c>
      <x:c r="AC110" s="25" t="n">
        <x:v>4.444224422287389</x:v>
      </x:c>
      <x:c r="AD110" s="25" t="n">
        <x:v>75774.02639999999</x:v>
      </x:c>
      <x:c r="AE110" s="25" t="n">
        <x:v>18903.456000000006</x:v>
      </x:c>
      <x:c r="AF110" s="25" t="n">
        <x:v>47258.640000000014</x:v>
      </x:c>
      <x:c r="AG110" s="25" t="n">
        <x:v>4.668061755480055</x:v>
      </x:c>
      <x:c r="AH110" s="25" t="n">
        <x:v>7.506255212677231</x:v>
      </x:c>
      <x:c r="AI110" t="n">
        <x:f>Z110-Y110</x:f>
        <x:v>58724.02639999999</x:v>
      </x:c>
      <x:c r="AJ110" t="n">
        <x:f>AA110/S110</x:f>
        <x:v>0.4897750325271058</x:v>
      </x:c>
      <x:c r="AK110" t="n">
        <x:f>Z110/Y110</x:f>
        <x:v>4.444224422287389</x:v>
      </x:c>
    </x:row>
    <x:row r="111" ht="15" hidden="0" customHeight="1">
      <x:c r="A111" s="25" t="str">
        <x:v>ONE</x:v>
      </x:c>
      <x:c r="B111" s="25" t="n">
        <x:v>50</x:v>
      </x:c>
      <x:c r="C111" s="25" t="str">
        <x:v>Cameroun</x:v>
      </x:c>
      <x:c r="D111" s="25" t="str">
        <x:v>Stress</x:v>
      </x:c>
      <x:c r="E111" s="25" t="n">
        <x:v>8</x:v>
      </x:c>
      <x:c r="F111" s="25" t="n">
        <x:v>4</x:v>
      </x:c>
      <x:c r="G111" s="25" t="n">
        <x:v>2</x:v>
      </x:c>
      <x:c r="H111" s="25" t="n">
        <x:v>35</x:v>
      </x:c>
      <x:c r="I111" s="25" t="str">
        <x:v>Équilibré</x:v>
      </x:c>
      <x:c r="J111" s="25" t="n">
        <x:v>1</x:v>
      </x:c>
      <x:c r="K111" s="25" t="n">
        <x:v>119900</x:v>
      </x:c>
      <x:c r="L111" s="25" t="n">
        <x:v>0</x:v>
      </x:c>
      <x:c r="M111" s="25" t="n">
        <x:v>119900</x:v>
      </x:c>
      <x:c r="N111" s="25" t="n">
        <x:v>0.12</x:v>
      </x:c>
      <x:c r="O111" s="25" t="n">
        <x:v>1</x:v>
      </x:c>
      <x:c r="P111" s="25" t="n">
        <x:v>0.12</x:v>
      </x:c>
      <x:c r="Q111" s="25" t="n">
        <x:v>0.29700000000000004</x:v>
      </x:c>
      <x:c r="R111" s="25" t="n">
        <x:v>1.8</x:v>
      </x:c>
      <x:c r="S111" s="25" t="n">
        <x:v>119900</x:v>
      </x:c>
      <x:c r="T111" s="25" t="n">
        <x:v>7194</x:v>
      </x:c>
      <x:c r="U111" s="25" t="n">
        <x:v>2997.5</x:v>
      </x:c>
      <x:c r="V111" s="25" t="n">
        <x:v>4416</x:v>
      </x:c>
      <x:c r="W111" s="25" t="n">
        <x:v>29082.240000000005</x:v>
      </x:c>
      <x:c r="X111" s="25" t="n">
        <x:v>436.2336000000001</x:v>
      </x:c>
      <x:c r="Y111" s="25" t="n">
        <x:v>18600</x:v>
      </x:c>
      <x:c r="Z111" s="25" t="n">
        <x:v>75774.02639999999</x:v>
      </x:c>
      <x:c r="AA111" s="25" t="n">
        <x:v>57174.02639999999</x:v>
      </x:c>
      <x:c r="AB111" s="25" t="n">
        <x:v>0.4768475929941617</x:v>
      </x:c>
      <x:c r="AC111" s="25" t="n">
        <x:v>4.073872387096774</x:v>
      </x:c>
      <x:c r="AD111" s="25" t="n">
        <x:v>75774.02639999999</x:v>
      </x:c>
      <x:c r="AE111" s="25" t="n">
        <x:v>18903.456000000006</x:v>
      </x:c>
      <x:c r="AF111" s="25" t="n">
        <x:v>47258.640000000014</x:v>
      </x:c>
      <x:c r="AG111" s="25" t="n">
        <x:v>4.586066166948519</x:v>
      </x:c>
      <x:c r="AH111" s="25" t="n">
        <x:v>7.506255212677231</x:v>
      </x:c>
      <x:c r="AI111" t="n">
        <x:f>Z111-Y111</x:f>
        <x:v>57174.02639999999</x:v>
      </x:c>
      <x:c r="AJ111" t="n">
        <x:f>AA111/S111</x:f>
        <x:v>0.4768475929941617</x:v>
      </x:c>
      <x:c r="AK111" t="n">
        <x:f>Z111/Y111</x:f>
        <x:v>4.073872387096774</x:v>
      </x:c>
    </x:row>
    <x:row r="112" ht="15" hidden="0" customHeight="1">
      <x:c r="A112" s="25" t="str">
        <x:v>ONE</x:v>
      </x:c>
      <x:c r="B112" s="25" t="n">
        <x:v>50</x:v>
      </x:c>
      <x:c r="C112" s="25" t="str">
        <x:v>Sénégal</x:v>
      </x:c>
      <x:c r="D112" s="25" t="str">
        <x:v>Stress</x:v>
      </x:c>
      <x:c r="E112" s="25" t="n">
        <x:v>8</x:v>
      </x:c>
      <x:c r="F112" s="25" t="n">
        <x:v>4</x:v>
      </x:c>
      <x:c r="G112" s="25" t="n">
        <x:v>2</x:v>
      </x:c>
      <x:c r="H112" s="25" t="n">
        <x:v>35</x:v>
      </x:c>
      <x:c r="I112" s="25" t="str">
        <x:v>Équilibré</x:v>
      </x:c>
      <x:c r="J112" s="25" t="n">
        <x:v>1</x:v>
      </x:c>
      <x:c r="K112" s="25" t="n">
        <x:v>119900</x:v>
      </x:c>
      <x:c r="L112" s="25" t="n">
        <x:v>0</x:v>
      </x:c>
      <x:c r="M112" s="25" t="n">
        <x:v>119900</x:v>
      </x:c>
      <x:c r="N112" s="25" t="n">
        <x:v>0.12</x:v>
      </x:c>
      <x:c r="O112" s="25" t="n">
        <x:v>1</x:v>
      </x:c>
      <x:c r="P112" s="25" t="n">
        <x:v>0.12</x:v>
      </x:c>
      <x:c r="Q112" s="25" t="n">
        <x:v>0.29700000000000004</x:v>
      </x:c>
      <x:c r="R112" s="25" t="n">
        <x:v>1.8</x:v>
      </x:c>
      <x:c r="S112" s="25" t="n">
        <x:v>119900</x:v>
      </x:c>
      <x:c r="T112" s="25" t="n">
        <x:v>7194</x:v>
      </x:c>
      <x:c r="U112" s="25" t="n">
        <x:v>2997.5</x:v>
      </x:c>
      <x:c r="V112" s="25" t="n">
        <x:v>4416</x:v>
      </x:c>
      <x:c r="W112" s="25" t="n">
        <x:v>29082.240000000005</x:v>
      </x:c>
      <x:c r="X112" s="25" t="n">
        <x:v>436.2336000000001</x:v>
      </x:c>
      <x:c r="Y112" s="25" t="n">
        <x:v>23250</x:v>
      </x:c>
      <x:c r="Z112" s="25" t="n">
        <x:v>75774.02639999999</x:v>
      </x:c>
      <x:c r="AA112" s="25" t="n">
        <x:v>52524.02639999999</x:v>
      </x:c>
      <x:c r="AB112" s="25" t="n">
        <x:v>0.43806527439532933</x:v>
      </x:c>
      <x:c r="AC112" s="25" t="n">
        <x:v>3.259097909677419</x:v>
      </x:c>
      <x:c r="AD112" s="25" t="n">
        <x:v>75774.02639999999</x:v>
      </x:c>
      <x:c r="AE112" s="25" t="n">
        <x:v>18903.456000000006</x:v>
      </x:c>
      <x:c r="AF112" s="25" t="n">
        <x:v>47258.640000000014</x:v>
      </x:c>
      <x:c r="AG112" s="25" t="n">
        <x:v>4.3400794013539095</x:v>
      </x:c>
      <x:c r="AH112" s="25" t="n">
        <x:v>7.506255212677231</x:v>
      </x:c>
      <x:c r="AI112" t="n">
        <x:f>Z112-Y112</x:f>
        <x:v>52524.02639999999</x:v>
      </x:c>
      <x:c r="AJ112" t="n">
        <x:f>AA112/S112</x:f>
        <x:v>0.43806527439532933</x:v>
      </x:c>
      <x:c r="AK112" t="n">
        <x:f>Z112/Y112</x:f>
        <x:v>3.259097909677419</x:v>
      </x:c>
    </x:row>
    <x:row r="113" ht="15" hidden="0" customHeight="1">
      <x:c r="A113" s="25" t="str">
        <x:v>ONE</x:v>
      </x:c>
      <x:c r="B113" s="25" t="n">
        <x:v>50</x:v>
      </x:c>
      <x:c r="C113" s="25" t="str">
        <x:v>Bénin</x:v>
      </x:c>
      <x:c r="D113" s="25" t="str">
        <x:v>Stress</x:v>
      </x:c>
      <x:c r="E113" s="25" t="n">
        <x:v>8</x:v>
      </x:c>
      <x:c r="F113" s="25" t="n">
        <x:v>4</x:v>
      </x:c>
      <x:c r="G113" s="25" t="n">
        <x:v>2</x:v>
      </x:c>
      <x:c r="H113" s="25" t="n">
        <x:v>35</x:v>
      </x:c>
      <x:c r="I113" s="25" t="str">
        <x:v>Équilibré</x:v>
      </x:c>
      <x:c r="J113" s="25" t="n">
        <x:v>1</x:v>
      </x:c>
      <x:c r="K113" s="25" t="n">
        <x:v>119900</x:v>
      </x:c>
      <x:c r="L113" s="25" t="n">
        <x:v>0</x:v>
      </x:c>
      <x:c r="M113" s="25" t="n">
        <x:v>119900</x:v>
      </x:c>
      <x:c r="N113" s="25" t="n">
        <x:v>0.12</x:v>
      </x:c>
      <x:c r="O113" s="25" t="n">
        <x:v>1</x:v>
      </x:c>
      <x:c r="P113" s="25" t="n">
        <x:v>0.12</x:v>
      </x:c>
      <x:c r="Q113" s="25" t="n">
        <x:v>0.29700000000000004</x:v>
      </x:c>
      <x:c r="R113" s="25" t="n">
        <x:v>1.8</x:v>
      </x:c>
      <x:c r="S113" s="25" t="n">
        <x:v>119900</x:v>
      </x:c>
      <x:c r="T113" s="25" t="n">
        <x:v>7194</x:v>
      </x:c>
      <x:c r="U113" s="25" t="n">
        <x:v>2997.5</x:v>
      </x:c>
      <x:c r="V113" s="25" t="n">
        <x:v>4416</x:v>
      </x:c>
      <x:c r="W113" s="25" t="n">
        <x:v>29082.240000000005</x:v>
      </x:c>
      <x:c r="X113" s="25" t="n">
        <x:v>436.2336000000001</x:v>
      </x:c>
      <x:c r="Y113" s="25" t="n">
        <x:v>15500</x:v>
      </x:c>
      <x:c r="Z113" s="25" t="n">
        <x:v>75774.02639999999</x:v>
      </x:c>
      <x:c r="AA113" s="25" t="n">
        <x:v>60274.02639999999</x:v>
      </x:c>
      <x:c r="AB113" s="25" t="n">
        <x:v>0.5027024720600499</x:v>
      </x:c>
      <x:c r="AC113" s="25" t="n">
        <x:v>4.8886468645161285</x:v>
      </x:c>
      <x:c r="AD113" s="25" t="n">
        <x:v>75774.02639999999</x:v>
      </x:c>
      <x:c r="AE113" s="25" t="n">
        <x:v>18903.456000000006</x:v>
      </x:c>
      <x:c r="AF113" s="25" t="n">
        <x:v>47258.640000000014</x:v>
      </x:c>
      <x:c r="AG113" s="25" t="n">
        <x:v>4.750057344011591</x:v>
      </x:c>
      <x:c r="AH113" s="25" t="n">
        <x:v>7.506255212677231</x:v>
      </x:c>
      <x:c r="AI113" t="n">
        <x:f>Z113-Y113</x:f>
        <x:v>60274.02639999999</x:v>
      </x:c>
      <x:c r="AJ113" t="n">
        <x:f>AA113/S113</x:f>
        <x:v>0.5027024720600499</x:v>
      </x:c>
      <x:c r="AK113" t="n">
        <x:f>Z113/Y113</x:f>
        <x:v>4.8886468645161285</x:v>
      </x:c>
    </x:row>
    <x:row r="114" ht="15" hidden="0" customHeight="1">
      <x:c r="A114" s="25" t="str">
        <x:v>ONE</x:v>
      </x:c>
      <x:c r="B114" s="25" t="n">
        <x:v>50</x:v>
      </x:c>
      <x:c r="C114" s="25" t="str">
        <x:v>Burkina Faso</x:v>
      </x:c>
      <x:c r="D114" s="25" t="str">
        <x:v>Stress</x:v>
      </x:c>
      <x:c r="E114" s="25" t="n">
        <x:v>8</x:v>
      </x:c>
      <x:c r="F114" s="25" t="n">
        <x:v>4</x:v>
      </x:c>
      <x:c r="G114" s="25" t="n">
        <x:v>2</x:v>
      </x:c>
      <x:c r="H114" s="25" t="n">
        <x:v>35</x:v>
      </x:c>
      <x:c r="I114" s="25" t="str">
        <x:v>Équilibré</x:v>
      </x:c>
      <x:c r="J114" s="25" t="n">
        <x:v>1</x:v>
      </x:c>
      <x:c r="K114" s="25" t="n">
        <x:v>119900</x:v>
      </x:c>
      <x:c r="L114" s="25" t="n">
        <x:v>0</x:v>
      </x:c>
      <x:c r="M114" s="25" t="n">
        <x:v>119900</x:v>
      </x:c>
      <x:c r="N114" s="25" t="n">
        <x:v>0.12</x:v>
      </x:c>
      <x:c r="O114" s="25" t="n">
        <x:v>1</x:v>
      </x:c>
      <x:c r="P114" s="25" t="n">
        <x:v>0.12</x:v>
      </x:c>
      <x:c r="Q114" s="25" t="n">
        <x:v>0.29700000000000004</x:v>
      </x:c>
      <x:c r="R114" s="25" t="n">
        <x:v>1.8</x:v>
      </x:c>
      <x:c r="S114" s="25" t="n">
        <x:v>119900</x:v>
      </x:c>
      <x:c r="T114" s="25" t="n">
        <x:v>7194</x:v>
      </x:c>
      <x:c r="U114" s="25" t="n">
        <x:v>2997.5</x:v>
      </x:c>
      <x:c r="V114" s="25" t="n">
        <x:v>4416</x:v>
      </x:c>
      <x:c r="W114" s="25" t="n">
        <x:v>29082.240000000005</x:v>
      </x:c>
      <x:c r="X114" s="25" t="n">
        <x:v>436.2336000000001</x:v>
      </x:c>
      <x:c r="Y114" s="25" t="n">
        <x:v>17825</x:v>
      </x:c>
      <x:c r="Z114" s="25" t="n">
        <x:v>75774.02639999999</x:v>
      </x:c>
      <x:c r="AA114" s="25" t="n">
        <x:v>57949.02639999999</x:v>
      </x:c>
      <x:c r="AB114" s="25" t="n">
        <x:v>0.48331131276063377</x:v>
      </x:c>
      <x:c r="AC114" s="25" t="n">
        <x:v>4.250997273492286</x:v>
      </x:c>
      <x:c r="AD114" s="25" t="n">
        <x:v>75774.02639999999</x:v>
      </x:c>
      <x:c r="AE114" s="25" t="n">
        <x:v>18903.456000000006</x:v>
      </x:c>
      <x:c r="AF114" s="25" t="n">
        <x:v>47258.640000000014</x:v>
      </x:c>
      <x:c r="AG114" s="25" t="n">
        <x:v>4.6270639612142865</x:v>
      </x:c>
      <x:c r="AH114" s="25" t="n">
        <x:v>7.506255212677231</x:v>
      </x:c>
      <x:c r="AI114" t="n">
        <x:f>Z114-Y114</x:f>
        <x:v>57949.02639999999</x:v>
      </x:c>
      <x:c r="AJ114" t="n">
        <x:f>AA114/S114</x:f>
        <x:v>0.48331131276063377</x:v>
      </x:c>
      <x:c r="AK114" t="n">
        <x:f>Z114/Y114</x:f>
        <x:v>4.250997273492286</x:v>
      </x:c>
    </x:row>
    <x:row r="115" ht="15" hidden="0" customHeight="1">
      <x:c r="A115" s="25" t="str">
        <x:v>ONE</x:v>
      </x:c>
      <x:c r="B115" s="25" t="n">
        <x:v>50</x:v>
      </x:c>
      <x:c r="C115" s="25" t="str">
        <x:v>Togo</x:v>
      </x:c>
      <x:c r="D115" s="25" t="str">
        <x:v>Stress</x:v>
      </x:c>
      <x:c r="E115" s="25" t="n">
        <x:v>8</x:v>
      </x:c>
      <x:c r="F115" s="25" t="n">
        <x:v>4</x:v>
      </x:c>
      <x:c r="G115" s="25" t="n">
        <x:v>2</x:v>
      </x:c>
      <x:c r="H115" s="25" t="n">
        <x:v>35</x:v>
      </x:c>
      <x:c r="I115" s="25" t="str">
        <x:v>Équilibré</x:v>
      </x:c>
      <x:c r="J115" s="25" t="n">
        <x:v>1</x:v>
      </x:c>
      <x:c r="K115" s="25" t="n">
        <x:v>119900</x:v>
      </x:c>
      <x:c r="L115" s="25" t="n">
        <x:v>0</x:v>
      </x:c>
      <x:c r="M115" s="25" t="n">
        <x:v>119900</x:v>
      </x:c>
      <x:c r="N115" s="25" t="n">
        <x:v>0.12</x:v>
      </x:c>
      <x:c r="O115" s="25" t="n">
        <x:v>1</x:v>
      </x:c>
      <x:c r="P115" s="25" t="n">
        <x:v>0.12</x:v>
      </x:c>
      <x:c r="Q115" s="25" t="n">
        <x:v>0.29700000000000004</x:v>
      </x:c>
      <x:c r="R115" s="25" t="n">
        <x:v>1.8</x:v>
      </x:c>
      <x:c r="S115" s="25" t="n">
        <x:v>119900</x:v>
      </x:c>
      <x:c r="T115" s="25" t="n">
        <x:v>7194</x:v>
      </x:c>
      <x:c r="U115" s="25" t="n">
        <x:v>2997.5</x:v>
      </x:c>
      <x:c r="V115" s="25" t="n">
        <x:v>4416</x:v>
      </x:c>
      <x:c r="W115" s="25" t="n">
        <x:v>29082.240000000005</x:v>
      </x:c>
      <x:c r="X115" s="25" t="n">
        <x:v>436.2336000000001</x:v>
      </x:c>
      <x:c r="Y115" s="25" t="n">
        <x:v>21700</x:v>
      </x:c>
      <x:c r="Z115" s="25" t="n">
        <x:v>75774.02639999999</x:v>
      </x:c>
      <x:c r="AA115" s="25" t="n">
        <x:v>54074.02639999999</x:v>
      </x:c>
      <x:c r="AB115" s="25" t="n">
        <x:v>0.45099271392827345</x:v>
      </x:c>
      <x:c r="AC115" s="25" t="n">
        <x:v>3.4918906175115203</x:v>
      </x:c>
      <x:c r="AD115" s="25" t="n">
        <x:v>75774.02639999999</x:v>
      </x:c>
      <x:c r="AE115" s="25" t="n">
        <x:v>18903.456000000006</x:v>
      </x:c>
      <x:c r="AF115" s="25" t="n">
        <x:v>47258.640000000014</x:v>
      </x:c>
      <x:c r="AG115" s="25" t="n">
        <x:v>4.422074989885446</x:v>
      </x:c>
      <x:c r="AH115" s="25" t="n">
        <x:v>7.506255212677231</x:v>
      </x:c>
      <x:c r="AI115" t="n">
        <x:f>Z115-Y115</x:f>
        <x:v>54074.02639999999</x:v>
      </x:c>
      <x:c r="AJ115" t="n">
        <x:f>AA115/S115</x:f>
        <x:v>0.45099271392827345</x:v>
      </x:c>
      <x:c r="AK115" t="n">
        <x:f>Z115/Y115</x:f>
        <x:v>3.4918906175115203</x:v>
      </x:c>
    </x:row>
    <x:row r="116" ht="15" hidden="0" customHeight="1">
      <x:c r="A116" s="25" t="str">
        <x:v>ONE</x:v>
      </x:c>
      <x:c r="B116" s="25" t="n">
        <x:v>100</x:v>
      </x:c>
      <x:c r="C116" s="25" t="str">
        <x:v>Côte d’Ivoire</x:v>
      </x:c>
      <x:c r="D116" s="25" t="str">
        <x:v>Stress</x:v>
      </x:c>
      <x:c r="E116" s="25" t="n">
        <x:v>8</x:v>
      </x:c>
      <x:c r="F116" s="25" t="n">
        <x:v>4</x:v>
      </x:c>
      <x:c r="G116" s="25" t="n">
        <x:v>2</x:v>
      </x:c>
      <x:c r="H116" s="25" t="n">
        <x:v>35</x:v>
      </x:c>
      <x:c r="I116" s="25" t="str">
        <x:v>Équilibré</x:v>
      </x:c>
      <x:c r="J116" s="25" t="n">
        <x:v>1</x:v>
      </x:c>
      <x:c r="K116" s="25" t="n">
        <x:v>199900</x:v>
      </x:c>
      <x:c r="L116" s="25" t="n">
        <x:v>0</x:v>
      </x:c>
      <x:c r="M116" s="25" t="n">
        <x:v>199900</x:v>
      </x:c>
      <x:c r="N116" s="25" t="n">
        <x:v>0.12</x:v>
      </x:c>
      <x:c r="O116" s="25" t="n">
        <x:v>1</x:v>
      </x:c>
      <x:c r="P116" s="25" t="n">
        <x:v>0.12</x:v>
      </x:c>
      <x:c r="Q116" s="25" t="n">
        <x:v>0.29700000000000004</x:v>
      </x:c>
      <x:c r="R116" s="25" t="n">
        <x:v>1.8</x:v>
      </x:c>
      <x:c r="S116" s="25" t="n">
        <x:v>199900</x:v>
      </x:c>
      <x:c r="T116" s="25" t="n">
        <x:v>11994</x:v>
      </x:c>
      <x:c r="U116" s="25" t="n">
        <x:v>4997.5</x:v>
      </x:c>
      <x:c r="V116" s="25" t="n">
        <x:v>4416</x:v>
      </x:c>
      <x:c r="W116" s="25" t="n">
        <x:v>58164.48000000001</x:v>
      </x:c>
      <x:c r="X116" s="25" t="n">
        <x:v>872.4672000000002</x:v>
      </x:c>
      <x:c r="Y116" s="25" t="n">
        <x:v>17050</x:v>
      </x:c>
      <x:c r="Z116" s="25" t="n">
        <x:v>119455.55279999999</x:v>
      </x:c>
      <x:c r="AA116" s="25" t="n">
        <x:v>102405.55279999999</x:v>
      </x:c>
      <x:c r="AB116" s="25" t="n">
        <x:v>0.5122839059529765</x:v>
      </x:c>
      <x:c r="AC116" s="25" t="n">
        <x:v>7.006190780058651</x:v>
      </x:c>
      <x:c r="AD116" s="25" t="n">
        <x:v>119455.55279999999</x:v>
      </x:c>
      <x:c r="AE116" s="25" t="n">
        <x:v>37806.91200000001</x:v>
      </x:c>
      <x:c r="AF116" s="25" t="n">
        <x:v>94517.28000000003</x:v>
      </x:c>
      <x:c r="AG116" s="25" t="n">
        <x:v>4.2701847746782375</x:v>
      </x:c>
      <x:c r="AH116" s="25" t="n">
        <x:v>7.503751875937969</x:v>
      </x:c>
      <x:c r="AI116" t="n">
        <x:f>Z116-Y116</x:f>
        <x:v>102405.55279999999</x:v>
      </x:c>
      <x:c r="AJ116" t="n">
        <x:f>AA116/S116</x:f>
        <x:v>0.5122839059529765</x:v>
      </x:c>
      <x:c r="AK116" t="n">
        <x:f>Z116/Y116</x:f>
        <x:v>7.006190780058651</x:v>
      </x:c>
    </x:row>
    <x:row r="117" ht="15" hidden="0" customHeight="1">
      <x:c r="A117" s="25" t="str">
        <x:v>ONE</x:v>
      </x:c>
      <x:c r="B117" s="25" t="n">
        <x:v>100</x:v>
      </x:c>
      <x:c r="C117" s="25" t="str">
        <x:v>Cameroun</x:v>
      </x:c>
      <x:c r="D117" s="25" t="str">
        <x:v>Stress</x:v>
      </x:c>
      <x:c r="E117" s="25" t="n">
        <x:v>8</x:v>
      </x:c>
      <x:c r="F117" s="25" t="n">
        <x:v>4</x:v>
      </x:c>
      <x:c r="G117" s="25" t="n">
        <x:v>2</x:v>
      </x:c>
      <x:c r="H117" s="25" t="n">
        <x:v>35</x:v>
      </x:c>
      <x:c r="I117" s="25" t="str">
        <x:v>Équilibré</x:v>
      </x:c>
      <x:c r="J117" s="25" t="n">
        <x:v>1</x:v>
      </x:c>
      <x:c r="K117" s="25" t="n">
        <x:v>199900</x:v>
      </x:c>
      <x:c r="L117" s="25" t="n">
        <x:v>0</x:v>
      </x:c>
      <x:c r="M117" s="25" t="n">
        <x:v>199900</x:v>
      </x:c>
      <x:c r="N117" s="25" t="n">
        <x:v>0.12</x:v>
      </x:c>
      <x:c r="O117" s="25" t="n">
        <x:v>1</x:v>
      </x:c>
      <x:c r="P117" s="25" t="n">
        <x:v>0.12</x:v>
      </x:c>
      <x:c r="Q117" s="25" t="n">
        <x:v>0.29700000000000004</x:v>
      </x:c>
      <x:c r="R117" s="25" t="n">
        <x:v>1.8</x:v>
      </x:c>
      <x:c r="S117" s="25" t="n">
        <x:v>199900</x:v>
      </x:c>
      <x:c r="T117" s="25" t="n">
        <x:v>11994</x:v>
      </x:c>
      <x:c r="U117" s="25" t="n">
        <x:v>4997.5</x:v>
      </x:c>
      <x:c r="V117" s="25" t="n">
        <x:v>4416</x:v>
      </x:c>
      <x:c r="W117" s="25" t="n">
        <x:v>58164.48000000001</x:v>
      </x:c>
      <x:c r="X117" s="25" t="n">
        <x:v>872.4672000000002</x:v>
      </x:c>
      <x:c r="Y117" s="25" t="n">
        <x:v>18600</x:v>
      </x:c>
      <x:c r="Z117" s="25" t="n">
        <x:v>119455.55279999999</x:v>
      </x:c>
      <x:c r="AA117" s="25" t="n">
        <x:v>100855.55279999999</x:v>
      </x:c>
      <x:c r="AB117" s="25" t="n">
        <x:v>0.5045300290145072</x:v>
      </x:c>
      <x:c r="AC117" s="25" t="n">
        <x:v>6.422341548387096</x:v>
      </x:c>
      <x:c r="AD117" s="25" t="n">
        <x:v>119455.55279999999</x:v>
      </x:c>
      <x:c r="AE117" s="25" t="n">
        <x:v>37806.91200000001</x:v>
      </x:c>
      <x:c r="AF117" s="25" t="n">
        <x:v>94517.28000000003</x:v>
      </x:c>
      <x:c r="AG117" s="25" t="n">
        <x:v>4.22918698041247</x:v>
      </x:c>
      <x:c r="AH117" s="25" t="n">
        <x:v>7.503751875937969</x:v>
      </x:c>
      <x:c r="AI117" t="n">
        <x:f>Z117-Y117</x:f>
        <x:v>100855.55279999999</x:v>
      </x:c>
      <x:c r="AJ117" t="n">
        <x:f>AA117/S117</x:f>
        <x:v>0.5045300290145072</x:v>
      </x:c>
      <x:c r="AK117" t="n">
        <x:f>Z117/Y117</x:f>
        <x:v>6.422341548387096</x:v>
      </x:c>
    </x:row>
    <x:row r="118" ht="15" hidden="0" customHeight="1">
      <x:c r="A118" s="25" t="str">
        <x:v>ONE</x:v>
      </x:c>
      <x:c r="B118" s="25" t="n">
        <x:v>100</x:v>
      </x:c>
      <x:c r="C118" s="25" t="str">
        <x:v>Sénégal</x:v>
      </x:c>
      <x:c r="D118" s="25" t="str">
        <x:v>Stress</x:v>
      </x:c>
      <x:c r="E118" s="25" t="n">
        <x:v>8</x:v>
      </x:c>
      <x:c r="F118" s="25" t="n">
        <x:v>4</x:v>
      </x:c>
      <x:c r="G118" s="25" t="n">
        <x:v>2</x:v>
      </x:c>
      <x:c r="H118" s="25" t="n">
        <x:v>35</x:v>
      </x:c>
      <x:c r="I118" s="25" t="str">
        <x:v>Équilibré</x:v>
      </x:c>
      <x:c r="J118" s="25" t="n">
        <x:v>1</x:v>
      </x:c>
      <x:c r="K118" s="25" t="n">
        <x:v>199900</x:v>
      </x:c>
      <x:c r="L118" s="25" t="n">
        <x:v>0</x:v>
      </x:c>
      <x:c r="M118" s="25" t="n">
        <x:v>199900</x:v>
      </x:c>
      <x:c r="N118" s="25" t="n">
        <x:v>0.12</x:v>
      </x:c>
      <x:c r="O118" s="25" t="n">
        <x:v>1</x:v>
      </x:c>
      <x:c r="P118" s="25" t="n">
        <x:v>0.12</x:v>
      </x:c>
      <x:c r="Q118" s="25" t="n">
        <x:v>0.29700000000000004</x:v>
      </x:c>
      <x:c r="R118" s="25" t="n">
        <x:v>1.8</x:v>
      </x:c>
      <x:c r="S118" s="25" t="n">
        <x:v>199900</x:v>
      </x:c>
      <x:c r="T118" s="25" t="n">
        <x:v>11994</x:v>
      </x:c>
      <x:c r="U118" s="25" t="n">
        <x:v>4997.5</x:v>
      </x:c>
      <x:c r="V118" s="25" t="n">
        <x:v>4416</x:v>
      </x:c>
      <x:c r="W118" s="25" t="n">
        <x:v>58164.48000000001</x:v>
      </x:c>
      <x:c r="X118" s="25" t="n">
        <x:v>872.4672000000002</x:v>
      </x:c>
      <x:c r="Y118" s="25" t="n">
        <x:v>23250</x:v>
      </x:c>
      <x:c r="Z118" s="25" t="n">
        <x:v>119455.55279999999</x:v>
      </x:c>
      <x:c r="AA118" s="25" t="n">
        <x:v>96205.55279999999</x:v>
      </x:c>
      <x:c r="AB118" s="25" t="n">
        <x:v>0.4812683981990995</x:v>
      </x:c>
      <x:c r="AC118" s="25" t="n">
        <x:v>5.137873238709677</x:v>
      </x:c>
      <x:c r="AD118" s="25" t="n">
        <x:v>119455.55279999999</x:v>
      </x:c>
      <x:c r="AE118" s="25" t="n">
        <x:v>37806.91200000001</x:v>
      </x:c>
      <x:c r="AF118" s="25" t="n">
        <x:v>94517.28000000003</x:v>
      </x:c>
      <x:c r="AG118" s="25" t="n">
        <x:v>4.106193597615165</x:v>
      </x:c>
      <x:c r="AH118" s="25" t="n">
        <x:v>7.503751875937969</x:v>
      </x:c>
      <x:c r="AI118" t="n">
        <x:f>Z118-Y118</x:f>
        <x:v>96205.55279999999</x:v>
      </x:c>
      <x:c r="AJ118" t="n">
        <x:f>AA118/S118</x:f>
        <x:v>0.4812683981990995</x:v>
      </x:c>
      <x:c r="AK118" t="n">
        <x:f>Z118/Y118</x:f>
        <x:v>5.137873238709677</x:v>
      </x:c>
    </x:row>
    <x:row r="119" ht="15" hidden="0" customHeight="1">
      <x:c r="A119" s="25" t="str">
        <x:v>ONE</x:v>
      </x:c>
      <x:c r="B119" s="25" t="n">
        <x:v>100</x:v>
      </x:c>
      <x:c r="C119" s="25" t="str">
        <x:v>Bénin</x:v>
      </x:c>
      <x:c r="D119" s="25" t="str">
        <x:v>Stress</x:v>
      </x:c>
      <x:c r="E119" s="25" t="n">
        <x:v>8</x:v>
      </x:c>
      <x:c r="F119" s="25" t="n">
        <x:v>4</x:v>
      </x:c>
      <x:c r="G119" s="25" t="n">
        <x:v>2</x:v>
      </x:c>
      <x:c r="H119" s="25" t="n">
        <x:v>35</x:v>
      </x:c>
      <x:c r="I119" s="25" t="str">
        <x:v>Équilibré</x:v>
      </x:c>
      <x:c r="J119" s="25" t="n">
        <x:v>1</x:v>
      </x:c>
      <x:c r="K119" s="25" t="n">
        <x:v>199900</x:v>
      </x:c>
      <x:c r="L119" s="25" t="n">
        <x:v>0</x:v>
      </x:c>
      <x:c r="M119" s="25" t="n">
        <x:v>199900</x:v>
      </x:c>
      <x:c r="N119" s="25" t="n">
        <x:v>0.12</x:v>
      </x:c>
      <x:c r="O119" s="25" t="n">
        <x:v>1</x:v>
      </x:c>
      <x:c r="P119" s="25" t="n">
        <x:v>0.12</x:v>
      </x:c>
      <x:c r="Q119" s="25" t="n">
        <x:v>0.29700000000000004</x:v>
      </x:c>
      <x:c r="R119" s="25" t="n">
        <x:v>1.8</x:v>
      </x:c>
      <x:c r="S119" s="25" t="n">
        <x:v>199900</x:v>
      </x:c>
      <x:c r="T119" s="25" t="n">
        <x:v>11994</x:v>
      </x:c>
      <x:c r="U119" s="25" t="n">
        <x:v>4997.5</x:v>
      </x:c>
      <x:c r="V119" s="25" t="n">
        <x:v>4416</x:v>
      </x:c>
      <x:c r="W119" s="25" t="n">
        <x:v>58164.48000000001</x:v>
      </x:c>
      <x:c r="X119" s="25" t="n">
        <x:v>872.4672000000002</x:v>
      </x:c>
      <x:c r="Y119" s="25" t="n">
        <x:v>15500</x:v>
      </x:c>
      <x:c r="Z119" s="25" t="n">
        <x:v>119455.55279999999</x:v>
      </x:c>
      <x:c r="AA119" s="25" t="n">
        <x:v>103955.55279999999</x:v>
      </x:c>
      <x:c r="AB119" s="25" t="n">
        <x:v>0.5200377828914456</x:v>
      </x:c>
      <x:c r="AC119" s="25" t="n">
        <x:v>7.706809858064515</x:v>
      </x:c>
      <x:c r="AD119" s="25" t="n">
        <x:v>119455.55279999999</x:v>
      </x:c>
      <x:c r="AE119" s="25" t="n">
        <x:v>37806.91200000001</x:v>
      </x:c>
      <x:c r="AF119" s="25" t="n">
        <x:v>94517.28000000003</x:v>
      </x:c>
      <x:c r="AG119" s="25" t="n">
        <x:v>4.311182568944005</x:v>
      </x:c>
      <x:c r="AH119" s="25" t="n">
        <x:v>7.503751875937969</x:v>
      </x:c>
      <x:c r="AI119" t="n">
        <x:f>Z119-Y119</x:f>
        <x:v>103955.55279999999</x:v>
      </x:c>
      <x:c r="AJ119" t="n">
        <x:f>AA119/S119</x:f>
        <x:v>0.5200377828914456</x:v>
      </x:c>
      <x:c r="AK119" t="n">
        <x:f>Z119/Y119</x:f>
        <x:v>7.706809858064515</x:v>
      </x:c>
    </x:row>
    <x:row r="120" ht="15" hidden="0" customHeight="1">
      <x:c r="A120" s="25" t="str">
        <x:v>ONE</x:v>
      </x:c>
      <x:c r="B120" s="25" t="n">
        <x:v>100</x:v>
      </x:c>
      <x:c r="C120" s="25" t="str">
        <x:v>Burkina Faso</x:v>
      </x:c>
      <x:c r="D120" s="25" t="str">
        <x:v>Stress</x:v>
      </x:c>
      <x:c r="E120" s="25" t="n">
        <x:v>8</x:v>
      </x:c>
      <x:c r="F120" s="25" t="n">
        <x:v>4</x:v>
      </x:c>
      <x:c r="G120" s="25" t="n">
        <x:v>2</x:v>
      </x:c>
      <x:c r="H120" s="25" t="n">
        <x:v>35</x:v>
      </x:c>
      <x:c r="I120" s="25" t="str">
        <x:v>Équilibré</x:v>
      </x:c>
      <x:c r="J120" s="25" t="n">
        <x:v>1</x:v>
      </x:c>
      <x:c r="K120" s="25" t="n">
        <x:v>199900</x:v>
      </x:c>
      <x:c r="L120" s="25" t="n">
        <x:v>0</x:v>
      </x:c>
      <x:c r="M120" s="25" t="n">
        <x:v>199900</x:v>
      </x:c>
      <x:c r="N120" s="25" t="n">
        <x:v>0.12</x:v>
      </x:c>
      <x:c r="O120" s="25" t="n">
        <x:v>1</x:v>
      </x:c>
      <x:c r="P120" s="25" t="n">
        <x:v>0.12</x:v>
      </x:c>
      <x:c r="Q120" s="25" t="n">
        <x:v>0.29700000000000004</x:v>
      </x:c>
      <x:c r="R120" s="25" t="n">
        <x:v>1.8</x:v>
      </x:c>
      <x:c r="S120" s="25" t="n">
        <x:v>199900</x:v>
      </x:c>
      <x:c r="T120" s="25" t="n">
        <x:v>11994</x:v>
      </x:c>
      <x:c r="U120" s="25" t="n">
        <x:v>4997.5</x:v>
      </x:c>
      <x:c r="V120" s="25" t="n">
        <x:v>4416</x:v>
      </x:c>
      <x:c r="W120" s="25" t="n">
        <x:v>58164.48000000001</x:v>
      </x:c>
      <x:c r="X120" s="25" t="n">
        <x:v>872.4672000000002</x:v>
      </x:c>
      <x:c r="Y120" s="25" t="n">
        <x:v>17825</x:v>
      </x:c>
      <x:c r="Z120" s="25" t="n">
        <x:v>119455.55279999999</x:v>
      </x:c>
      <x:c r="AA120" s="25" t="n">
        <x:v>101630.55279999999</x:v>
      </x:c>
      <x:c r="AB120" s="25" t="n">
        <x:v>0.5084069674837418</x:v>
      </x:c>
      <x:c r="AC120" s="25" t="n">
        <x:v>6.7015737896213174</x:v>
      </x:c>
      <x:c r="AD120" s="25" t="n">
        <x:v>119455.55279999999</x:v>
      </x:c>
      <x:c r="AE120" s="25" t="n">
        <x:v>37806.91200000001</x:v>
      </x:c>
      <x:c r="AF120" s="25" t="n">
        <x:v>94517.28000000003</x:v>
      </x:c>
      <x:c r="AG120" s="25" t="n">
        <x:v>4.249685877545353</x:v>
      </x:c>
      <x:c r="AH120" s="25" t="n">
        <x:v>7.503751875937969</x:v>
      </x:c>
      <x:c r="AI120" t="n">
        <x:f>Z120-Y120</x:f>
        <x:v>101630.55279999999</x:v>
      </x:c>
      <x:c r="AJ120" t="n">
        <x:f>AA120/S120</x:f>
        <x:v>0.5084069674837418</x:v>
      </x:c>
      <x:c r="AK120" t="n">
        <x:f>Z120/Y120</x:f>
        <x:v>6.7015737896213174</x:v>
      </x:c>
    </x:row>
    <x:row r="121" ht="15" hidden="0" customHeight="1">
      <x:c r="A121" s="25" t="str">
        <x:v>ONE</x:v>
      </x:c>
      <x:c r="B121" s="25" t="n">
        <x:v>100</x:v>
      </x:c>
      <x:c r="C121" s="25" t="str">
        <x:v>Togo</x:v>
      </x:c>
      <x:c r="D121" s="25" t="str">
        <x:v>Stress</x:v>
      </x:c>
      <x:c r="E121" s="25" t="n">
        <x:v>8</x:v>
      </x:c>
      <x:c r="F121" s="25" t="n">
        <x:v>4</x:v>
      </x:c>
      <x:c r="G121" s="25" t="n">
        <x:v>2</x:v>
      </x:c>
      <x:c r="H121" s="25" t="n">
        <x:v>35</x:v>
      </x:c>
      <x:c r="I121" s="25" t="str">
        <x:v>Équilibré</x:v>
      </x:c>
      <x:c r="J121" s="25" t="n">
        <x:v>1</x:v>
      </x:c>
      <x:c r="K121" s="25" t="n">
        <x:v>199900</x:v>
      </x:c>
      <x:c r="L121" s="25" t="n">
        <x:v>0</x:v>
      </x:c>
      <x:c r="M121" s="25" t="n">
        <x:v>199900</x:v>
      </x:c>
      <x:c r="N121" s="25" t="n">
        <x:v>0.12</x:v>
      </x:c>
      <x:c r="O121" s="25" t="n">
        <x:v>1</x:v>
      </x:c>
      <x:c r="P121" s="25" t="n">
        <x:v>0.12</x:v>
      </x:c>
      <x:c r="Q121" s="25" t="n">
        <x:v>0.29700000000000004</x:v>
      </x:c>
      <x:c r="R121" s="25" t="n">
        <x:v>1.8</x:v>
      </x:c>
      <x:c r="S121" s="25" t="n">
        <x:v>199900</x:v>
      </x:c>
      <x:c r="T121" s="25" t="n">
        <x:v>11994</x:v>
      </x:c>
      <x:c r="U121" s="25" t="n">
        <x:v>4997.5</x:v>
      </x:c>
      <x:c r="V121" s="25" t="n">
        <x:v>4416</x:v>
      </x:c>
      <x:c r="W121" s="25" t="n">
        <x:v>58164.48000000001</x:v>
      </x:c>
      <x:c r="X121" s="25" t="n">
        <x:v>872.4672000000002</x:v>
      </x:c>
      <x:c r="Y121" s="25" t="n">
        <x:v>21700</x:v>
      </x:c>
      <x:c r="Z121" s="25" t="n">
        <x:v>119455.55279999999</x:v>
      </x:c>
      <x:c r="AA121" s="25" t="n">
        <x:v>97755.55279999999</x:v>
      </x:c>
      <x:c r="AB121" s="25" t="n">
        <x:v>0.48902227513756874</x:v>
      </x:c>
      <x:c r="AC121" s="25" t="n">
        <x:v>5.5048641843317965</x:v>
      </x:c>
      <x:c r="AD121" s="25" t="n">
        <x:v>119455.55279999999</x:v>
      </x:c>
      <x:c r="AE121" s="25" t="n">
        <x:v>37806.91200000001</x:v>
      </x:c>
      <x:c r="AF121" s="25" t="n">
        <x:v>94517.28000000003</x:v>
      </x:c>
      <x:c r="AG121" s="25" t="n">
        <x:v>4.147191391880933</x:v>
      </x:c>
      <x:c r="AH121" s="25" t="n">
        <x:v>7.503751875937969</x:v>
      </x:c>
      <x:c r="AI121" t="n">
        <x:f>Z121-Y121</x:f>
        <x:v>97755.55279999999</x:v>
      </x:c>
      <x:c r="AJ121" t="n">
        <x:f>AA121/S121</x:f>
        <x:v>0.48902227513756874</x:v>
      </x:c>
      <x:c r="AK121" t="n">
        <x:f>Z121/Y121</x:f>
        <x:v>5.5048641843317965</x:v>
      </x:c>
    </x:row>
    <x:row r="122" ht="15" hidden="0" customHeight="1">
      <x:c r="A122" s="25" t="str">
        <x:v>FLEX</x:v>
      </x:c>
      <x:c r="B122" s="25" t="n">
        <x:v>5</x:v>
      </x:c>
      <x:c r="C122" s="25" t="str">
        <x:v>Côte d’Ivoire</x:v>
      </x:c>
      <x:c r="D122" s="25" t="str">
        <x:v>Stress</x:v>
      </x:c>
      <x:c r="E122" s="25" t="n">
        <x:v>8</x:v>
      </x:c>
      <x:c r="F122" s="25" t="n">
        <x:v>4</x:v>
      </x:c>
      <x:c r="G122" s="25" t="n">
        <x:v>3</x:v>
      </x:c>
      <x:c r="H122" s="25" t="n">
        <x:v>35</x:v>
      </x:c>
      <x:c r="I122" s="25" t="str">
        <x:v>Équilibré</x:v>
      </x:c>
      <x:c r="J122" s="25" t="n">
        <x:v>1</x:v>
      </x:c>
      <x:c r="K122" s="25" t="n">
        <x:v>9900</x:v>
      </x:c>
      <x:c r="L122" s="25" t="n">
        <x:v>25900</x:v>
      </x:c>
      <x:c r="M122" s="25" t="n">
        <x:v>35800</x:v>
      </x:c>
      <x:c r="N122" s="25" t="n">
        <x:v>0.24</x:v>
      </x:c>
      <x:c r="O122" s="25" t="n">
        <x:v>0.78</x:v>
      </x:c>
      <x:c r="P122" s="25" t="n">
        <x:v>0.1872</x:v>
      </x:c>
      <x:c r="Q122" s="25" t="n">
        <x:v>0.29700000000000004</x:v>
      </x:c>
      <x:c r="R122" s="25" t="n">
        <x:v>1.8</x:v>
      </x:c>
      <x:c r="S122" s="25" t="n">
        <x:v>14748.48</x:v>
      </x:c>
      <x:c r="T122" s="25" t="n">
        <x:v>884.9087999999999</x:v>
      </x:c>
      <x:c r="U122" s="25" t="n">
        <x:v>368.712</x:v>
      </x:c>
      <x:c r="V122" s="25" t="n">
        <x:v>4872.96</x:v>
      </x:c>
      <x:c r="W122" s="25" t="n">
        <x:v>3202.4678400000003</x:v>
      </x:c>
      <x:c r="X122" s="25" t="n">
        <x:v>48.0370176</x:v>
      </x:c>
      <x:c r="Y122" s="25" t="n">
        <x:v>11934.999999999998</x:v>
      </x:c>
      <x:c r="Z122" s="25" t="n">
        <x:v>5371.3943424</x:v>
      </x:c>
      <x:c r="AA122" s="25" t="n">
        <x:v>-6563.605657599998</x:v>
      </x:c>
      <x:c r="AB122" s="25" t="n">
        <x:v>-0.44503607541929735</x:v>
      </x:c>
      <x:c r="AC122" s="25" t="n">
        <x:v>0.4500539876330122</x:v>
      </x:c>
      <x:c r="AD122" s="25" t="n">
        <x:v>5371.3943424</x:v>
      </x:c>
      <x:c r="AE122" s="25" t="n">
        <x:v>2081.604096</x:v>
      </x:c>
      <x:c r="AF122" s="25" t="n">
        <x:v>5204.01024</x:v>
      </x:c>
      <x:c r="AG122" s="25" t="n">
        <x:v>-1.5916094738506885</x:v>
      </x:c>
      <x:c r="AH122" s="25" t="n">
        <x:v>4.189944134078212</x:v>
      </x:c>
      <x:c r="AI122" t="n">
        <x:f>Z122-Y122</x:f>
        <x:v>-6563.605657599998</x:v>
      </x:c>
      <x:c r="AJ122" t="n">
        <x:f>AA122/S122</x:f>
        <x:v>-0.44503607541929735</x:v>
      </x:c>
      <x:c r="AK122" t="n">
        <x:f>Z122/Y122</x:f>
        <x:v>0.4500539876330122</x:v>
      </x:c>
    </x:row>
    <x:row r="123" ht="15" hidden="0" customHeight="1">
      <x:c r="A123" s="25" t="str">
        <x:v>FLEX</x:v>
      </x:c>
      <x:c r="B123" s="25" t="n">
        <x:v>5</x:v>
      </x:c>
      <x:c r="C123" s="25" t="str">
        <x:v>Cameroun</x:v>
      </x:c>
      <x:c r="D123" s="25" t="str">
        <x:v>Stress</x:v>
      </x:c>
      <x:c r="E123" s="25" t="n">
        <x:v>8</x:v>
      </x:c>
      <x:c r="F123" s="25" t="n">
        <x:v>4</x:v>
      </x:c>
      <x:c r="G123" s="25" t="n">
        <x:v>3</x:v>
      </x:c>
      <x:c r="H123" s="25" t="n">
        <x:v>35</x:v>
      </x:c>
      <x:c r="I123" s="25" t="str">
        <x:v>Équilibré</x:v>
      </x:c>
      <x:c r="J123" s="25" t="n">
        <x:v>1</x:v>
      </x:c>
      <x:c r="K123" s="25" t="n">
        <x:v>9900</x:v>
      </x:c>
      <x:c r="L123" s="25" t="n">
        <x:v>25900</x:v>
      </x:c>
      <x:c r="M123" s="25" t="n">
        <x:v>35800</x:v>
      </x:c>
      <x:c r="N123" s="25" t="n">
        <x:v>0.24</x:v>
      </x:c>
      <x:c r="O123" s="25" t="n">
        <x:v>0.78</x:v>
      </x:c>
      <x:c r="P123" s="25" t="n">
        <x:v>0.1872</x:v>
      </x:c>
      <x:c r="Q123" s="25" t="n">
        <x:v>0.29700000000000004</x:v>
      </x:c>
      <x:c r="R123" s="25" t="n">
        <x:v>1.8</x:v>
      </x:c>
      <x:c r="S123" s="25" t="n">
        <x:v>14748.48</x:v>
      </x:c>
      <x:c r="T123" s="25" t="n">
        <x:v>884.9087999999999</x:v>
      </x:c>
      <x:c r="U123" s="25" t="n">
        <x:v>368.712</x:v>
      </x:c>
      <x:c r="V123" s="25" t="n">
        <x:v>4872.96</x:v>
      </x:c>
      <x:c r="W123" s="25" t="n">
        <x:v>3202.4678400000003</x:v>
      </x:c>
      <x:c r="X123" s="25" t="n">
        <x:v>48.0370176</x:v>
      </x:c>
      <x:c r="Y123" s="25" t="n">
        <x:v>13020</x:v>
      </x:c>
      <x:c r="Z123" s="25" t="n">
        <x:v>5371.3943424</x:v>
      </x:c>
      <x:c r="AA123" s="25" t="n">
        <x:v>-7648.6056576</x:v>
      </x:c>
      <x:c r="AB123" s="25" t="n">
        <x:v>-0.5186029785849118</x:v>
      </x:c>
      <x:c r="AC123" s="25" t="n">
        <x:v>0.4125494886635945</x:v>
      </x:c>
      <x:c r="AD123" s="25" t="n">
        <x:v>5371.3943424</x:v>
      </x:c>
      <x:c r="AE123" s="25" t="n">
        <x:v>2081.604096</x:v>
      </x:c>
      <x:c r="AF123" s="25" t="n">
        <x:v>5204.01024</x:v>
      </x:c>
      <x:c r="AG123" s="25" t="n">
        <x:v>-2.1128421146227416</x:v>
      </x:c>
      <x:c r="AH123" s="25" t="n">
        <x:v>4.189944134078212</x:v>
      </x:c>
      <x:c r="AI123" t="n">
        <x:f>Z123-Y123</x:f>
        <x:v>-7648.6056576</x:v>
      </x:c>
      <x:c r="AJ123" t="n">
        <x:f>AA123/S123</x:f>
        <x:v>-0.5186029785849118</x:v>
      </x:c>
      <x:c r="AK123" t="n">
        <x:f>Z123/Y123</x:f>
        <x:v>0.4125494886635945</x:v>
      </x:c>
    </x:row>
    <x:row r="124" ht="15" hidden="0" customHeight="1">
      <x:c r="A124" s="25" t="str">
        <x:v>FLEX</x:v>
      </x:c>
      <x:c r="B124" s="25" t="n">
        <x:v>5</x:v>
      </x:c>
      <x:c r="C124" s="25" t="str">
        <x:v>Sénégal</x:v>
      </x:c>
      <x:c r="D124" s="25" t="str">
        <x:v>Stress</x:v>
      </x:c>
      <x:c r="E124" s="25" t="n">
        <x:v>8</x:v>
      </x:c>
      <x:c r="F124" s="25" t="n">
        <x:v>4</x:v>
      </x:c>
      <x:c r="G124" s="25" t="n">
        <x:v>3</x:v>
      </x:c>
      <x:c r="H124" s="25" t="n">
        <x:v>35</x:v>
      </x:c>
      <x:c r="I124" s="25" t="str">
        <x:v>Équilibré</x:v>
      </x:c>
      <x:c r="J124" s="25" t="n">
        <x:v>1</x:v>
      </x:c>
      <x:c r="K124" s="25" t="n">
        <x:v>9900</x:v>
      </x:c>
      <x:c r="L124" s="25" t="n">
        <x:v>25900</x:v>
      </x:c>
      <x:c r="M124" s="25" t="n">
        <x:v>35800</x:v>
      </x:c>
      <x:c r="N124" s="25" t="n">
        <x:v>0.24</x:v>
      </x:c>
      <x:c r="O124" s="25" t="n">
        <x:v>0.78</x:v>
      </x:c>
      <x:c r="P124" s="25" t="n">
        <x:v>0.1872</x:v>
      </x:c>
      <x:c r="Q124" s="25" t="n">
        <x:v>0.29700000000000004</x:v>
      </x:c>
      <x:c r="R124" s="25" t="n">
        <x:v>1.8</x:v>
      </x:c>
      <x:c r="S124" s="25" t="n">
        <x:v>14748.48</x:v>
      </x:c>
      <x:c r="T124" s="25" t="n">
        <x:v>884.9087999999999</x:v>
      </x:c>
      <x:c r="U124" s="25" t="n">
        <x:v>368.712</x:v>
      </x:c>
      <x:c r="V124" s="25" t="n">
        <x:v>4872.96</x:v>
      </x:c>
      <x:c r="W124" s="25" t="n">
        <x:v>3202.4678400000003</x:v>
      </x:c>
      <x:c r="X124" s="25" t="n">
        <x:v>48.0370176</x:v>
      </x:c>
      <x:c r="Y124" s="25" t="n">
        <x:v>16275</x:v>
      </x:c>
      <x:c r="Z124" s="25" t="n">
        <x:v>5371.3943424</x:v>
      </x:c>
      <x:c r="AA124" s="25" t="n">
        <x:v>-10903.605657600001</x:v>
      </x:c>
      <x:c r="AB124" s="25" t="n">
        <x:v>-0.739303688081755</x:v>
      </x:c>
      <x:c r="AC124" s="25" t="n">
        <x:v>0.3300395909308756</x:v>
      </x:c>
      <x:c r="AD124" s="25" t="n">
        <x:v>5371.3943424</x:v>
      </x:c>
      <x:c r="AE124" s="25" t="n">
        <x:v>2081.604096</x:v>
      </x:c>
      <x:c r="AF124" s="25" t="n">
        <x:v>5204.01024</x:v>
      </x:c>
      <x:c r="AG124" s="25" t="n">
        <x:v>-3.6765400369388974</x:v>
      </x:c>
      <x:c r="AH124" s="25" t="n">
        <x:v>4.189944134078212</x:v>
      </x:c>
      <x:c r="AI124" t="n">
        <x:f>Z124-Y124</x:f>
        <x:v>-10903.605657600001</x:v>
      </x:c>
      <x:c r="AJ124" t="n">
        <x:f>AA124/S124</x:f>
        <x:v>-0.739303688081755</x:v>
      </x:c>
      <x:c r="AK124" t="n">
        <x:f>Z124/Y124</x:f>
        <x:v>0.3300395909308756</x:v>
      </x:c>
    </x:row>
    <x:row r="125" ht="15" hidden="0" customHeight="1">
      <x:c r="A125" s="25" t="str">
        <x:v>FLEX</x:v>
      </x:c>
      <x:c r="B125" s="25" t="n">
        <x:v>5</x:v>
      </x:c>
      <x:c r="C125" s="25" t="str">
        <x:v>Bénin</x:v>
      </x:c>
      <x:c r="D125" s="25" t="str">
        <x:v>Stress</x:v>
      </x:c>
      <x:c r="E125" s="25" t="n">
        <x:v>8</x:v>
      </x:c>
      <x:c r="F125" s="25" t="n">
        <x:v>4</x:v>
      </x:c>
      <x:c r="G125" s="25" t="n">
        <x:v>3</x:v>
      </x:c>
      <x:c r="H125" s="25" t="n">
        <x:v>35</x:v>
      </x:c>
      <x:c r="I125" s="25" t="str">
        <x:v>Équilibré</x:v>
      </x:c>
      <x:c r="J125" s="25" t="n">
        <x:v>1</x:v>
      </x:c>
      <x:c r="K125" s="25" t="n">
        <x:v>9900</x:v>
      </x:c>
      <x:c r="L125" s="25" t="n">
        <x:v>25900</x:v>
      </x:c>
      <x:c r="M125" s="25" t="n">
        <x:v>35800</x:v>
      </x:c>
      <x:c r="N125" s="25" t="n">
        <x:v>0.24</x:v>
      </x:c>
      <x:c r="O125" s="25" t="n">
        <x:v>0.78</x:v>
      </x:c>
      <x:c r="P125" s="25" t="n">
        <x:v>0.1872</x:v>
      </x:c>
      <x:c r="Q125" s="25" t="n">
        <x:v>0.29700000000000004</x:v>
      </x:c>
      <x:c r="R125" s="25" t="n">
        <x:v>1.8</x:v>
      </x:c>
      <x:c r="S125" s="25" t="n">
        <x:v>14748.48</x:v>
      </x:c>
      <x:c r="T125" s="25" t="n">
        <x:v>884.9087999999999</x:v>
      </x:c>
      <x:c r="U125" s="25" t="n">
        <x:v>368.712</x:v>
      </x:c>
      <x:c r="V125" s="25" t="n">
        <x:v>4872.96</x:v>
      </x:c>
      <x:c r="W125" s="25" t="n">
        <x:v>3202.4678400000003</x:v>
      </x:c>
      <x:c r="X125" s="25" t="n">
        <x:v>48.0370176</x:v>
      </x:c>
      <x:c r="Y125" s="25" t="n">
        <x:v>10850</x:v>
      </x:c>
      <x:c r="Z125" s="25" t="n">
        <x:v>5371.3943424</x:v>
      </x:c>
      <x:c r="AA125" s="25" t="n">
        <x:v>-5478.6056576</x:v>
      </x:c>
      <x:c r="AB125" s="25" t="n">
        <x:v>-0.3714691722536831</x:v>
      </x:c>
      <x:c r="AC125" s="25" t="n">
        <x:v>0.49505938639631336</x:v>
      </x:c>
      <x:c r="AD125" s="25" t="n">
        <x:v>5371.3943424</x:v>
      </x:c>
      <x:c r="AE125" s="25" t="n">
        <x:v>2081.604096</x:v>
      </x:c>
      <x:c r="AF125" s="25" t="n">
        <x:v>5204.01024</x:v>
      </x:c>
      <x:c r="AG125" s="25" t="n">
        <x:v>-1.0703768330786374</x:v>
      </x:c>
      <x:c r="AH125" s="25" t="n">
        <x:v>4.189944134078212</x:v>
      </x:c>
      <x:c r="AI125" t="n">
        <x:f>Z125-Y125</x:f>
        <x:v>-5478.6056576</x:v>
      </x:c>
      <x:c r="AJ125" t="n">
        <x:f>AA125/S125</x:f>
        <x:v>-0.3714691722536831</x:v>
      </x:c>
      <x:c r="AK125" t="n">
        <x:f>Z125/Y125</x:f>
        <x:v>0.49505938639631336</x:v>
      </x:c>
    </x:row>
    <x:row r="126" ht="15" hidden="0" customHeight="1">
      <x:c r="A126" s="25" t="str">
        <x:v>FLEX</x:v>
      </x:c>
      <x:c r="B126" s="25" t="n">
        <x:v>5</x:v>
      </x:c>
      <x:c r="C126" s="25" t="str">
        <x:v>Burkina Faso</x:v>
      </x:c>
      <x:c r="D126" s="25" t="str">
        <x:v>Stress</x:v>
      </x:c>
      <x:c r="E126" s="25" t="n">
        <x:v>8</x:v>
      </x:c>
      <x:c r="F126" s="25" t="n">
        <x:v>4</x:v>
      </x:c>
      <x:c r="G126" s="25" t="n">
        <x:v>3</x:v>
      </x:c>
      <x:c r="H126" s="25" t="n">
        <x:v>35</x:v>
      </x:c>
      <x:c r="I126" s="25" t="str">
        <x:v>Équilibré</x:v>
      </x:c>
      <x:c r="J126" s="25" t="n">
        <x:v>1</x:v>
      </x:c>
      <x:c r="K126" s="25" t="n">
        <x:v>9900</x:v>
      </x:c>
      <x:c r="L126" s="25" t="n">
        <x:v>25900</x:v>
      </x:c>
      <x:c r="M126" s="25" t="n">
        <x:v>35800</x:v>
      </x:c>
      <x:c r="N126" s="25" t="n">
        <x:v>0.24</x:v>
      </x:c>
      <x:c r="O126" s="25" t="n">
        <x:v>0.78</x:v>
      </x:c>
      <x:c r="P126" s="25" t="n">
        <x:v>0.1872</x:v>
      </x:c>
      <x:c r="Q126" s="25" t="n">
        <x:v>0.29700000000000004</x:v>
      </x:c>
      <x:c r="R126" s="25" t="n">
        <x:v>1.8</x:v>
      </x:c>
      <x:c r="S126" s="25" t="n">
        <x:v>14748.48</x:v>
      </x:c>
      <x:c r="T126" s="25" t="n">
        <x:v>884.9087999999999</x:v>
      </x:c>
      <x:c r="U126" s="25" t="n">
        <x:v>368.712</x:v>
      </x:c>
      <x:c r="V126" s="25" t="n">
        <x:v>4872.96</x:v>
      </x:c>
      <x:c r="W126" s="25" t="n">
        <x:v>3202.4678400000003</x:v>
      </x:c>
      <x:c r="X126" s="25" t="n">
        <x:v>48.0370176</x:v>
      </x:c>
      <x:c r="Y126" s="25" t="n">
        <x:v>12477.499999999998</x:v>
      </x:c>
      <x:c r="Z126" s="25" t="n">
        <x:v>5371.3943424</x:v>
      </x:c>
      <x:c r="AA126" s="25" t="n">
        <x:v>-7106.105657599998</x:v>
      </x:c>
      <x:c r="AB126" s="25" t="n">
        <x:v>-0.4818195270021045</x:v>
      </x:c>
      <x:c r="AC126" s="25" t="n">
        <x:v>0.430486422953316</x:v>
      </x:c>
      <x:c r="AD126" s="25" t="n">
        <x:v>5371.3943424</x:v>
      </x:c>
      <x:c r="AE126" s="25" t="n">
        <x:v>2081.604096</x:v>
      </x:c>
      <x:c r="AF126" s="25" t="n">
        <x:v>5204.01024</x:v>
      </x:c>
      <x:c r="AG126" s="25" t="n">
        <x:v>-1.8522257942367146</x:v>
      </x:c>
      <x:c r="AH126" s="25" t="n">
        <x:v>4.189944134078212</x:v>
      </x:c>
      <x:c r="AI126" t="n">
        <x:f>Z126-Y126</x:f>
        <x:v>-7106.105657599998</x:v>
      </x:c>
      <x:c r="AJ126" t="n">
        <x:f>AA126/S126</x:f>
        <x:v>-0.4818195270021045</x:v>
      </x:c>
      <x:c r="AK126" t="n">
        <x:f>Z126/Y126</x:f>
        <x:v>0.430486422953316</x:v>
      </x:c>
    </x:row>
    <x:row r="127" ht="15" hidden="0" customHeight="1">
      <x:c r="A127" s="25" t="str">
        <x:v>FLEX</x:v>
      </x:c>
      <x:c r="B127" s="25" t="n">
        <x:v>5</x:v>
      </x:c>
      <x:c r="C127" s="25" t="str">
        <x:v>Togo</x:v>
      </x:c>
      <x:c r="D127" s="25" t="str">
        <x:v>Stress</x:v>
      </x:c>
      <x:c r="E127" s="25" t="n">
        <x:v>8</x:v>
      </x:c>
      <x:c r="F127" s="25" t="n">
        <x:v>4</x:v>
      </x:c>
      <x:c r="G127" s="25" t="n">
        <x:v>3</x:v>
      </x:c>
      <x:c r="H127" s="25" t="n">
        <x:v>35</x:v>
      </x:c>
      <x:c r="I127" s="25" t="str">
        <x:v>Équilibré</x:v>
      </x:c>
      <x:c r="J127" s="25" t="n">
        <x:v>1</x:v>
      </x:c>
      <x:c r="K127" s="25" t="n">
        <x:v>9900</x:v>
      </x:c>
      <x:c r="L127" s="25" t="n">
        <x:v>25900</x:v>
      </x:c>
      <x:c r="M127" s="25" t="n">
        <x:v>35800</x:v>
      </x:c>
      <x:c r="N127" s="25" t="n">
        <x:v>0.24</x:v>
      </x:c>
      <x:c r="O127" s="25" t="n">
        <x:v>0.78</x:v>
      </x:c>
      <x:c r="P127" s="25" t="n">
        <x:v>0.1872</x:v>
      </x:c>
      <x:c r="Q127" s="25" t="n">
        <x:v>0.29700000000000004</x:v>
      </x:c>
      <x:c r="R127" s="25" t="n">
        <x:v>1.8</x:v>
      </x:c>
      <x:c r="S127" s="25" t="n">
        <x:v>14748.48</x:v>
      </x:c>
      <x:c r="T127" s="25" t="n">
        <x:v>884.9087999999999</x:v>
      </x:c>
      <x:c r="U127" s="25" t="n">
        <x:v>368.712</x:v>
      </x:c>
      <x:c r="V127" s="25" t="n">
        <x:v>4872.96</x:v>
      </x:c>
      <x:c r="W127" s="25" t="n">
        <x:v>3202.4678400000003</x:v>
      </x:c>
      <x:c r="X127" s="25" t="n">
        <x:v>48.0370176</x:v>
      </x:c>
      <x:c r="Y127" s="25" t="n">
        <x:v>15190</x:v>
      </x:c>
      <x:c r="Z127" s="25" t="n">
        <x:v>5371.3943424</x:v>
      </x:c>
      <x:c r="AA127" s="25" t="n">
        <x:v>-9818.605657600001</x:v>
      </x:c>
      <x:c r="AB127" s="25" t="n">
        <x:v>-0.6657367849161406</x:v>
      </x:c>
      <x:c r="AC127" s="25" t="n">
        <x:v>0.3536138474259381</x:v>
      </x:c>
      <x:c r="AD127" s="25" t="n">
        <x:v>5371.3943424</x:v>
      </x:c>
      <x:c r="AE127" s="25" t="n">
        <x:v>2081.604096</x:v>
      </x:c>
      <x:c r="AF127" s="25" t="n">
        <x:v>5204.01024</x:v>
      </x:c>
      <x:c r="AG127" s="25" t="n">
        <x:v>-3.155307396166845</x:v>
      </x:c>
      <x:c r="AH127" s="25" t="n">
        <x:v>4.189944134078212</x:v>
      </x:c>
      <x:c r="AI127" t="n">
        <x:f>Z127-Y127</x:f>
        <x:v>-9818.605657600001</x:v>
      </x:c>
      <x:c r="AJ127" t="n">
        <x:f>AA127/S127</x:f>
        <x:v>-0.6657367849161406</x:v>
      </x:c>
      <x:c r="AK127" t="n">
        <x:f>Z127/Y127</x:f>
        <x:v>0.3536138474259381</x:v>
      </x:c>
    </x:row>
    <x:row r="128" ht="15" hidden="0" customHeight="1">
      <x:c r="A128" s="25" t="str">
        <x:v>FLEX</x:v>
      </x:c>
      <x:c r="B128" s="25" t="n">
        <x:v>10</x:v>
      </x:c>
      <x:c r="C128" s="25" t="str">
        <x:v>Côte d’Ivoire</x:v>
      </x:c>
      <x:c r="D128" s="25" t="str">
        <x:v>Stress</x:v>
      </x:c>
      <x:c r="E128" s="25" t="n">
        <x:v>8</x:v>
      </x:c>
      <x:c r="F128" s="25" t="n">
        <x:v>4</x:v>
      </x:c>
      <x:c r="G128" s="25" t="n">
        <x:v>3</x:v>
      </x:c>
      <x:c r="H128" s="25" t="n">
        <x:v>35</x:v>
      </x:c>
      <x:c r="I128" s="25" t="str">
        <x:v>Équilibré</x:v>
      </x:c>
      <x:c r="J128" s="25" t="n">
        <x:v>1</x:v>
      </x:c>
      <x:c r="K128" s="25" t="n">
        <x:v>14900</x:v>
      </x:c>
      <x:c r="L128" s="25" t="n">
        <x:v>39900</x:v>
      </x:c>
      <x:c r="M128" s="25" t="n">
        <x:v>54800</x:v>
      </x:c>
      <x:c r="N128" s="25" t="n">
        <x:v>0.24</x:v>
      </x:c>
      <x:c r="O128" s="25" t="n">
        <x:v>0.78</x:v>
      </x:c>
      <x:c r="P128" s="25" t="n">
        <x:v>0.1872</x:v>
      </x:c>
      <x:c r="Q128" s="25" t="n">
        <x:v>0.29700000000000004</x:v>
      </x:c>
      <x:c r="R128" s="25" t="n">
        <x:v>1.8</x:v>
      </x:c>
      <x:c r="S128" s="25" t="n">
        <x:v>22369.28</x:v>
      </x:c>
      <x:c r="T128" s="25" t="n">
        <x:v>1342.1568</x:v>
      </x:c>
      <x:c r="U128" s="25" t="n">
        <x:v>559.232</x:v>
      </x:c>
      <x:c r="V128" s="25" t="n">
        <x:v>4872.96</x:v>
      </x:c>
      <x:c r="W128" s="25" t="n">
        <x:v>6404.9356800000005</x:v>
      </x:c>
      <x:c r="X128" s="25" t="n">
        <x:v>96.0740352</x:v>
      </x:c>
      <x:c r="Y128" s="25" t="n">
        <x:v>11934.999999999998</x:v>
      </x:c>
      <x:c r="Z128" s="25" t="n">
        <x:v>9093.9214848</x:v>
      </x:c>
      <x:c r="AA128" s="25" t="n">
        <x:v>-2841.078515199999</x:v>
      </x:c>
      <x:c r="AB128" s="25" t="n">
        <x:v>-0.12700804474708166</x:v>
      </x:c>
      <x:c r="AC128" s="25" t="n">
        <x:v>0.761954041457897</x:v>
      </x:c>
      <x:c r="AD128" s="25" t="n">
        <x:v>9093.9214848</x:v>
      </x:c>
      <x:c r="AE128" s="25" t="n">
        <x:v>4163.208192</x:v>
      </x:c>
      <x:c r="AF128" s="25" t="n">
        <x:v>10408.02048</x:v>
      </x:c>
      <x:c r="AG128" s="25" t="n">
        <x:v>0.8791131817603804</x:v>
      </x:c>
      <x:c r="AH128" s="25" t="n">
        <x:v>4.37956204379562</x:v>
      </x:c>
      <x:c r="AI128" t="n">
        <x:f>Z128-Y128</x:f>
        <x:v>-2841.078515199999</x:v>
      </x:c>
      <x:c r="AJ128" t="n">
        <x:f>AA128/S128</x:f>
        <x:v>-0.12700804474708166</x:v>
      </x:c>
      <x:c r="AK128" t="n">
        <x:f>Z128/Y128</x:f>
        <x:v>0.761954041457897</x:v>
      </x:c>
    </x:row>
    <x:row r="129" ht="15" hidden="0" customHeight="1">
      <x:c r="A129" s="25" t="str">
        <x:v>FLEX</x:v>
      </x:c>
      <x:c r="B129" s="25" t="n">
        <x:v>10</x:v>
      </x:c>
      <x:c r="C129" s="25" t="str">
        <x:v>Cameroun</x:v>
      </x:c>
      <x:c r="D129" s="25" t="str">
        <x:v>Stress</x:v>
      </x:c>
      <x:c r="E129" s="25" t="n">
        <x:v>8</x:v>
      </x:c>
      <x:c r="F129" s="25" t="n">
        <x:v>4</x:v>
      </x:c>
      <x:c r="G129" s="25" t="n">
        <x:v>3</x:v>
      </x:c>
      <x:c r="H129" s="25" t="n">
        <x:v>35</x:v>
      </x:c>
      <x:c r="I129" s="25" t="str">
        <x:v>Équilibré</x:v>
      </x:c>
      <x:c r="J129" s="25" t="n">
        <x:v>1</x:v>
      </x:c>
      <x:c r="K129" s="25" t="n">
        <x:v>14900</x:v>
      </x:c>
      <x:c r="L129" s="25" t="n">
        <x:v>39900</x:v>
      </x:c>
      <x:c r="M129" s="25" t="n">
        <x:v>54800</x:v>
      </x:c>
      <x:c r="N129" s="25" t="n">
        <x:v>0.24</x:v>
      </x:c>
      <x:c r="O129" s="25" t="n">
        <x:v>0.78</x:v>
      </x:c>
      <x:c r="P129" s="25" t="n">
        <x:v>0.1872</x:v>
      </x:c>
      <x:c r="Q129" s="25" t="n">
        <x:v>0.29700000000000004</x:v>
      </x:c>
      <x:c r="R129" s="25" t="n">
        <x:v>1.8</x:v>
      </x:c>
      <x:c r="S129" s="25" t="n">
        <x:v>22369.28</x:v>
      </x:c>
      <x:c r="T129" s="25" t="n">
        <x:v>1342.1568</x:v>
      </x:c>
      <x:c r="U129" s="25" t="n">
        <x:v>559.232</x:v>
      </x:c>
      <x:c r="V129" s="25" t="n">
        <x:v>4872.96</x:v>
      </x:c>
      <x:c r="W129" s="25" t="n">
        <x:v>6404.9356800000005</x:v>
      </x:c>
      <x:c r="X129" s="25" t="n">
        <x:v>96.0740352</x:v>
      </x:c>
      <x:c r="Y129" s="25" t="n">
        <x:v>13020</x:v>
      </x:c>
      <x:c r="Z129" s="25" t="n">
        <x:v>9093.9214848</x:v>
      </x:c>
      <x:c r="AA129" s="25" t="n">
        <x:v>-3926.0785152000008</x:v>
      </x:c>
      <x:c r="AB129" s="25" t="n">
        <x:v>-0.17551206454566268</x:v>
      </x:c>
      <x:c r="AC129" s="25" t="n">
        <x:v>0.6984578713364055</x:v>
      </x:c>
      <x:c r="AD129" s="25" t="n">
        <x:v>9093.9214848</x:v>
      </x:c>
      <x:c r="AE129" s="25" t="n">
        <x:v>4163.208192</x:v>
      </x:c>
      <x:c r="AF129" s="25" t="n">
        <x:v>10408.02048</x:v>
      </x:c>
      <x:c r="AG129" s="25" t="n">
        <x:v>0.618496861374354</x:v>
      </x:c>
      <x:c r="AH129" s="25" t="n">
        <x:v>4.37956204379562</x:v>
      </x:c>
      <x:c r="AI129" t="n">
        <x:f>Z129-Y129</x:f>
        <x:v>-3926.0785152000008</x:v>
      </x:c>
      <x:c r="AJ129" t="n">
        <x:f>AA129/S129</x:f>
        <x:v>-0.17551206454566268</x:v>
      </x:c>
      <x:c r="AK129" t="n">
        <x:f>Z129/Y129</x:f>
        <x:v>0.6984578713364055</x:v>
      </x:c>
    </x:row>
    <x:row r="130" ht="15" hidden="0" customHeight="1">
      <x:c r="A130" s="25" t="str">
        <x:v>FLEX</x:v>
      </x:c>
      <x:c r="B130" s="25" t="n">
        <x:v>10</x:v>
      </x:c>
      <x:c r="C130" s="25" t="str">
        <x:v>Sénégal</x:v>
      </x:c>
      <x:c r="D130" s="25" t="str">
        <x:v>Stress</x:v>
      </x:c>
      <x:c r="E130" s="25" t="n">
        <x:v>8</x:v>
      </x:c>
      <x:c r="F130" s="25" t="n">
        <x:v>4</x:v>
      </x:c>
      <x:c r="G130" s="25" t="n">
        <x:v>3</x:v>
      </x:c>
      <x:c r="H130" s="25" t="n">
        <x:v>35</x:v>
      </x:c>
      <x:c r="I130" s="25" t="str">
        <x:v>Équilibré</x:v>
      </x:c>
      <x:c r="J130" s="25" t="n">
        <x:v>1</x:v>
      </x:c>
      <x:c r="K130" s="25" t="n">
        <x:v>14900</x:v>
      </x:c>
      <x:c r="L130" s="25" t="n">
        <x:v>39900</x:v>
      </x:c>
      <x:c r="M130" s="25" t="n">
        <x:v>54800</x:v>
      </x:c>
      <x:c r="N130" s="25" t="n">
        <x:v>0.24</x:v>
      </x:c>
      <x:c r="O130" s="25" t="n">
        <x:v>0.78</x:v>
      </x:c>
      <x:c r="P130" s="25" t="n">
        <x:v>0.1872</x:v>
      </x:c>
      <x:c r="Q130" s="25" t="n">
        <x:v>0.29700000000000004</x:v>
      </x:c>
      <x:c r="R130" s="25" t="n">
        <x:v>1.8</x:v>
      </x:c>
      <x:c r="S130" s="25" t="n">
        <x:v>22369.28</x:v>
      </x:c>
      <x:c r="T130" s="25" t="n">
        <x:v>1342.1568</x:v>
      </x:c>
      <x:c r="U130" s="25" t="n">
        <x:v>559.232</x:v>
      </x:c>
      <x:c r="V130" s="25" t="n">
        <x:v>4872.96</x:v>
      </x:c>
      <x:c r="W130" s="25" t="n">
        <x:v>6404.9356800000005</x:v>
      </x:c>
      <x:c r="X130" s="25" t="n">
        <x:v>96.0740352</x:v>
      </x:c>
      <x:c r="Y130" s="25" t="n">
        <x:v>16275</x:v>
      </x:c>
      <x:c r="Z130" s="25" t="n">
        <x:v>9093.9214848</x:v>
      </x:c>
      <x:c r="AA130" s="25" t="n">
        <x:v>-7181.078515200001</x:v>
      </x:c>
      <x:c r="AB130" s="25" t="n">
        <x:v>-0.3210241239414054</x:v>
      </x:c>
      <x:c r="AC130" s="25" t="n">
        <x:v>0.5587662970691244</x:v>
      </x:c>
      <x:c r="AD130" s="25" t="n">
        <x:v>9093.9214848</x:v>
      </x:c>
      <x:c r="AE130" s="25" t="n">
        <x:v>4163.208192</x:v>
      </x:c>
      <x:c r="AF130" s="25" t="n">
        <x:v>10408.02048</x:v>
      </x:c>
      <x:c r="AG130" s="25" t="n">
        <x:v>-0.16335209978372395</x:v>
      </x:c>
      <x:c r="AH130" s="25" t="n">
        <x:v>4.37956204379562</x:v>
      </x:c>
      <x:c r="AI130" t="n">
        <x:f>Z130-Y130</x:f>
        <x:v>-7181.078515200001</x:v>
      </x:c>
      <x:c r="AJ130" t="n">
        <x:f>AA130/S130</x:f>
        <x:v>-0.3210241239414054</x:v>
      </x:c>
      <x:c r="AK130" t="n">
        <x:f>Z130/Y130</x:f>
        <x:v>0.5587662970691244</x:v>
      </x:c>
    </x:row>
    <x:row r="131" ht="15" hidden="0" customHeight="1">
      <x:c r="A131" s="25" t="str">
        <x:v>FLEX</x:v>
      </x:c>
      <x:c r="B131" s="25" t="n">
        <x:v>10</x:v>
      </x:c>
      <x:c r="C131" s="25" t="str">
        <x:v>Bénin</x:v>
      </x:c>
      <x:c r="D131" s="25" t="str">
        <x:v>Stress</x:v>
      </x:c>
      <x:c r="E131" s="25" t="n">
        <x:v>8</x:v>
      </x:c>
      <x:c r="F131" s="25" t="n">
        <x:v>4</x:v>
      </x:c>
      <x:c r="G131" s="25" t="n">
        <x:v>3</x:v>
      </x:c>
      <x:c r="H131" s="25" t="n">
        <x:v>35</x:v>
      </x:c>
      <x:c r="I131" s="25" t="str">
        <x:v>Équilibré</x:v>
      </x:c>
      <x:c r="J131" s="25" t="n">
        <x:v>1</x:v>
      </x:c>
      <x:c r="K131" s="25" t="n">
        <x:v>14900</x:v>
      </x:c>
      <x:c r="L131" s="25" t="n">
        <x:v>39900</x:v>
      </x:c>
      <x:c r="M131" s="25" t="n">
        <x:v>54800</x:v>
      </x:c>
      <x:c r="N131" s="25" t="n">
        <x:v>0.24</x:v>
      </x:c>
      <x:c r="O131" s="25" t="n">
        <x:v>0.78</x:v>
      </x:c>
      <x:c r="P131" s="25" t="n">
        <x:v>0.1872</x:v>
      </x:c>
      <x:c r="Q131" s="25" t="n">
        <x:v>0.29700000000000004</x:v>
      </x:c>
      <x:c r="R131" s="25" t="n">
        <x:v>1.8</x:v>
      </x:c>
      <x:c r="S131" s="25" t="n">
        <x:v>22369.28</x:v>
      </x:c>
      <x:c r="T131" s="25" t="n">
        <x:v>1342.1568</x:v>
      </x:c>
      <x:c r="U131" s="25" t="n">
        <x:v>559.232</x:v>
      </x:c>
      <x:c r="V131" s="25" t="n">
        <x:v>4872.96</x:v>
      </x:c>
      <x:c r="W131" s="25" t="n">
        <x:v>6404.9356800000005</x:v>
      </x:c>
      <x:c r="X131" s="25" t="n">
        <x:v>96.0740352</x:v>
      </x:c>
      <x:c r="Y131" s="25" t="n">
        <x:v>10850</x:v>
      </x:c>
      <x:c r="Z131" s="25" t="n">
        <x:v>9093.9214848</x:v>
      </x:c>
      <x:c r="AA131" s="25" t="n">
        <x:v>-1756.0785152000008</x:v>
      </x:c>
      <x:c r="AB131" s="25" t="n">
        <x:v>-0.07850402494850084</x:v>
      </x:c>
      <x:c r="AC131" s="25" t="n">
        <x:v>0.8381494456036865</x:v>
      </x:c>
      <x:c r="AD131" s="25" t="n">
        <x:v>9093.9214848</x:v>
      </x:c>
      <x:c r="AE131" s="25" t="n">
        <x:v>4163.208192</x:v>
      </x:c>
      <x:c r="AF131" s="25" t="n">
        <x:v>10408.02048</x:v>
      </x:c>
      <x:c r="AG131" s="25" t="n">
        <x:v>1.139729502146406</x:v>
      </x:c>
      <x:c r="AH131" s="25" t="n">
        <x:v>4.37956204379562</x:v>
      </x:c>
      <x:c r="AI131" t="n">
        <x:f>Z131-Y131</x:f>
        <x:v>-1756.0785152000008</x:v>
      </x:c>
      <x:c r="AJ131" t="n">
        <x:f>AA131/S131</x:f>
        <x:v>-0.07850402494850084</x:v>
      </x:c>
      <x:c r="AK131" t="n">
        <x:f>Z131/Y131</x:f>
        <x:v>0.8381494456036865</x:v>
      </x:c>
    </x:row>
    <x:row r="132" ht="15" hidden="0" customHeight="1">
      <x:c r="A132" s="25" t="str">
        <x:v>FLEX</x:v>
      </x:c>
      <x:c r="B132" s="25" t="n">
        <x:v>10</x:v>
      </x:c>
      <x:c r="C132" s="25" t="str">
        <x:v>Burkina Faso</x:v>
      </x:c>
      <x:c r="D132" s="25" t="str">
        <x:v>Stress</x:v>
      </x:c>
      <x:c r="E132" s="25" t="n">
        <x:v>8</x:v>
      </x:c>
      <x:c r="F132" s="25" t="n">
        <x:v>4</x:v>
      </x:c>
      <x:c r="G132" s="25" t="n">
        <x:v>3</x:v>
      </x:c>
      <x:c r="H132" s="25" t="n">
        <x:v>35</x:v>
      </x:c>
      <x:c r="I132" s="25" t="str">
        <x:v>Équilibré</x:v>
      </x:c>
      <x:c r="J132" s="25" t="n">
        <x:v>1</x:v>
      </x:c>
      <x:c r="K132" s="25" t="n">
        <x:v>14900</x:v>
      </x:c>
      <x:c r="L132" s="25" t="n">
        <x:v>39900</x:v>
      </x:c>
      <x:c r="M132" s="25" t="n">
        <x:v>54800</x:v>
      </x:c>
      <x:c r="N132" s="25" t="n">
        <x:v>0.24</x:v>
      </x:c>
      <x:c r="O132" s="25" t="n">
        <x:v>0.78</x:v>
      </x:c>
      <x:c r="P132" s="25" t="n">
        <x:v>0.1872</x:v>
      </x:c>
      <x:c r="Q132" s="25" t="n">
        <x:v>0.29700000000000004</x:v>
      </x:c>
      <x:c r="R132" s="25" t="n">
        <x:v>1.8</x:v>
      </x:c>
      <x:c r="S132" s="25" t="n">
        <x:v>22369.28</x:v>
      </x:c>
      <x:c r="T132" s="25" t="n">
        <x:v>1342.1568</x:v>
      </x:c>
      <x:c r="U132" s="25" t="n">
        <x:v>559.232</x:v>
      </x:c>
      <x:c r="V132" s="25" t="n">
        <x:v>4872.96</x:v>
      </x:c>
      <x:c r="W132" s="25" t="n">
        <x:v>6404.9356800000005</x:v>
      </x:c>
      <x:c r="X132" s="25" t="n">
        <x:v>96.0740352</x:v>
      </x:c>
      <x:c r="Y132" s="25" t="n">
        <x:v>12477.499999999998</x:v>
      </x:c>
      <x:c r="Z132" s="25" t="n">
        <x:v>9093.9214848</x:v>
      </x:c>
      <x:c r="AA132" s="25" t="n">
        <x:v>-3383.578515199999</x:v>
      </x:c>
      <x:c r="AB132" s="25" t="n">
        <x:v>-0.15126005464637213</x:v>
      </x:c>
      <x:c r="AC132" s="25" t="n">
        <x:v>0.728825604872771</x:v>
      </x:c>
      <x:c r="AD132" s="25" t="n">
        <x:v>9093.9214848</x:v>
      </x:c>
      <x:c r="AE132" s="25" t="n">
        <x:v>4163.208192</x:v>
      </x:c>
      <x:c r="AF132" s="25" t="n">
        <x:v>10408.02048</x:v>
      </x:c>
      <x:c r="AG132" s="25" t="n">
        <x:v>0.7488050215673675</x:v>
      </x:c>
      <x:c r="AH132" s="25" t="n">
        <x:v>4.37956204379562</x:v>
      </x:c>
      <x:c r="AI132" t="n">
        <x:f>Z132-Y132</x:f>
        <x:v>-3383.578515199999</x:v>
      </x:c>
      <x:c r="AJ132" t="n">
        <x:f>AA132/S132</x:f>
        <x:v>-0.15126005464637213</x:v>
      </x:c>
      <x:c r="AK132" t="n">
        <x:f>Z132/Y132</x:f>
        <x:v>0.728825604872771</x:v>
      </x:c>
    </x:row>
    <x:row r="133" ht="15" hidden="0" customHeight="1">
      <x:c r="A133" s="25" t="str">
        <x:v>FLEX</x:v>
      </x:c>
      <x:c r="B133" s="25" t="n">
        <x:v>10</x:v>
      </x:c>
      <x:c r="C133" s="25" t="str">
        <x:v>Togo</x:v>
      </x:c>
      <x:c r="D133" s="25" t="str">
        <x:v>Stress</x:v>
      </x:c>
      <x:c r="E133" s="25" t="n">
        <x:v>8</x:v>
      </x:c>
      <x:c r="F133" s="25" t="n">
        <x:v>4</x:v>
      </x:c>
      <x:c r="G133" s="25" t="n">
        <x:v>3</x:v>
      </x:c>
      <x:c r="H133" s="25" t="n">
        <x:v>35</x:v>
      </x:c>
      <x:c r="I133" s="25" t="str">
        <x:v>Équilibré</x:v>
      </x:c>
      <x:c r="J133" s="25" t="n">
        <x:v>1</x:v>
      </x:c>
      <x:c r="K133" s="25" t="n">
        <x:v>14900</x:v>
      </x:c>
      <x:c r="L133" s="25" t="n">
        <x:v>39900</x:v>
      </x:c>
      <x:c r="M133" s="25" t="n">
        <x:v>54800</x:v>
      </x:c>
      <x:c r="N133" s="25" t="n">
        <x:v>0.24</x:v>
      </x:c>
      <x:c r="O133" s="25" t="n">
        <x:v>0.78</x:v>
      </x:c>
      <x:c r="P133" s="25" t="n">
        <x:v>0.1872</x:v>
      </x:c>
      <x:c r="Q133" s="25" t="n">
        <x:v>0.29700000000000004</x:v>
      </x:c>
      <x:c r="R133" s="25" t="n">
        <x:v>1.8</x:v>
      </x:c>
      <x:c r="S133" s="25" t="n">
        <x:v>22369.28</x:v>
      </x:c>
      <x:c r="T133" s="25" t="n">
        <x:v>1342.1568</x:v>
      </x:c>
      <x:c r="U133" s="25" t="n">
        <x:v>559.232</x:v>
      </x:c>
      <x:c r="V133" s="25" t="n">
        <x:v>4872.96</x:v>
      </x:c>
      <x:c r="W133" s="25" t="n">
        <x:v>6404.9356800000005</x:v>
      </x:c>
      <x:c r="X133" s="25" t="n">
        <x:v>96.0740352</x:v>
      </x:c>
      <x:c r="Y133" s="25" t="n">
        <x:v>15190</x:v>
      </x:c>
      <x:c r="Z133" s="25" t="n">
        <x:v>9093.9214848</x:v>
      </x:c>
      <x:c r="AA133" s="25" t="n">
        <x:v>-6096.078515200001</x:v>
      </x:c>
      <x:c r="AB133" s="25" t="n">
        <x:v>-0.2725201041428245</x:v>
      </x:c>
      <x:c r="AC133" s="25" t="n">
        <x:v>0.5986781754312047</x:v>
      </x:c>
      <x:c r="AD133" s="25" t="n">
        <x:v>9093.9214848</x:v>
      </x:c>
      <x:c r="AE133" s="25" t="n">
        <x:v>4163.208192</x:v>
      </x:c>
      <x:c r="AF133" s="25" t="n">
        <x:v>10408.02048</x:v>
      </x:c>
      <x:c r="AG133" s="25" t="n">
        <x:v>0.09726422060230205</x:v>
      </x:c>
      <x:c r="AH133" s="25" t="n">
        <x:v>4.37956204379562</x:v>
      </x:c>
      <x:c r="AI133" t="n">
        <x:f>Z133-Y133</x:f>
        <x:v>-6096.078515200001</x:v>
      </x:c>
      <x:c r="AJ133" t="n">
        <x:f>AA133/S133</x:f>
        <x:v>-0.2725201041428245</x:v>
      </x:c>
      <x:c r="AK133" t="n">
        <x:f>Z133/Y133</x:f>
        <x:v>0.5986781754312047</x:v>
      </x:c>
    </x:row>
    <x:row r="134" ht="15" hidden="0" customHeight="1">
      <x:c r="A134" s="25" t="str">
        <x:v>FLEX</x:v>
      </x:c>
      <x:c r="B134" s="25" t="n">
        <x:v>25</x:v>
      </x:c>
      <x:c r="C134" s="25" t="str">
        <x:v>Côte d’Ivoire</x:v>
      </x:c>
      <x:c r="D134" s="25" t="str">
        <x:v>Stress</x:v>
      </x:c>
      <x:c r="E134" s="25" t="n">
        <x:v>8</x:v>
      </x:c>
      <x:c r="F134" s="25" t="n">
        <x:v>4</x:v>
      </x:c>
      <x:c r="G134" s="25" t="n">
        <x:v>3</x:v>
      </x:c>
      <x:c r="H134" s="25" t="n">
        <x:v>35</x:v>
      </x:c>
      <x:c r="I134" s="25" t="str">
        <x:v>Équilibré</x:v>
      </x:c>
      <x:c r="J134" s="25" t="n">
        <x:v>1</x:v>
      </x:c>
      <x:c r="K134" s="25" t="n">
        <x:v>24900</x:v>
      </x:c>
      <x:c r="L134" s="25" t="n">
        <x:v>109900</x:v>
      </x:c>
      <x:c r="M134" s="25" t="n">
        <x:v>134800</x:v>
      </x:c>
      <x:c r="N134" s="25" t="n">
        <x:v>0.24</x:v>
      </x:c>
      <x:c r="O134" s="25" t="n">
        <x:v>0.78</x:v>
      </x:c>
      <x:c r="P134" s="25" t="n">
        <x:v>0.1872</x:v>
      </x:c>
      <x:c r="Q134" s="25" t="n">
        <x:v>0.29700000000000004</x:v>
      </x:c>
      <x:c r="R134" s="25" t="n">
        <x:v>1.8</x:v>
      </x:c>
      <x:c r="S134" s="25" t="n">
        <x:v>45473.28</x:v>
      </x:c>
      <x:c r="T134" s="25" t="n">
        <x:v>2728.3968</x:v>
      </x:c>
      <x:c r="U134" s="25" t="n">
        <x:v>1136.832</x:v>
      </x:c>
      <x:c r="V134" s="25" t="n">
        <x:v>4872.96</x:v>
      </x:c>
      <x:c r="W134" s="25" t="n">
        <x:v>16012.339200000002</x:v>
      </x:c>
      <x:c r="X134" s="25" t="n">
        <x:v>240.18508800000004</x:v>
      </x:c>
      <x:c r="Y134" s="25" t="n">
        <x:v>11934.999999999998</x:v>
      </x:c>
      <x:c r="Z134" s="25" t="n">
        <x:v>20482.566911999995</x:v>
      </x:c>
      <x:c r="AA134" s="25" t="n">
        <x:v>8547.566911999997</x:v>
      </x:c>
      <x:c r="AB134" s="25" t="n">
        <x:v>0.1879689987614704</x:v>
      </x:c>
      <x:c r="AC134" s="25" t="n">
        <x:v>1.7161765322161708</x:v>
      </x:c>
      <x:c r="AD134" s="25" t="n">
        <x:v>20482.566911999995</x:v>
      </x:c>
      <x:c r="AE134" s="25" t="n">
        <x:v>10408.020480000001</x:v>
      </x:c>
      <x:c r="AF134" s="25" t="n">
        <x:v>26020.0512</x:v>
      </x:c>
      <x:c r="AG134" s="25" t="n">
        <x:v>2.3827865488596727</x:v>
      </x:c>
      <x:c r="AH134" s="25" t="n">
        <x:v>4.005934718100891</x:v>
      </x:c>
      <x:c r="AI134" t="n">
        <x:f>Z134-Y134</x:f>
        <x:v>8547.566911999997</x:v>
      </x:c>
      <x:c r="AJ134" t="n">
        <x:f>AA134/S134</x:f>
        <x:v>0.1879689987614704</x:v>
      </x:c>
      <x:c r="AK134" t="n">
        <x:f>Z134/Y134</x:f>
        <x:v>1.7161765322161708</x:v>
      </x:c>
    </x:row>
    <x:row r="135" ht="15" hidden="0" customHeight="1">
      <x:c r="A135" s="25" t="str">
        <x:v>FLEX</x:v>
      </x:c>
      <x:c r="B135" s="25" t="n">
        <x:v>25</x:v>
      </x:c>
      <x:c r="C135" s="25" t="str">
        <x:v>Cameroun</x:v>
      </x:c>
      <x:c r="D135" s="25" t="str">
        <x:v>Stress</x:v>
      </x:c>
      <x:c r="E135" s="25" t="n">
        <x:v>8</x:v>
      </x:c>
      <x:c r="F135" s="25" t="n">
        <x:v>4</x:v>
      </x:c>
      <x:c r="G135" s="25" t="n">
        <x:v>3</x:v>
      </x:c>
      <x:c r="H135" s="25" t="n">
        <x:v>35</x:v>
      </x:c>
      <x:c r="I135" s="25" t="str">
        <x:v>Équilibré</x:v>
      </x:c>
      <x:c r="J135" s="25" t="n">
        <x:v>1</x:v>
      </x:c>
      <x:c r="K135" s="25" t="n">
        <x:v>24900</x:v>
      </x:c>
      <x:c r="L135" s="25" t="n">
        <x:v>109900</x:v>
      </x:c>
      <x:c r="M135" s="25" t="n">
        <x:v>134800</x:v>
      </x:c>
      <x:c r="N135" s="25" t="n">
        <x:v>0.24</x:v>
      </x:c>
      <x:c r="O135" s="25" t="n">
        <x:v>0.78</x:v>
      </x:c>
      <x:c r="P135" s="25" t="n">
        <x:v>0.1872</x:v>
      </x:c>
      <x:c r="Q135" s="25" t="n">
        <x:v>0.29700000000000004</x:v>
      </x:c>
      <x:c r="R135" s="25" t="n">
        <x:v>1.8</x:v>
      </x:c>
      <x:c r="S135" s="25" t="n">
        <x:v>45473.28</x:v>
      </x:c>
      <x:c r="T135" s="25" t="n">
        <x:v>2728.3968</x:v>
      </x:c>
      <x:c r="U135" s="25" t="n">
        <x:v>1136.832</x:v>
      </x:c>
      <x:c r="V135" s="25" t="n">
        <x:v>4872.96</x:v>
      </x:c>
      <x:c r="W135" s="25" t="n">
        <x:v>16012.339200000002</x:v>
      </x:c>
      <x:c r="X135" s="25" t="n">
        <x:v>240.18508800000004</x:v>
      </x:c>
      <x:c r="Y135" s="25" t="n">
        <x:v>13020</x:v>
      </x:c>
      <x:c r="Z135" s="25" t="n">
        <x:v>20482.566911999995</x:v>
      </x:c>
      <x:c r="AA135" s="25" t="n">
        <x:v>7462.566911999995</x:v>
      </x:c>
      <x:c r="AB135" s="25" t="n">
        <x:v>0.16410883296740406</x:v>
      </x:c>
      <x:c r="AC135" s="25" t="n">
        <x:v>1.5731618211981562</x:v>
      </x:c>
      <x:c r="AD135" s="25" t="n">
        <x:v>20482.566911999995</x:v>
      </x:c>
      <x:c r="AE135" s="25" t="n">
        <x:v>10408.020480000001</x:v>
      </x:c>
      <x:c r="AF135" s="25" t="n">
        <x:v>26020.0512</x:v>
      </x:c>
      <x:c r="AG135" s="25" t="n">
        <x:v>2.2785400207052624</x:v>
      </x:c>
      <x:c r="AH135" s="25" t="n">
        <x:v>4.005934718100891</x:v>
      </x:c>
      <x:c r="AI135" t="n">
        <x:f>Z135-Y135</x:f>
        <x:v>7462.566911999995</x:v>
      </x:c>
      <x:c r="AJ135" t="n">
        <x:f>AA135/S135</x:f>
        <x:v>0.16410883296740406</x:v>
      </x:c>
      <x:c r="AK135" t="n">
        <x:f>Z135/Y135</x:f>
        <x:v>1.5731618211981562</x:v>
      </x:c>
    </x:row>
    <x:row r="136" ht="15" hidden="0" customHeight="1">
      <x:c r="A136" s="25" t="str">
        <x:v>FLEX</x:v>
      </x:c>
      <x:c r="B136" s="25" t="n">
        <x:v>25</x:v>
      </x:c>
      <x:c r="C136" s="25" t="str">
        <x:v>Sénégal</x:v>
      </x:c>
      <x:c r="D136" s="25" t="str">
        <x:v>Stress</x:v>
      </x:c>
      <x:c r="E136" s="25" t="n">
        <x:v>8</x:v>
      </x:c>
      <x:c r="F136" s="25" t="n">
        <x:v>4</x:v>
      </x:c>
      <x:c r="G136" s="25" t="n">
        <x:v>3</x:v>
      </x:c>
      <x:c r="H136" s="25" t="n">
        <x:v>35</x:v>
      </x:c>
      <x:c r="I136" s="25" t="str">
        <x:v>Équilibré</x:v>
      </x:c>
      <x:c r="J136" s="25" t="n">
        <x:v>1</x:v>
      </x:c>
      <x:c r="K136" s="25" t="n">
        <x:v>24900</x:v>
      </x:c>
      <x:c r="L136" s="25" t="n">
        <x:v>109900</x:v>
      </x:c>
      <x:c r="M136" s="25" t="n">
        <x:v>134800</x:v>
      </x:c>
      <x:c r="N136" s="25" t="n">
        <x:v>0.24</x:v>
      </x:c>
      <x:c r="O136" s="25" t="n">
        <x:v>0.78</x:v>
      </x:c>
      <x:c r="P136" s="25" t="n">
        <x:v>0.1872</x:v>
      </x:c>
      <x:c r="Q136" s="25" t="n">
        <x:v>0.29700000000000004</x:v>
      </x:c>
      <x:c r="R136" s="25" t="n">
        <x:v>1.8</x:v>
      </x:c>
      <x:c r="S136" s="25" t="n">
        <x:v>45473.28</x:v>
      </x:c>
      <x:c r="T136" s="25" t="n">
        <x:v>2728.3968</x:v>
      </x:c>
      <x:c r="U136" s="25" t="n">
        <x:v>1136.832</x:v>
      </x:c>
      <x:c r="V136" s="25" t="n">
        <x:v>4872.96</x:v>
      </x:c>
      <x:c r="W136" s="25" t="n">
        <x:v>16012.339200000002</x:v>
      </x:c>
      <x:c r="X136" s="25" t="n">
        <x:v>240.18508800000004</x:v>
      </x:c>
      <x:c r="Y136" s="25" t="n">
        <x:v>16275</x:v>
      </x:c>
      <x:c r="Z136" s="25" t="n">
        <x:v>20482.566911999995</x:v>
      </x:c>
      <x:c r="AA136" s="25" t="n">
        <x:v>4207.566911999995</x:v>
      </x:c>
      <x:c r="AB136" s="25" t="n">
        <x:v>0.0925283355852051</x:v>
      </x:c>
      <x:c r="AC136" s="25" t="n">
        <x:v>1.258529456958525</x:v>
      </x:c>
      <x:c r="AD136" s="25" t="n">
        <x:v>20482.566911999995</x:v>
      </x:c>
      <x:c r="AE136" s="25" t="n">
        <x:v>10408.020480000001</x:v>
      </x:c>
      <x:c r="AF136" s="25" t="n">
        <x:v>26020.0512</x:v>
      </x:c>
      <x:c r="AG136" s="25" t="n">
        <x:v>1.965800436242031</x:v>
      </x:c>
      <x:c r="AH136" s="25" t="n">
        <x:v>4.005934718100891</x:v>
      </x:c>
      <x:c r="AI136" t="n">
        <x:f>Z136-Y136</x:f>
        <x:v>4207.566911999995</x:v>
      </x:c>
      <x:c r="AJ136" t="n">
        <x:f>AA136/S136</x:f>
        <x:v>0.0925283355852051</x:v>
      </x:c>
      <x:c r="AK136" t="n">
        <x:f>Z136/Y136</x:f>
        <x:v>1.258529456958525</x:v>
      </x:c>
    </x:row>
    <x:row r="137" ht="15" hidden="0" customHeight="1">
      <x:c r="A137" s="25" t="str">
        <x:v>FLEX</x:v>
      </x:c>
      <x:c r="B137" s="25" t="n">
        <x:v>25</x:v>
      </x:c>
      <x:c r="C137" s="25" t="str">
        <x:v>Bénin</x:v>
      </x:c>
      <x:c r="D137" s="25" t="str">
        <x:v>Stress</x:v>
      </x:c>
      <x:c r="E137" s="25" t="n">
        <x:v>8</x:v>
      </x:c>
      <x:c r="F137" s="25" t="n">
        <x:v>4</x:v>
      </x:c>
      <x:c r="G137" s="25" t="n">
        <x:v>3</x:v>
      </x:c>
      <x:c r="H137" s="25" t="n">
        <x:v>35</x:v>
      </x:c>
      <x:c r="I137" s="25" t="str">
        <x:v>Équilibré</x:v>
      </x:c>
      <x:c r="J137" s="25" t="n">
        <x:v>1</x:v>
      </x:c>
      <x:c r="K137" s="25" t="n">
        <x:v>24900</x:v>
      </x:c>
      <x:c r="L137" s="25" t="n">
        <x:v>109900</x:v>
      </x:c>
      <x:c r="M137" s="25" t="n">
        <x:v>134800</x:v>
      </x:c>
      <x:c r="N137" s="25" t="n">
        <x:v>0.24</x:v>
      </x:c>
      <x:c r="O137" s="25" t="n">
        <x:v>0.78</x:v>
      </x:c>
      <x:c r="P137" s="25" t="n">
        <x:v>0.1872</x:v>
      </x:c>
      <x:c r="Q137" s="25" t="n">
        <x:v>0.29700000000000004</x:v>
      </x:c>
      <x:c r="R137" s="25" t="n">
        <x:v>1.8</x:v>
      </x:c>
      <x:c r="S137" s="25" t="n">
        <x:v>45473.28</x:v>
      </x:c>
      <x:c r="T137" s="25" t="n">
        <x:v>2728.3968</x:v>
      </x:c>
      <x:c r="U137" s="25" t="n">
        <x:v>1136.832</x:v>
      </x:c>
      <x:c r="V137" s="25" t="n">
        <x:v>4872.96</x:v>
      </x:c>
      <x:c r="W137" s="25" t="n">
        <x:v>16012.339200000002</x:v>
      </x:c>
      <x:c r="X137" s="25" t="n">
        <x:v>240.18508800000004</x:v>
      </x:c>
      <x:c r="Y137" s="25" t="n">
        <x:v>10850</x:v>
      </x:c>
      <x:c r="Z137" s="25" t="n">
        <x:v>20482.566911999995</x:v>
      </x:c>
      <x:c r="AA137" s="25" t="n">
        <x:v>9632.566911999995</x:v>
      </x:c>
      <x:c r="AB137" s="25" t="n">
        <x:v>0.2118291645555367</x:v>
      </x:c>
      <x:c r="AC137" s="25" t="n">
        <x:v>1.8877941854377875</x:v>
      </x:c>
      <x:c r="AD137" s="25" t="n">
        <x:v>20482.566911999995</x:v>
      </x:c>
      <x:c r="AE137" s="25" t="n">
        <x:v>10408.020480000001</x:v>
      </x:c>
      <x:c r="AF137" s="25" t="n">
        <x:v>26020.0512</x:v>
      </x:c>
      <x:c r="AG137" s="25" t="n">
        <x:v>2.487033077014083</x:v>
      </x:c>
      <x:c r="AH137" s="25" t="n">
        <x:v>4.005934718100891</x:v>
      </x:c>
      <x:c r="AI137" t="n">
        <x:f>Z137-Y137</x:f>
        <x:v>9632.566911999995</x:v>
      </x:c>
      <x:c r="AJ137" t="n">
        <x:f>AA137/S137</x:f>
        <x:v>0.2118291645555367</x:v>
      </x:c>
      <x:c r="AK137" t="n">
        <x:f>Z137/Y137</x:f>
        <x:v>1.8877941854377875</x:v>
      </x:c>
    </x:row>
    <x:row r="138" ht="15" hidden="0" customHeight="1">
      <x:c r="A138" s="25" t="str">
        <x:v>FLEX</x:v>
      </x:c>
      <x:c r="B138" s="25" t="n">
        <x:v>25</x:v>
      </x:c>
      <x:c r="C138" s="25" t="str">
        <x:v>Burkina Faso</x:v>
      </x:c>
      <x:c r="D138" s="25" t="str">
        <x:v>Stress</x:v>
      </x:c>
      <x:c r="E138" s="25" t="n">
        <x:v>8</x:v>
      </x:c>
      <x:c r="F138" s="25" t="n">
        <x:v>4</x:v>
      </x:c>
      <x:c r="G138" s="25" t="n">
        <x:v>3</x:v>
      </x:c>
      <x:c r="H138" s="25" t="n">
        <x:v>35</x:v>
      </x:c>
      <x:c r="I138" s="25" t="str">
        <x:v>Équilibré</x:v>
      </x:c>
      <x:c r="J138" s="25" t="n">
        <x:v>1</x:v>
      </x:c>
      <x:c r="K138" s="25" t="n">
        <x:v>24900</x:v>
      </x:c>
      <x:c r="L138" s="25" t="n">
        <x:v>109900</x:v>
      </x:c>
      <x:c r="M138" s="25" t="n">
        <x:v>134800</x:v>
      </x:c>
      <x:c r="N138" s="25" t="n">
        <x:v>0.24</x:v>
      </x:c>
      <x:c r="O138" s="25" t="n">
        <x:v>0.78</x:v>
      </x:c>
      <x:c r="P138" s="25" t="n">
        <x:v>0.1872</x:v>
      </x:c>
      <x:c r="Q138" s="25" t="n">
        <x:v>0.29700000000000004</x:v>
      </x:c>
      <x:c r="R138" s="25" t="n">
        <x:v>1.8</x:v>
      </x:c>
      <x:c r="S138" s="25" t="n">
        <x:v>45473.28</x:v>
      </x:c>
      <x:c r="T138" s="25" t="n">
        <x:v>2728.3968</x:v>
      </x:c>
      <x:c r="U138" s="25" t="n">
        <x:v>1136.832</x:v>
      </x:c>
      <x:c r="V138" s="25" t="n">
        <x:v>4872.96</x:v>
      </x:c>
      <x:c r="W138" s="25" t="n">
        <x:v>16012.339200000002</x:v>
      </x:c>
      <x:c r="X138" s="25" t="n">
        <x:v>240.18508800000004</x:v>
      </x:c>
      <x:c r="Y138" s="25" t="n">
        <x:v>12477.499999999998</x:v>
      </x:c>
      <x:c r="Z138" s="25" t="n">
        <x:v>20482.566911999995</x:v>
      </x:c>
      <x:c r="AA138" s="25" t="n">
        <x:v>8005.066911999997</x:v>
      </x:c>
      <x:c r="AB138" s="25" t="n">
        <x:v>0.17603891586443723</x:v>
      </x:c>
      <x:c r="AC138" s="25" t="n">
        <x:v>1.6415601612502502</x:v>
      </x:c>
      <x:c r="AD138" s="25" t="n">
        <x:v>20482.566911999995</x:v>
      </x:c>
      <x:c r="AE138" s="25" t="n">
        <x:v>10408.020480000001</x:v>
      </x:c>
      <x:c r="AF138" s="25" t="n">
        <x:v>26020.0512</x:v>
      </x:c>
      <x:c r="AG138" s="25" t="n">
        <x:v>2.3306632847824673</x:v>
      </x:c>
      <x:c r="AH138" s="25" t="n">
        <x:v>4.005934718100891</x:v>
      </x:c>
      <x:c r="AI138" t="n">
        <x:f>Z138-Y138</x:f>
        <x:v>8005.066911999997</x:v>
      </x:c>
      <x:c r="AJ138" t="n">
        <x:f>AA138/S138</x:f>
        <x:v>0.17603891586443723</x:v>
      </x:c>
      <x:c r="AK138" t="n">
        <x:f>Z138/Y138</x:f>
        <x:v>1.6415601612502502</x:v>
      </x:c>
    </x:row>
    <x:row r="139" ht="15" hidden="0" customHeight="1">
      <x:c r="A139" s="25" t="str">
        <x:v>FLEX</x:v>
      </x:c>
      <x:c r="B139" s="25" t="n">
        <x:v>25</x:v>
      </x:c>
      <x:c r="C139" s="25" t="str">
        <x:v>Togo</x:v>
      </x:c>
      <x:c r="D139" s="25" t="str">
        <x:v>Stress</x:v>
      </x:c>
      <x:c r="E139" s="25" t="n">
        <x:v>8</x:v>
      </x:c>
      <x:c r="F139" s="25" t="n">
        <x:v>4</x:v>
      </x:c>
      <x:c r="G139" s="25" t="n">
        <x:v>3</x:v>
      </x:c>
      <x:c r="H139" s="25" t="n">
        <x:v>35</x:v>
      </x:c>
      <x:c r="I139" s="25" t="str">
        <x:v>Équilibré</x:v>
      </x:c>
      <x:c r="J139" s="25" t="n">
        <x:v>1</x:v>
      </x:c>
      <x:c r="K139" s="25" t="n">
        <x:v>24900</x:v>
      </x:c>
      <x:c r="L139" s="25" t="n">
        <x:v>109900</x:v>
      </x:c>
      <x:c r="M139" s="25" t="n">
        <x:v>134800</x:v>
      </x:c>
      <x:c r="N139" s="25" t="n">
        <x:v>0.24</x:v>
      </x:c>
      <x:c r="O139" s="25" t="n">
        <x:v>0.78</x:v>
      </x:c>
      <x:c r="P139" s="25" t="n">
        <x:v>0.1872</x:v>
      </x:c>
      <x:c r="Q139" s="25" t="n">
        <x:v>0.29700000000000004</x:v>
      </x:c>
      <x:c r="R139" s="25" t="n">
        <x:v>1.8</x:v>
      </x:c>
      <x:c r="S139" s="25" t="n">
        <x:v>45473.28</x:v>
      </x:c>
      <x:c r="T139" s="25" t="n">
        <x:v>2728.3968</x:v>
      </x:c>
      <x:c r="U139" s="25" t="n">
        <x:v>1136.832</x:v>
      </x:c>
      <x:c r="V139" s="25" t="n">
        <x:v>4872.96</x:v>
      </x:c>
      <x:c r="W139" s="25" t="n">
        <x:v>16012.339200000002</x:v>
      </x:c>
      <x:c r="X139" s="25" t="n">
        <x:v>240.18508800000004</x:v>
      </x:c>
      <x:c r="Y139" s="25" t="n">
        <x:v>15190</x:v>
      </x:c>
      <x:c r="Z139" s="25" t="n">
        <x:v>20482.566911999995</x:v>
      </x:c>
      <x:c r="AA139" s="25" t="n">
        <x:v>5292.566911999995</x:v>
      </x:c>
      <x:c r="AB139" s="25" t="n">
        <x:v>0.11638850137927141</x:v>
      </x:c>
      <x:c r="AC139" s="25" t="n">
        <x:v>1.3484244181698481</x:v>
      </x:c>
      <x:c r="AD139" s="25" t="n">
        <x:v>20482.566911999995</x:v>
      </x:c>
      <x:c r="AE139" s="25" t="n">
        <x:v>10408.020480000001</x:v>
      </x:c>
      <x:c r="AF139" s="25" t="n">
        <x:v>26020.0512</x:v>
      </x:c>
      <x:c r="AG139" s="25" t="n">
        <x:v>2.0700469643964414</x:v>
      </x:c>
      <x:c r="AH139" s="25" t="n">
        <x:v>4.005934718100891</x:v>
      </x:c>
      <x:c r="AI139" t="n">
        <x:f>Z139-Y139</x:f>
        <x:v>5292.566911999995</x:v>
      </x:c>
      <x:c r="AJ139" t="n">
        <x:f>AA139/S139</x:f>
        <x:v>0.11638850137927141</x:v>
      </x:c>
      <x:c r="AK139" t="n">
        <x:f>Z139/Y139</x:f>
        <x:v>1.3484244181698481</x:v>
      </x:c>
    </x:row>
    <x:row r="140" ht="15" hidden="0" customHeight="1">
      <x:c r="A140" s="25" t="str">
        <x:v>FLEX</x:v>
      </x:c>
      <x:c r="B140" s="25" t="n">
        <x:v>50</x:v>
      </x:c>
      <x:c r="C140" s="25" t="str">
        <x:v>Côte d’Ivoire</x:v>
      </x:c>
      <x:c r="D140" s="25" t="str">
        <x:v>Stress</x:v>
      </x:c>
      <x:c r="E140" s="25" t="n">
        <x:v>8</x:v>
      </x:c>
      <x:c r="F140" s="25" t="n">
        <x:v>4</x:v>
      </x:c>
      <x:c r="G140" s="25" t="n">
        <x:v>3</x:v>
      </x:c>
      <x:c r="H140" s="25" t="n">
        <x:v>35</x:v>
      </x:c>
      <x:c r="I140" s="25" t="str">
        <x:v>Équilibré</x:v>
      </x:c>
      <x:c r="J140" s="25" t="n">
        <x:v>1</x:v>
      </x:c>
      <x:c r="K140" s="25" t="n">
        <x:v>34900</x:v>
      </x:c>
      <x:c r="L140" s="25" t="n">
        <x:v>184900</x:v>
      </x:c>
      <x:c r="M140" s="25" t="n">
        <x:v>219800</x:v>
      </x:c>
      <x:c r="N140" s="25" t="n">
        <x:v>0.24</x:v>
      </x:c>
      <x:c r="O140" s="25" t="n">
        <x:v>0.78</x:v>
      </x:c>
      <x:c r="P140" s="25" t="n">
        <x:v>0.1872</x:v>
      </x:c>
      <x:c r="Q140" s="25" t="n">
        <x:v>0.29700000000000004</x:v>
      </x:c>
      <x:c r="R140" s="25" t="n">
        <x:v>1.8</x:v>
      </x:c>
      <x:c r="S140" s="25" t="n">
        <x:v>69513.28</x:v>
      </x:c>
      <x:c r="T140" s="25" t="n">
        <x:v>4170.7968</x:v>
      </x:c>
      <x:c r="U140" s="25" t="n">
        <x:v>1737.832</x:v>
      </x:c>
      <x:c r="V140" s="25" t="n">
        <x:v>4872.96</x:v>
      </x:c>
      <x:c r="W140" s="25" t="n">
        <x:v>32024.678400000004</x:v>
      </x:c>
      <x:c r="X140" s="25" t="n">
        <x:v>480.3701760000001</x:v>
      </x:c>
      <x:c r="Y140" s="25" t="n">
        <x:v>11934.999999999998</x:v>
      </x:c>
      <x:c r="Z140" s="25" t="n">
        <x:v>26226.642623999996</x:v>
      </x:c>
      <x:c r="AA140" s="25" t="n">
        <x:v>14291.642623999998</x:v>
      </x:c>
      <x:c r="AB140" s="25" t="n">
        <x:v>0.20559586058951612</x:v>
      </x:c>
      <x:c r="AC140" s="25" t="n">
        <x:v>2.1974564410557185</x:v>
      </x:c>
      <x:c r="AD140" s="25" t="n">
        <x:v>26226.642623999996</x:v>
      </x:c>
      <x:c r="AE140" s="25" t="n">
        <x:v>20816.040960000002</x:v>
      </x:c>
      <x:c r="AF140" s="25" t="n">
        <x:v>52040.1024</x:v>
      </x:c>
      <x:c r="AG140" s="25" t="n">
        <x:v>2.248107182817534</x:v>
      </x:c>
      <x:c r="AH140" s="25" t="n">
        <x:v>4.094631483166515</x:v>
      </x:c>
      <x:c r="AI140" t="n">
        <x:f>Z140-Y140</x:f>
        <x:v>14291.642623999998</x:v>
      </x:c>
      <x:c r="AJ140" t="n">
        <x:f>AA140/S140</x:f>
        <x:v>0.20559586058951612</x:v>
      </x:c>
      <x:c r="AK140" t="n">
        <x:f>Z140/Y140</x:f>
        <x:v>2.1974564410557185</x:v>
      </x:c>
    </x:row>
    <x:row r="141" ht="15" hidden="0" customHeight="1">
      <x:c r="A141" s="25" t="str">
        <x:v>FLEX</x:v>
      </x:c>
      <x:c r="B141" s="25" t="n">
        <x:v>50</x:v>
      </x:c>
      <x:c r="C141" s="25" t="str">
        <x:v>Cameroun</x:v>
      </x:c>
      <x:c r="D141" s="25" t="str">
        <x:v>Stress</x:v>
      </x:c>
      <x:c r="E141" s="25" t="n">
        <x:v>8</x:v>
      </x:c>
      <x:c r="F141" s="25" t="n">
        <x:v>4</x:v>
      </x:c>
      <x:c r="G141" s="25" t="n">
        <x:v>3</x:v>
      </x:c>
      <x:c r="H141" s="25" t="n">
        <x:v>35</x:v>
      </x:c>
      <x:c r="I141" s="25" t="str">
        <x:v>Équilibré</x:v>
      </x:c>
      <x:c r="J141" s="25" t="n">
        <x:v>1</x:v>
      </x:c>
      <x:c r="K141" s="25" t="n">
        <x:v>34900</x:v>
      </x:c>
      <x:c r="L141" s="25" t="n">
        <x:v>184900</x:v>
      </x:c>
      <x:c r="M141" s="25" t="n">
        <x:v>219800</x:v>
      </x:c>
      <x:c r="N141" s="25" t="n">
        <x:v>0.24</x:v>
      </x:c>
      <x:c r="O141" s="25" t="n">
        <x:v>0.78</x:v>
      </x:c>
      <x:c r="P141" s="25" t="n">
        <x:v>0.1872</x:v>
      </x:c>
      <x:c r="Q141" s="25" t="n">
        <x:v>0.29700000000000004</x:v>
      </x:c>
      <x:c r="R141" s="25" t="n">
        <x:v>1.8</x:v>
      </x:c>
      <x:c r="S141" s="25" t="n">
        <x:v>69513.28</x:v>
      </x:c>
      <x:c r="T141" s="25" t="n">
        <x:v>4170.7968</x:v>
      </x:c>
      <x:c r="U141" s="25" t="n">
        <x:v>1737.832</x:v>
      </x:c>
      <x:c r="V141" s="25" t="n">
        <x:v>4872.96</x:v>
      </x:c>
      <x:c r="W141" s="25" t="n">
        <x:v>32024.678400000004</x:v>
      </x:c>
      <x:c r="X141" s="25" t="n">
        <x:v>480.3701760000001</x:v>
      </x:c>
      <x:c r="Y141" s="25" t="n">
        <x:v>13020</x:v>
      </x:c>
      <x:c r="Z141" s="25" t="n">
        <x:v>26226.642623999996</x:v>
      </x:c>
      <x:c r="AA141" s="25" t="n">
        <x:v>13206.642623999996</x:v>
      </x:c>
      <x:c r="AB141" s="25" t="n">
        <x:v>0.18998733226226697</x:v>
      </x:c>
      <x:c r="AC141" s="25" t="n">
        <x:v>2.0143350709677414</x:v>
      </x:c>
      <x:c r="AD141" s="25" t="n">
        <x:v>26226.642623999996</x:v>
      </x:c>
      <x:c r="AE141" s="25" t="n">
        <x:v>20816.040960000002</x:v>
      </x:c>
      <x:c r="AF141" s="25" t="n">
        <x:v>52040.1024</x:v>
      </x:c>
      <x:c r="AG141" s="25" t="n">
        <x:v>2.1959839187403287</x:v>
      </x:c>
      <x:c r="AH141" s="25" t="n">
        <x:v>4.094631483166515</x:v>
      </x:c>
      <x:c r="AI141" t="n">
        <x:f>Z141-Y141</x:f>
        <x:v>13206.642623999996</x:v>
      </x:c>
      <x:c r="AJ141" t="n">
        <x:f>AA141/S141</x:f>
        <x:v>0.18998733226226697</x:v>
      </x:c>
      <x:c r="AK141" t="n">
        <x:f>Z141/Y141</x:f>
        <x:v>2.0143350709677414</x:v>
      </x:c>
    </x:row>
    <x:row r="142" ht="15" hidden="0" customHeight="1">
      <x:c r="A142" s="25" t="str">
        <x:v>FLEX</x:v>
      </x:c>
      <x:c r="B142" s="25" t="n">
        <x:v>50</x:v>
      </x:c>
      <x:c r="C142" s="25" t="str">
        <x:v>Sénégal</x:v>
      </x:c>
      <x:c r="D142" s="25" t="str">
        <x:v>Stress</x:v>
      </x:c>
      <x:c r="E142" s="25" t="n">
        <x:v>8</x:v>
      </x:c>
      <x:c r="F142" s="25" t="n">
        <x:v>4</x:v>
      </x:c>
      <x:c r="G142" s="25" t="n">
        <x:v>3</x:v>
      </x:c>
      <x:c r="H142" s="25" t="n">
        <x:v>35</x:v>
      </x:c>
      <x:c r="I142" s="25" t="str">
        <x:v>Équilibré</x:v>
      </x:c>
      <x:c r="J142" s="25" t="n">
        <x:v>1</x:v>
      </x:c>
      <x:c r="K142" s="25" t="n">
        <x:v>34900</x:v>
      </x:c>
      <x:c r="L142" s="25" t="n">
        <x:v>184900</x:v>
      </x:c>
      <x:c r="M142" s="25" t="n">
        <x:v>219800</x:v>
      </x:c>
      <x:c r="N142" s="25" t="n">
        <x:v>0.24</x:v>
      </x:c>
      <x:c r="O142" s="25" t="n">
        <x:v>0.78</x:v>
      </x:c>
      <x:c r="P142" s="25" t="n">
        <x:v>0.1872</x:v>
      </x:c>
      <x:c r="Q142" s="25" t="n">
        <x:v>0.29700000000000004</x:v>
      </x:c>
      <x:c r="R142" s="25" t="n">
        <x:v>1.8</x:v>
      </x:c>
      <x:c r="S142" s="25" t="n">
        <x:v>69513.28</x:v>
      </x:c>
      <x:c r="T142" s="25" t="n">
        <x:v>4170.7968</x:v>
      </x:c>
      <x:c r="U142" s="25" t="n">
        <x:v>1737.832</x:v>
      </x:c>
      <x:c r="V142" s="25" t="n">
        <x:v>4872.96</x:v>
      </x:c>
      <x:c r="W142" s="25" t="n">
        <x:v>32024.678400000004</x:v>
      </x:c>
      <x:c r="X142" s="25" t="n">
        <x:v>480.3701760000001</x:v>
      </x:c>
      <x:c r="Y142" s="25" t="n">
        <x:v>16275</x:v>
      </x:c>
      <x:c r="Z142" s="25" t="n">
        <x:v>26226.642623999996</x:v>
      </x:c>
      <x:c r="AA142" s="25" t="n">
        <x:v>9951.642623999996</x:v>
      </x:c>
      <x:c r="AB142" s="25" t="n">
        <x:v>0.14316174728051959</x:v>
      </x:c>
      <x:c r="AC142" s="25" t="n">
        <x:v>1.6114680567741932</x:v>
      </x:c>
      <x:c r="AD142" s="25" t="n">
        <x:v>26226.642623999996</x:v>
      </x:c>
      <x:c r="AE142" s="25" t="n">
        <x:v>20816.040960000002</x:v>
      </x:c>
      <x:c r="AF142" s="25" t="n">
        <x:v>52040.1024</x:v>
      </x:c>
      <x:c r="AG142" s="25" t="n">
        <x:v>2.039614126508713</x:v>
      </x:c>
      <x:c r="AH142" s="25" t="n">
        <x:v>4.094631483166515</x:v>
      </x:c>
      <x:c r="AI142" t="n">
        <x:f>Z142-Y142</x:f>
        <x:v>9951.642623999996</x:v>
      </x:c>
      <x:c r="AJ142" t="n">
        <x:f>AA142/S142</x:f>
        <x:v>0.14316174728051959</x:v>
      </x:c>
      <x:c r="AK142" t="n">
        <x:f>Z142/Y142</x:f>
        <x:v>1.6114680567741932</x:v>
      </x:c>
    </x:row>
    <x:row r="143" ht="15" hidden="0" customHeight="1">
      <x:c r="A143" s="25" t="str">
        <x:v>FLEX</x:v>
      </x:c>
      <x:c r="B143" s="25" t="n">
        <x:v>50</x:v>
      </x:c>
      <x:c r="C143" s="25" t="str">
        <x:v>Bénin</x:v>
      </x:c>
      <x:c r="D143" s="25" t="str">
        <x:v>Stress</x:v>
      </x:c>
      <x:c r="E143" s="25" t="n">
        <x:v>8</x:v>
      </x:c>
      <x:c r="F143" s="25" t="n">
        <x:v>4</x:v>
      </x:c>
      <x:c r="G143" s="25" t="n">
        <x:v>3</x:v>
      </x:c>
      <x:c r="H143" s="25" t="n">
        <x:v>35</x:v>
      </x:c>
      <x:c r="I143" s="25" t="str">
        <x:v>Équilibré</x:v>
      </x:c>
      <x:c r="J143" s="25" t="n">
        <x:v>1</x:v>
      </x:c>
      <x:c r="K143" s="25" t="n">
        <x:v>34900</x:v>
      </x:c>
      <x:c r="L143" s="25" t="n">
        <x:v>184900</x:v>
      </x:c>
      <x:c r="M143" s="25" t="n">
        <x:v>219800</x:v>
      </x:c>
      <x:c r="N143" s="25" t="n">
        <x:v>0.24</x:v>
      </x:c>
      <x:c r="O143" s="25" t="n">
        <x:v>0.78</x:v>
      </x:c>
      <x:c r="P143" s="25" t="n">
        <x:v>0.1872</x:v>
      </x:c>
      <x:c r="Q143" s="25" t="n">
        <x:v>0.29700000000000004</x:v>
      </x:c>
      <x:c r="R143" s="25" t="n">
        <x:v>1.8</x:v>
      </x:c>
      <x:c r="S143" s="25" t="n">
        <x:v>69513.28</x:v>
      </x:c>
      <x:c r="T143" s="25" t="n">
        <x:v>4170.7968</x:v>
      </x:c>
      <x:c r="U143" s="25" t="n">
        <x:v>1737.832</x:v>
      </x:c>
      <x:c r="V143" s="25" t="n">
        <x:v>4872.96</x:v>
      </x:c>
      <x:c r="W143" s="25" t="n">
        <x:v>32024.678400000004</x:v>
      </x:c>
      <x:c r="X143" s="25" t="n">
        <x:v>480.3701760000001</x:v>
      </x:c>
      <x:c r="Y143" s="25" t="n">
        <x:v>10850</x:v>
      </x:c>
      <x:c r="Z143" s="25" t="n">
        <x:v>26226.642623999996</x:v>
      </x:c>
      <x:c r="AA143" s="25" t="n">
        <x:v>15376.642623999996</x:v>
      </x:c>
      <x:c r="AB143" s="25" t="n">
        <x:v>0.22120438891676522</x:v>
      </x:c>
      <x:c r="AC143" s="25" t="n">
        <x:v>2.41720208516129</x:v>
      </x:c>
      <x:c r="AD143" s="25" t="n">
        <x:v>26226.642623999996</x:v>
      </x:c>
      <x:c r="AE143" s="25" t="n">
        <x:v>20816.040960000002</x:v>
      </x:c>
      <x:c r="AF143" s="25" t="n">
        <x:v>52040.1024</x:v>
      </x:c>
      <x:c r="AG143" s="25" t="n">
        <x:v>2.3002304468947394</x:v>
      </x:c>
      <x:c r="AH143" s="25" t="n">
        <x:v>4.094631483166515</x:v>
      </x:c>
      <x:c r="AI143" t="n">
        <x:f>Z143-Y143</x:f>
        <x:v>15376.642623999996</x:v>
      </x:c>
      <x:c r="AJ143" t="n">
        <x:f>AA143/S143</x:f>
        <x:v>0.22120438891676522</x:v>
      </x:c>
      <x:c r="AK143" t="n">
        <x:f>Z143/Y143</x:f>
        <x:v>2.41720208516129</x:v>
      </x:c>
    </x:row>
    <x:row r="144" ht="15" hidden="0" customHeight="1">
      <x:c r="A144" s="25" t="str">
        <x:v>FLEX</x:v>
      </x:c>
      <x:c r="B144" s="25" t="n">
        <x:v>50</x:v>
      </x:c>
      <x:c r="C144" s="25" t="str">
        <x:v>Burkina Faso</x:v>
      </x:c>
      <x:c r="D144" s="25" t="str">
        <x:v>Stress</x:v>
      </x:c>
      <x:c r="E144" s="25" t="n">
        <x:v>8</x:v>
      </x:c>
      <x:c r="F144" s="25" t="n">
        <x:v>4</x:v>
      </x:c>
      <x:c r="G144" s="25" t="n">
        <x:v>3</x:v>
      </x:c>
      <x:c r="H144" s="25" t="n">
        <x:v>35</x:v>
      </x:c>
      <x:c r="I144" s="25" t="str">
        <x:v>Équilibré</x:v>
      </x:c>
      <x:c r="J144" s="25" t="n">
        <x:v>1</x:v>
      </x:c>
      <x:c r="K144" s="25" t="n">
        <x:v>34900</x:v>
      </x:c>
      <x:c r="L144" s="25" t="n">
        <x:v>184900</x:v>
      </x:c>
      <x:c r="M144" s="25" t="n">
        <x:v>219800</x:v>
      </x:c>
      <x:c r="N144" s="25" t="n">
        <x:v>0.24</x:v>
      </x:c>
      <x:c r="O144" s="25" t="n">
        <x:v>0.78</x:v>
      </x:c>
      <x:c r="P144" s="25" t="n">
        <x:v>0.1872</x:v>
      </x:c>
      <x:c r="Q144" s="25" t="n">
        <x:v>0.29700000000000004</x:v>
      </x:c>
      <x:c r="R144" s="25" t="n">
        <x:v>1.8</x:v>
      </x:c>
      <x:c r="S144" s="25" t="n">
        <x:v>69513.28</x:v>
      </x:c>
      <x:c r="T144" s="25" t="n">
        <x:v>4170.7968</x:v>
      </x:c>
      <x:c r="U144" s="25" t="n">
        <x:v>1737.832</x:v>
      </x:c>
      <x:c r="V144" s="25" t="n">
        <x:v>4872.96</x:v>
      </x:c>
      <x:c r="W144" s="25" t="n">
        <x:v>32024.678400000004</x:v>
      </x:c>
      <x:c r="X144" s="25" t="n">
        <x:v>480.3701760000001</x:v>
      </x:c>
      <x:c r="Y144" s="25" t="n">
        <x:v>12477.499999999998</x:v>
      </x:c>
      <x:c r="Z144" s="25" t="n">
        <x:v>26226.642623999996</x:v>
      </x:c>
      <x:c r="AA144" s="25" t="n">
        <x:v>13749.142623999998</x:v>
      </x:c>
      <x:c r="AB144" s="25" t="n">
        <x:v>0.19779159642589156</x:v>
      </x:c>
      <x:c r="AC144" s="25" t="n">
        <x:v>2.1019148566619914</x:v>
      </x:c>
      <x:c r="AD144" s="25" t="n">
        <x:v>26226.642623999996</x:v>
      </x:c>
      <x:c r="AE144" s="25" t="n">
        <x:v>20816.040960000002</x:v>
      </x:c>
      <x:c r="AF144" s="25" t="n">
        <x:v>52040.1024</x:v>
      </x:c>
      <x:c r="AG144" s="25" t="n">
        <x:v>2.2220455507789314</x:v>
      </x:c>
      <x:c r="AH144" s="25" t="n">
        <x:v>4.094631483166515</x:v>
      </x:c>
      <x:c r="AI144" t="n">
        <x:f>Z144-Y144</x:f>
        <x:v>13749.142623999998</x:v>
      </x:c>
      <x:c r="AJ144" t="n">
        <x:f>AA144/S144</x:f>
        <x:v>0.19779159642589156</x:v>
      </x:c>
      <x:c r="AK144" t="n">
        <x:f>Z144/Y144</x:f>
        <x:v>2.1019148566619914</x:v>
      </x:c>
    </x:row>
    <x:row r="145" ht="15" hidden="0" customHeight="1">
      <x:c r="A145" s="25" t="str">
        <x:v>FLEX</x:v>
      </x:c>
      <x:c r="B145" s="25" t="n">
        <x:v>50</x:v>
      </x:c>
      <x:c r="C145" s="25" t="str">
        <x:v>Togo</x:v>
      </x:c>
      <x:c r="D145" s="25" t="str">
        <x:v>Stress</x:v>
      </x:c>
      <x:c r="E145" s="25" t="n">
        <x:v>8</x:v>
      </x:c>
      <x:c r="F145" s="25" t="n">
        <x:v>4</x:v>
      </x:c>
      <x:c r="G145" s="25" t="n">
        <x:v>3</x:v>
      </x:c>
      <x:c r="H145" s="25" t="n">
        <x:v>35</x:v>
      </x:c>
      <x:c r="I145" s="25" t="str">
        <x:v>Équilibré</x:v>
      </x:c>
      <x:c r="J145" s="25" t="n">
        <x:v>1</x:v>
      </x:c>
      <x:c r="K145" s="25" t="n">
        <x:v>34900</x:v>
      </x:c>
      <x:c r="L145" s="25" t="n">
        <x:v>184900</x:v>
      </x:c>
      <x:c r="M145" s="25" t="n">
        <x:v>219800</x:v>
      </x:c>
      <x:c r="N145" s="25" t="n">
        <x:v>0.24</x:v>
      </x:c>
      <x:c r="O145" s="25" t="n">
        <x:v>0.78</x:v>
      </x:c>
      <x:c r="P145" s="25" t="n">
        <x:v>0.1872</x:v>
      </x:c>
      <x:c r="Q145" s="25" t="n">
        <x:v>0.29700000000000004</x:v>
      </x:c>
      <x:c r="R145" s="25" t="n">
        <x:v>1.8</x:v>
      </x:c>
      <x:c r="S145" s="25" t="n">
        <x:v>69513.28</x:v>
      </x:c>
      <x:c r="T145" s="25" t="n">
        <x:v>4170.7968</x:v>
      </x:c>
      <x:c r="U145" s="25" t="n">
        <x:v>1737.832</x:v>
      </x:c>
      <x:c r="V145" s="25" t="n">
        <x:v>4872.96</x:v>
      </x:c>
      <x:c r="W145" s="25" t="n">
        <x:v>32024.678400000004</x:v>
      </x:c>
      <x:c r="X145" s="25" t="n">
        <x:v>480.3701760000001</x:v>
      </x:c>
      <x:c r="Y145" s="25" t="n">
        <x:v>15190</x:v>
      </x:c>
      <x:c r="Z145" s="25" t="n">
        <x:v>26226.642623999996</x:v>
      </x:c>
      <x:c r="AA145" s="25" t="n">
        <x:v>11036.642623999996</x:v>
      </x:c>
      <x:c r="AB145" s="25" t="n">
        <x:v>0.1587702756077687</x:v>
      </x:c>
      <x:c r="AC145" s="25" t="n">
        <x:v>1.72657291797235</x:v>
      </x:c>
      <x:c r="AD145" s="25" t="n">
        <x:v>26226.642623999996</x:v>
      </x:c>
      <x:c r="AE145" s="25" t="n">
        <x:v>20816.040960000002</x:v>
      </x:c>
      <x:c r="AF145" s="25" t="n">
        <x:v>52040.1024</x:v>
      </x:c>
      <x:c r="AG145" s="25" t="n">
        <x:v>2.0917373905859185</x:v>
      </x:c>
      <x:c r="AH145" s="25" t="n">
        <x:v>4.094631483166515</x:v>
      </x:c>
      <x:c r="AI145" t="n">
        <x:f>Z145-Y145</x:f>
        <x:v>11036.642623999996</x:v>
      </x:c>
      <x:c r="AJ145" t="n">
        <x:f>AA145/S145</x:f>
        <x:v>0.1587702756077687</x:v>
      </x:c>
      <x:c r="AK145" t="n">
        <x:f>Z145/Y145</x:f>
        <x:v>1.72657291797235</x:v>
      </x:c>
    </x:row>
    <x:row r="146" ht="15" hidden="0" customHeight="1">
      <x:c r="A146" s="25" t="str">
        <x:v>FLEX</x:v>
      </x:c>
      <x:c r="B146" s="25" t="n">
        <x:v>100</x:v>
      </x:c>
      <x:c r="C146" s="25" t="str">
        <x:v>Côte d’Ivoire</x:v>
      </x:c>
      <x:c r="D146" s="25" t="str">
        <x:v>Stress</x:v>
      </x:c>
      <x:c r="E146" s="25" t="n">
        <x:v>8</x:v>
      </x:c>
      <x:c r="F146" s="25" t="n">
        <x:v>4</x:v>
      </x:c>
      <x:c r="G146" s="25" t="n">
        <x:v>3</x:v>
      </x:c>
      <x:c r="H146" s="25" t="n">
        <x:v>35</x:v>
      </x:c>
      <x:c r="I146" s="25" t="str">
        <x:v>Équilibré</x:v>
      </x:c>
      <x:c r="J146" s="25" t="n">
        <x:v>1</x:v>
      </x:c>
      <x:c r="K146" s="25" t="n">
        <x:v>44900</x:v>
      </x:c>
      <x:c r="L146" s="25" t="n">
        <x:v>269900</x:v>
      </x:c>
      <x:c r="M146" s="25" t="n">
        <x:v>314800</x:v>
      </x:c>
      <x:c r="N146" s="25" t="n">
        <x:v>0.24</x:v>
      </x:c>
      <x:c r="O146" s="25" t="n">
        <x:v>0.78</x:v>
      </x:c>
      <x:c r="P146" s="25" t="n">
        <x:v>0.1872</x:v>
      </x:c>
      <x:c r="Q146" s="25" t="n">
        <x:v>0.29700000000000004</x:v>
      </x:c>
      <x:c r="R146" s="25" t="n">
        <x:v>1.8</x:v>
      </x:c>
      <x:c r="S146" s="25" t="n">
        <x:v>95425.28</x:v>
      </x:c>
      <x:c r="T146" s="25" t="n">
        <x:v>5725.516799999999</x:v>
      </x:c>
      <x:c r="U146" s="25" t="n">
        <x:v>2385.632</x:v>
      </x:c>
      <x:c r="V146" s="25" t="n">
        <x:v>4872.96</x:v>
      </x:c>
      <x:c r="W146" s="25" t="n">
        <x:v>64049.35680000001</x:v>
      </x:c>
      <x:c r="X146" s="25" t="n">
        <x:v>960.7403520000001</x:v>
      </x:c>
      <x:c r="Y146" s="25" t="n">
        <x:v>11934.999999999998</x:v>
      </x:c>
      <x:c r="Z146" s="25" t="n">
        <x:v>17431.074047999988</x:v>
      </x:c>
      <x:c r="AA146" s="25" t="n">
        <x:v>5496.0740479999895</x:v>
      </x:c>
      <x:c r="AB146" s="25" t="n">
        <x:v>0.05759557685342909</x:v>
      </x:c>
      <x:c r="AC146" s="25" t="n">
        <x:v>1.4605005486384575</x:v>
      </x:c>
      <x:c r="AD146" s="25" t="n">
        <x:v>17431.074047999988</x:v>
      </x:c>
      <x:c r="AE146" s="25" t="n">
        <x:v>41632.081920000004</x:v>
      </x:c>
      <x:c r="AF146" s="25" t="n">
        <x:v>104080.2048</x:v>
      </x:c>
      <x:c r="AG146" s="25" t="n">
        <x:v>1.6935538159125527</x:v>
      </x:c>
      <x:c r="AH146" s="25" t="n">
        <x:v>4.7649301143583225</x:v>
      </x:c>
      <x:c r="AI146" t="n">
        <x:f>Z146-Y146</x:f>
        <x:v>5496.0740479999895</x:v>
      </x:c>
      <x:c r="AJ146" t="n">
        <x:f>AA146/S146</x:f>
        <x:v>0.05759557685342909</x:v>
      </x:c>
      <x:c r="AK146" t="n">
        <x:f>Z146/Y146</x:f>
        <x:v>1.4605005486384575</x:v>
      </x:c>
    </x:row>
    <x:row r="147" ht="15" hidden="0" customHeight="1">
      <x:c r="A147" s="25" t="str">
        <x:v>FLEX</x:v>
      </x:c>
      <x:c r="B147" s="25" t="n">
        <x:v>100</x:v>
      </x:c>
      <x:c r="C147" s="25" t="str">
        <x:v>Cameroun</x:v>
      </x:c>
      <x:c r="D147" s="25" t="str">
        <x:v>Stress</x:v>
      </x:c>
      <x:c r="E147" s="25" t="n">
        <x:v>8</x:v>
      </x:c>
      <x:c r="F147" s="25" t="n">
        <x:v>4</x:v>
      </x:c>
      <x:c r="G147" s="25" t="n">
        <x:v>3</x:v>
      </x:c>
      <x:c r="H147" s="25" t="n">
        <x:v>35</x:v>
      </x:c>
      <x:c r="I147" s="25" t="str">
        <x:v>Équilibré</x:v>
      </x:c>
      <x:c r="J147" s="25" t="n">
        <x:v>1</x:v>
      </x:c>
      <x:c r="K147" s="25" t="n">
        <x:v>44900</x:v>
      </x:c>
      <x:c r="L147" s="25" t="n">
        <x:v>269900</x:v>
      </x:c>
      <x:c r="M147" s="25" t="n">
        <x:v>314800</x:v>
      </x:c>
      <x:c r="N147" s="25" t="n">
        <x:v>0.24</x:v>
      </x:c>
      <x:c r="O147" s="25" t="n">
        <x:v>0.78</x:v>
      </x:c>
      <x:c r="P147" s="25" t="n">
        <x:v>0.1872</x:v>
      </x:c>
      <x:c r="Q147" s="25" t="n">
        <x:v>0.29700000000000004</x:v>
      </x:c>
      <x:c r="R147" s="25" t="n">
        <x:v>1.8</x:v>
      </x:c>
      <x:c r="S147" s="25" t="n">
        <x:v>95425.28</x:v>
      </x:c>
      <x:c r="T147" s="25" t="n">
        <x:v>5725.516799999999</x:v>
      </x:c>
      <x:c r="U147" s="25" t="n">
        <x:v>2385.632</x:v>
      </x:c>
      <x:c r="V147" s="25" t="n">
        <x:v>4872.96</x:v>
      </x:c>
      <x:c r="W147" s="25" t="n">
        <x:v>64049.35680000001</x:v>
      </x:c>
      <x:c r="X147" s="25" t="n">
        <x:v>960.7403520000001</x:v>
      </x:c>
      <x:c r="Y147" s="25" t="n">
        <x:v>13020</x:v>
      </x:c>
      <x:c r="Z147" s="25" t="n">
        <x:v>17431.074047999988</x:v>
      </x:c>
      <x:c r="AA147" s="25" t="n">
        <x:v>4411.074047999988</x:v>
      </x:c>
      <x:c r="AB147" s="25" t="n">
        <x:v>0.04622542420624794</x:v>
      </x:c>
      <x:c r="AC147" s="25" t="n">
        <x:v>1.3387921695852525</x:v>
      </x:c>
      <x:c r="AD147" s="25" t="n">
        <x:v>17431.074047999988</x:v>
      </x:c>
      <x:c r="AE147" s="25" t="n">
        <x:v>41632.081920000004</x:v>
      </x:c>
      <x:c r="AF147" s="25" t="n">
        <x:v>104080.2048</x:v>
      </x:c>
      <x:c r="AG147" s="25" t="n">
        <x:v>1.66749218387395</x:v>
      </x:c>
      <x:c r="AH147" s="25" t="n">
        <x:v>4.7649301143583225</x:v>
      </x:c>
      <x:c r="AI147" t="n">
        <x:f>Z147-Y147</x:f>
        <x:v>4411.074047999988</x:v>
      </x:c>
      <x:c r="AJ147" t="n">
        <x:f>AA147/S147</x:f>
        <x:v>0.04622542420624794</x:v>
      </x:c>
      <x:c r="AK147" t="n">
        <x:f>Z147/Y147</x:f>
        <x:v>1.3387921695852525</x:v>
      </x:c>
    </x:row>
    <x:row r="148" ht="15" hidden="0" customHeight="1">
      <x:c r="A148" s="25" t="str">
        <x:v>FLEX</x:v>
      </x:c>
      <x:c r="B148" s="25" t="n">
        <x:v>100</x:v>
      </x:c>
      <x:c r="C148" s="25" t="str">
        <x:v>Sénégal</x:v>
      </x:c>
      <x:c r="D148" s="25" t="str">
        <x:v>Stress</x:v>
      </x:c>
      <x:c r="E148" s="25" t="n">
        <x:v>8</x:v>
      </x:c>
      <x:c r="F148" s="25" t="n">
        <x:v>4</x:v>
      </x:c>
      <x:c r="G148" s="25" t="n">
        <x:v>3</x:v>
      </x:c>
      <x:c r="H148" s="25" t="n">
        <x:v>35</x:v>
      </x:c>
      <x:c r="I148" s="25" t="str">
        <x:v>Équilibré</x:v>
      </x:c>
      <x:c r="J148" s="25" t="n">
        <x:v>1</x:v>
      </x:c>
      <x:c r="K148" s="25" t="n">
        <x:v>44900</x:v>
      </x:c>
      <x:c r="L148" s="25" t="n">
        <x:v>269900</x:v>
      </x:c>
      <x:c r="M148" s="25" t="n">
        <x:v>314800</x:v>
      </x:c>
      <x:c r="N148" s="25" t="n">
        <x:v>0.24</x:v>
      </x:c>
      <x:c r="O148" s="25" t="n">
        <x:v>0.78</x:v>
      </x:c>
      <x:c r="P148" s="25" t="n">
        <x:v>0.1872</x:v>
      </x:c>
      <x:c r="Q148" s="25" t="n">
        <x:v>0.29700000000000004</x:v>
      </x:c>
      <x:c r="R148" s="25" t="n">
        <x:v>1.8</x:v>
      </x:c>
      <x:c r="S148" s="25" t="n">
        <x:v>95425.28</x:v>
      </x:c>
      <x:c r="T148" s="25" t="n">
        <x:v>5725.516799999999</x:v>
      </x:c>
      <x:c r="U148" s="25" t="n">
        <x:v>2385.632</x:v>
      </x:c>
      <x:c r="V148" s="25" t="n">
        <x:v>4872.96</x:v>
      </x:c>
      <x:c r="W148" s="25" t="n">
        <x:v>64049.35680000001</x:v>
      </x:c>
      <x:c r="X148" s="25" t="n">
        <x:v>960.7403520000001</x:v>
      </x:c>
      <x:c r="Y148" s="25" t="n">
        <x:v>16275</x:v>
      </x:c>
      <x:c r="Z148" s="25" t="n">
        <x:v>17431.074047999988</x:v>
      </x:c>
      <x:c r="AA148" s="25" t="n">
        <x:v>1156.0740479999877</x:v>
      </x:c>
      <x:c r="AB148" s="25" t="n">
        <x:v>0.01211496626470457</x:v>
      </x:c>
      <x:c r="AC148" s="25" t="n">
        <x:v>1.071033735668202</x:v>
      </x:c>
      <x:c r="AD148" s="25" t="n">
        <x:v>17431.074047999988</x:v>
      </x:c>
      <x:c r="AE148" s="25" t="n">
        <x:v>41632.081920000004</x:v>
      </x:c>
      <x:c r="AF148" s="25" t="n">
        <x:v>104080.2048</x:v>
      </x:c>
      <x:c r="AG148" s="25" t="n">
        <x:v>1.5893072877581422</x:v>
      </x:c>
      <x:c r="AH148" s="25" t="n">
        <x:v>4.7649301143583225</x:v>
      </x:c>
      <x:c r="AI148" t="n">
        <x:f>Z148-Y148</x:f>
        <x:v>1156.0740479999877</x:v>
      </x:c>
      <x:c r="AJ148" t="n">
        <x:f>AA148/S148</x:f>
        <x:v>0.01211496626470457</x:v>
      </x:c>
      <x:c r="AK148" t="n">
        <x:f>Z148/Y148</x:f>
        <x:v>1.071033735668202</x:v>
      </x:c>
    </x:row>
    <x:row r="149" ht="15" hidden="0" customHeight="1">
      <x:c r="A149" s="25" t="str">
        <x:v>FLEX</x:v>
      </x:c>
      <x:c r="B149" s="25" t="n">
        <x:v>100</x:v>
      </x:c>
      <x:c r="C149" s="25" t="str">
        <x:v>Bénin</x:v>
      </x:c>
      <x:c r="D149" s="25" t="str">
        <x:v>Stress</x:v>
      </x:c>
      <x:c r="E149" s="25" t="n">
        <x:v>8</x:v>
      </x:c>
      <x:c r="F149" s="25" t="n">
        <x:v>4</x:v>
      </x:c>
      <x:c r="G149" s="25" t="n">
        <x:v>3</x:v>
      </x:c>
      <x:c r="H149" s="25" t="n">
        <x:v>35</x:v>
      </x:c>
      <x:c r="I149" s="25" t="str">
        <x:v>Équilibré</x:v>
      </x:c>
      <x:c r="J149" s="25" t="n">
        <x:v>1</x:v>
      </x:c>
      <x:c r="K149" s="25" t="n">
        <x:v>44900</x:v>
      </x:c>
      <x:c r="L149" s="25" t="n">
        <x:v>269900</x:v>
      </x:c>
      <x:c r="M149" s="25" t="n">
        <x:v>314800</x:v>
      </x:c>
      <x:c r="N149" s="25" t="n">
        <x:v>0.24</x:v>
      </x:c>
      <x:c r="O149" s="25" t="n">
        <x:v>0.78</x:v>
      </x:c>
      <x:c r="P149" s="25" t="n">
        <x:v>0.1872</x:v>
      </x:c>
      <x:c r="Q149" s="25" t="n">
        <x:v>0.29700000000000004</x:v>
      </x:c>
      <x:c r="R149" s="25" t="n">
        <x:v>1.8</x:v>
      </x:c>
      <x:c r="S149" s="25" t="n">
        <x:v>95425.28</x:v>
      </x:c>
      <x:c r="T149" s="25" t="n">
        <x:v>5725.516799999999</x:v>
      </x:c>
      <x:c r="U149" s="25" t="n">
        <x:v>2385.632</x:v>
      </x:c>
      <x:c r="V149" s="25" t="n">
        <x:v>4872.96</x:v>
      </x:c>
      <x:c r="W149" s="25" t="n">
        <x:v>64049.35680000001</x:v>
      </x:c>
      <x:c r="X149" s="25" t="n">
        <x:v>960.7403520000001</x:v>
      </x:c>
      <x:c r="Y149" s="25" t="n">
        <x:v>10850</x:v>
      </x:c>
      <x:c r="Z149" s="25" t="n">
        <x:v>17431.074047999988</x:v>
      </x:c>
      <x:c r="AA149" s="25" t="n">
        <x:v>6581.074047999988</x:v>
      </x:c>
      <x:c r="AB149" s="25" t="n">
        <x:v>0.0689657295006102</x:v>
      </x:c>
      <x:c r="AC149" s="25" t="n">
        <x:v>1.606550603502303</x:v>
      </x:c>
      <x:c r="AD149" s="25" t="n">
        <x:v>17431.074047999988</x:v>
      </x:c>
      <x:c r="AE149" s="25" t="n">
        <x:v>41632.081920000004</x:v>
      </x:c>
      <x:c r="AF149" s="25" t="n">
        <x:v>104080.2048</x:v>
      </x:c>
      <x:c r="AG149" s="25" t="n">
        <x:v>1.7196154479511552</x:v>
      </x:c>
      <x:c r="AH149" s="25" t="n">
        <x:v>4.7649301143583225</x:v>
      </x:c>
      <x:c r="AI149" t="n">
        <x:f>Z149-Y149</x:f>
        <x:v>6581.074047999988</x:v>
      </x:c>
      <x:c r="AJ149" t="n">
        <x:f>AA149/S149</x:f>
        <x:v>0.0689657295006102</x:v>
      </x:c>
      <x:c r="AK149" t="n">
        <x:f>Z149/Y149</x:f>
        <x:v>1.606550603502303</x:v>
      </x:c>
    </x:row>
    <x:row r="150" ht="15" hidden="0" customHeight="1">
      <x:c r="A150" s="25" t="str">
        <x:v>FLEX</x:v>
      </x:c>
      <x:c r="B150" s="25" t="n">
        <x:v>100</x:v>
      </x:c>
      <x:c r="C150" s="25" t="str">
        <x:v>Burkina Faso</x:v>
      </x:c>
      <x:c r="D150" s="25" t="str">
        <x:v>Stress</x:v>
      </x:c>
      <x:c r="E150" s="25" t="n">
        <x:v>8</x:v>
      </x:c>
      <x:c r="F150" s="25" t="n">
        <x:v>4</x:v>
      </x:c>
      <x:c r="G150" s="25" t="n">
        <x:v>3</x:v>
      </x:c>
      <x:c r="H150" s="25" t="n">
        <x:v>35</x:v>
      </x:c>
      <x:c r="I150" s="25" t="str">
        <x:v>Équilibré</x:v>
      </x:c>
      <x:c r="J150" s="25" t="n">
        <x:v>1</x:v>
      </x:c>
      <x:c r="K150" s="25" t="n">
        <x:v>44900</x:v>
      </x:c>
      <x:c r="L150" s="25" t="n">
        <x:v>269900</x:v>
      </x:c>
      <x:c r="M150" s="25" t="n">
        <x:v>314800</x:v>
      </x:c>
      <x:c r="N150" s="25" t="n">
        <x:v>0.24</x:v>
      </x:c>
      <x:c r="O150" s="25" t="n">
        <x:v>0.78</x:v>
      </x:c>
      <x:c r="P150" s="25" t="n">
        <x:v>0.1872</x:v>
      </x:c>
      <x:c r="Q150" s="25" t="n">
        <x:v>0.29700000000000004</x:v>
      </x:c>
      <x:c r="R150" s="25" t="n">
        <x:v>1.8</x:v>
      </x:c>
      <x:c r="S150" s="25" t="n">
        <x:v>95425.28</x:v>
      </x:c>
      <x:c r="T150" s="25" t="n">
        <x:v>5725.516799999999</x:v>
      </x:c>
      <x:c r="U150" s="25" t="n">
        <x:v>2385.632</x:v>
      </x:c>
      <x:c r="V150" s="25" t="n">
        <x:v>4872.96</x:v>
      </x:c>
      <x:c r="W150" s="25" t="n">
        <x:v>64049.35680000001</x:v>
      </x:c>
      <x:c r="X150" s="25" t="n">
        <x:v>960.7403520000001</x:v>
      </x:c>
      <x:c r="Y150" s="25" t="n">
        <x:v>12477.499999999998</x:v>
      </x:c>
      <x:c r="Z150" s="25" t="n">
        <x:v>17431.074047999988</x:v>
      </x:c>
      <x:c r="AA150" s="25" t="n">
        <x:v>4953.5740479999895</x:v>
      </x:c>
      <x:c r="AB150" s="25" t="n">
        <x:v>0.051910500529838526</x:v>
      </x:c>
      <x:c r="AC150" s="25" t="n">
        <x:v>1.3970005247846116</x:v>
      </x:c>
      <x:c r="AD150" s="25" t="n">
        <x:v>17431.074047999988</x:v>
      </x:c>
      <x:c r="AE150" s="25" t="n">
        <x:v>41632.081920000004</x:v>
      </x:c>
      <x:c r="AF150" s="25" t="n">
        <x:v>104080.2048</x:v>
      </x:c>
      <x:c r="AG150" s="25" t="n">
        <x:v>1.6805229998932514</x:v>
      </x:c>
      <x:c r="AH150" s="25" t="n">
        <x:v>4.7649301143583225</x:v>
      </x:c>
      <x:c r="AI150" t="n">
        <x:f>Z150-Y150</x:f>
        <x:v>4953.5740479999895</x:v>
      </x:c>
      <x:c r="AJ150" t="n">
        <x:f>AA150/S150</x:f>
        <x:v>0.051910500529838526</x:v>
      </x:c>
      <x:c r="AK150" t="n">
        <x:f>Z150/Y150</x:f>
        <x:v>1.3970005247846116</x:v>
      </x:c>
    </x:row>
    <x:row r="151" ht="15" hidden="0" customHeight="1">
      <x:c r="A151" s="25" t="str">
        <x:v>FLEX</x:v>
      </x:c>
      <x:c r="B151" s="25" t="n">
        <x:v>100</x:v>
      </x:c>
      <x:c r="C151" s="25" t="str">
        <x:v>Togo</x:v>
      </x:c>
      <x:c r="D151" s="25" t="str">
        <x:v>Stress</x:v>
      </x:c>
      <x:c r="E151" s="25" t="n">
        <x:v>8</x:v>
      </x:c>
      <x:c r="F151" s="25" t="n">
        <x:v>4</x:v>
      </x:c>
      <x:c r="G151" s="25" t="n">
        <x:v>3</x:v>
      </x:c>
      <x:c r="H151" s="25" t="n">
        <x:v>35</x:v>
      </x:c>
      <x:c r="I151" s="25" t="str">
        <x:v>Équilibré</x:v>
      </x:c>
      <x:c r="J151" s="25" t="n">
        <x:v>1</x:v>
      </x:c>
      <x:c r="K151" s="25" t="n">
        <x:v>44900</x:v>
      </x:c>
      <x:c r="L151" s="25" t="n">
        <x:v>269900</x:v>
      </x:c>
      <x:c r="M151" s="25" t="n">
        <x:v>314800</x:v>
      </x:c>
      <x:c r="N151" s="25" t="n">
        <x:v>0.24</x:v>
      </x:c>
      <x:c r="O151" s="25" t="n">
        <x:v>0.78</x:v>
      </x:c>
      <x:c r="P151" s="25" t="n">
        <x:v>0.1872</x:v>
      </x:c>
      <x:c r="Q151" s="25" t="n">
        <x:v>0.29700000000000004</x:v>
      </x:c>
      <x:c r="R151" s="25" t="n">
        <x:v>1.8</x:v>
      </x:c>
      <x:c r="S151" s="25" t="n">
        <x:v>95425.28</x:v>
      </x:c>
      <x:c r="T151" s="25" t="n">
        <x:v>5725.516799999999</x:v>
      </x:c>
      <x:c r="U151" s="25" t="n">
        <x:v>2385.632</x:v>
      </x:c>
      <x:c r="V151" s="25" t="n">
        <x:v>4872.96</x:v>
      </x:c>
      <x:c r="W151" s="25" t="n">
        <x:v>64049.35680000001</x:v>
      </x:c>
      <x:c r="X151" s="25" t="n">
        <x:v>960.7403520000001</x:v>
      </x:c>
      <x:c r="Y151" s="25" t="n">
        <x:v>15190</x:v>
      </x:c>
      <x:c r="Z151" s="25" t="n">
        <x:v>17431.074047999988</x:v>
      </x:c>
      <x:c r="AA151" s="25" t="n">
        <x:v>2241.0740479999877</x:v>
      </x:c>
      <x:c r="AB151" s="25" t="n">
        <x:v>0.023485118911885695</x:v>
      </x:c>
      <x:c r="AC151" s="25" t="n">
        <x:v>1.1475361453587878</x:v>
      </x:c>
      <x:c r="AD151" s="25" t="n">
        <x:v>17431.074047999988</x:v>
      </x:c>
      <x:c r="AE151" s="25" t="n">
        <x:v>41632.081920000004</x:v>
      </x:c>
      <x:c r="AF151" s="25" t="n">
        <x:v>104080.2048</x:v>
      </x:c>
      <x:c r="AG151" s="25" t="n">
        <x:v>1.615368919796745</x:v>
      </x:c>
      <x:c r="AH151" s="25" t="n">
        <x:v>4.7649301143583225</x:v>
      </x:c>
      <x:c r="AI151" t="n">
        <x:f>Z151-Y151</x:f>
        <x:v>2241.0740479999877</x:v>
      </x:c>
      <x:c r="AJ151" t="n">
        <x:f>AA151/S151</x:f>
        <x:v>0.023485118911885695</x:v>
      </x:c>
      <x:c r="AK151" t="n">
        <x:f>Z151/Y151</x:f>
        <x:v>1.1475361453587878</x:v>
      </x:c>
    </x:row>
    <x:row r="152" ht="15" hidden="0" customHeight="1">
      <x:c r="A152" s="25" t="str">
        <x:v>INSTANT</x:v>
      </x:c>
      <x:c r="B152" s="25" t="n">
        <x:v>5</x:v>
      </x:c>
      <x:c r="C152" s="25" t="str">
        <x:v>Côte d’Ivoire</x:v>
      </x:c>
      <x:c r="D152" s="25" t="str">
        <x:v>Stress</x:v>
      </x:c>
      <x:c r="E152" s="25" t="n">
        <x:v>8</x:v>
      </x:c>
      <x:c r="F152" s="25" t="n">
        <x:v>4</x:v>
      </x:c>
      <x:c r="G152" s="25" t="n">
        <x:v>3</x:v>
      </x:c>
      <x:c r="H152" s="25" t="n">
        <x:v>30</x:v>
      </x:c>
      <x:c r="I152" s="25" t="str">
        <x:v>Conservateur</x:v>
      </x:c>
      <x:c r="J152" s="25" t="n">
        <x:v>1</x:v>
      </x:c>
      <x:c r="K152" s="25" t="n">
        <x:v>39900</x:v>
      </x:c>
      <x:c r="L152" s="25" t="n">
        <x:v>0</x:v>
      </x:c>
      <x:c r="M152" s="25" t="n">
        <x:v>39900</x:v>
      </x:c>
      <x:c r="N152" s="25" t="n">
        <x:v>1</x:v>
      </x:c>
      <x:c r="O152" s="25" t="n">
        <x:v>1</x:v>
      </x:c>
      <x:c r="P152" s="25" t="n">
        <x:v>1</x:v>
      </x:c>
      <x:c r="Q152" s="25" t="n">
        <x:v>0.12636</x:v>
      </x:c>
      <x:c r="R152" s="25" t="n">
        <x:v>1.6</x:v>
      </x:c>
      <x:c r="S152" s="25" t="n">
        <x:v>39900</x:v>
      </x:c>
      <x:c r="T152" s="25" t="n">
        <x:v>2394</x:v>
      </x:c>
      <x:c r="U152" s="25" t="n">
        <x:v>997.5</x:v>
      </x:c>
      <x:c r="V152" s="25" t="n">
        <x:v>10000</x:v>
      </x:c>
      <x:c r="W152" s="25" t="n">
        <x:v>5458.752000000001</x:v>
      </x:c>
      <x:c r="X152" s="25" t="n">
        <x:v>81.88128000000002</x:v>
      </x:c>
      <x:c r="Y152" s="25" t="n">
        <x:v>26427.5</x:v>
      </x:c>
      <x:c r="Z152" s="25" t="n">
        <x:v>20967.866719999998</x:v>
      </x:c>
      <x:c r="AA152" s="25" t="n">
        <x:v>-5459.633280000002</x:v>
      </x:c>
      <x:c r="AB152" s="25" t="n">
        <x:v>-0.13683291428571434</x:v>
      </x:c>
      <x:c r="AC152" s="25" t="n">
        <x:v>0.7934109060637593</x:v>
      </x:c>
      <x:c r="AD152" s="25" t="n">
        <x:v>20967.866719999998</x:v>
      </x:c>
      <x:c r="AE152" s="25" t="n">
        <x:v>3548.188800000001</x:v>
      </x:c>
      <x:c r="AF152" s="25" t="n">
        <x:v>8870.472000000002</x:v>
      </x:c>
      <x:c r="AG152" s="25" t="n">
        <x:v>0.022828548469574106</x:v>
      </x:c>
      <x:c r="AH152" s="25" t="n">
        <x:v>3.7593984962406015</x:v>
      </x:c>
      <x:c r="AI152" t="n">
        <x:f>Z152-Y152</x:f>
        <x:v>-5459.633280000002</x:v>
      </x:c>
      <x:c r="AJ152" t="n">
        <x:f>AA152/S152</x:f>
        <x:v>-0.13683291428571434</x:v>
      </x:c>
      <x:c r="AK152" t="n">
        <x:f>Z152/Y152</x:f>
        <x:v>0.7934109060637593</x:v>
      </x:c>
    </x:row>
    <x:row r="153" ht="15" hidden="0" customHeight="1">
      <x:c r="A153" s="25" t="str">
        <x:v>INSTANT</x:v>
      </x:c>
      <x:c r="B153" s="25" t="n">
        <x:v>5</x:v>
      </x:c>
      <x:c r="C153" s="25" t="str">
        <x:v>Cameroun</x:v>
      </x:c>
      <x:c r="D153" s="25" t="str">
        <x:v>Stress</x:v>
      </x:c>
      <x:c r="E153" s="25" t="n">
        <x:v>8</x:v>
      </x:c>
      <x:c r="F153" s="25" t="n">
        <x:v>4</x:v>
      </x:c>
      <x:c r="G153" s="25" t="n">
        <x:v>3</x:v>
      </x:c>
      <x:c r="H153" s="25" t="n">
        <x:v>30</x:v>
      </x:c>
      <x:c r="I153" s="25" t="str">
        <x:v>Conservateur</x:v>
      </x:c>
      <x:c r="J153" s="25" t="n">
        <x:v>1</x:v>
      </x:c>
      <x:c r="K153" s="25" t="n">
        <x:v>39900</x:v>
      </x:c>
      <x:c r="L153" s="25" t="n">
        <x:v>0</x:v>
      </x:c>
      <x:c r="M153" s="25" t="n">
        <x:v>39900</x:v>
      </x:c>
      <x:c r="N153" s="25" t="n">
        <x:v>1</x:v>
      </x:c>
      <x:c r="O153" s="25" t="n">
        <x:v>1</x:v>
      </x:c>
      <x:c r="P153" s="25" t="n">
        <x:v>1</x:v>
      </x:c>
      <x:c r="Q153" s="25" t="n">
        <x:v>0.12636</x:v>
      </x:c>
      <x:c r="R153" s="25" t="n">
        <x:v>1.6</x:v>
      </x:c>
      <x:c r="S153" s="25" t="n">
        <x:v>39900</x:v>
      </x:c>
      <x:c r="T153" s="25" t="n">
        <x:v>2394</x:v>
      </x:c>
      <x:c r="U153" s="25" t="n">
        <x:v>997.5</x:v>
      </x:c>
      <x:c r="V153" s="25" t="n">
        <x:v>10000</x:v>
      </x:c>
      <x:c r="W153" s="25" t="n">
        <x:v>5458.752000000001</x:v>
      </x:c>
      <x:c r="X153" s="25" t="n">
        <x:v>81.88128000000002</x:v>
      </x:c>
      <x:c r="Y153" s="25" t="n">
        <x:v>28830</x:v>
      </x:c>
      <x:c r="Z153" s="25" t="n">
        <x:v>20967.866719999998</x:v>
      </x:c>
      <x:c r="AA153" s="25" t="n">
        <x:v>-7862.133280000002</x:v>
      </x:c>
      <x:c r="AB153" s="25" t="n">
        <x:v>-0.19704594686716798</x:v>
      </x:c>
      <x:c r="AC153" s="25" t="n">
        <x:v>0.727293330558446</x:v>
      </x:c>
      <x:c r="AD153" s="25" t="n">
        <x:v>20967.866719999998</x:v>
      </x:c>
      <x:c r="AE153" s="25" t="n">
        <x:v>3548.188800000001</x:v>
      </x:c>
      <x:c r="AF153" s="25" t="n">
        <x:v>8870.472000000002</x:v>
      </x:c>
      <x:c r="AG153" s="25" t="n">
        <x:v>-0.6542774724952628</x:v>
      </x:c>
      <x:c r="AH153" s="25" t="n">
        <x:v>3.7593984962406015</x:v>
      </x:c>
      <x:c r="AI153" t="n">
        <x:f>Z153-Y153</x:f>
        <x:v>-7862.133280000002</x:v>
      </x:c>
      <x:c r="AJ153" t="n">
        <x:f>AA153/S153</x:f>
        <x:v>-0.19704594686716798</x:v>
      </x:c>
      <x:c r="AK153" t="n">
        <x:f>Z153/Y153</x:f>
        <x:v>0.727293330558446</x:v>
      </x:c>
    </x:row>
    <x:row r="154" ht="15" hidden="0" customHeight="1">
      <x:c r="A154" s="25" t="str">
        <x:v>INSTANT</x:v>
      </x:c>
      <x:c r="B154" s="25" t="n">
        <x:v>5</x:v>
      </x:c>
      <x:c r="C154" s="25" t="str">
        <x:v>Sénégal</x:v>
      </x:c>
      <x:c r="D154" s="25" t="str">
        <x:v>Stress</x:v>
      </x:c>
      <x:c r="E154" s="25" t="n">
        <x:v>8</x:v>
      </x:c>
      <x:c r="F154" s="25" t="n">
        <x:v>4</x:v>
      </x:c>
      <x:c r="G154" s="25" t="n">
        <x:v>3</x:v>
      </x:c>
      <x:c r="H154" s="25" t="n">
        <x:v>30</x:v>
      </x:c>
      <x:c r="I154" s="25" t="str">
        <x:v>Conservateur</x:v>
      </x:c>
      <x:c r="J154" s="25" t="n">
        <x:v>1</x:v>
      </x:c>
      <x:c r="K154" s="25" t="n">
        <x:v>39900</x:v>
      </x:c>
      <x:c r="L154" s="25" t="n">
        <x:v>0</x:v>
      </x:c>
      <x:c r="M154" s="25" t="n">
        <x:v>39900</x:v>
      </x:c>
      <x:c r="N154" s="25" t="n">
        <x:v>1</x:v>
      </x:c>
      <x:c r="O154" s="25" t="n">
        <x:v>1</x:v>
      </x:c>
      <x:c r="P154" s="25" t="n">
        <x:v>1</x:v>
      </x:c>
      <x:c r="Q154" s="25" t="n">
        <x:v>0.12636</x:v>
      </x:c>
      <x:c r="R154" s="25" t="n">
        <x:v>1.6</x:v>
      </x:c>
      <x:c r="S154" s="25" t="n">
        <x:v>39900</x:v>
      </x:c>
      <x:c r="T154" s="25" t="n">
        <x:v>2394</x:v>
      </x:c>
      <x:c r="U154" s="25" t="n">
        <x:v>997.5</x:v>
      </x:c>
      <x:c r="V154" s="25" t="n">
        <x:v>10000</x:v>
      </x:c>
      <x:c r="W154" s="25" t="n">
        <x:v>5458.752000000001</x:v>
      </x:c>
      <x:c r="X154" s="25" t="n">
        <x:v>81.88128000000002</x:v>
      </x:c>
      <x:c r="Y154" s="25" t="n">
        <x:v>36037.5</x:v>
      </x:c>
      <x:c r="Z154" s="25" t="n">
        <x:v>20967.866719999998</x:v>
      </x:c>
      <x:c r="AA154" s="25" t="n">
        <x:v>-15069.633280000002</x:v>
      </x:c>
      <x:c r="AB154" s="25" t="n">
        <x:v>-0.37768504461152885</x:v>
      </x:c>
      <x:c r="AC154" s="25" t="n">
        <x:v>0.5818346644467568</x:v>
      </x:c>
      <x:c r="AD154" s="25" t="n">
        <x:v>20967.866719999998</x:v>
      </x:c>
      <x:c r="AE154" s="25" t="n">
        <x:v>3548.188800000001</x:v>
      </x:c>
      <x:c r="AF154" s="25" t="n">
        <x:v>8870.472000000002</x:v>
      </x:c>
      <x:c r="AG154" s="25" t="n">
        <x:v>-2.6855955353897736</x:v>
      </x:c>
      <x:c r="AH154" s="25" t="n">
        <x:v>3.7593984962406015</x:v>
      </x:c>
      <x:c r="AI154" t="n">
        <x:f>Z154-Y154</x:f>
        <x:v>-15069.633280000002</x:v>
      </x:c>
      <x:c r="AJ154" t="n">
        <x:f>AA154/S154</x:f>
        <x:v>-0.37768504461152885</x:v>
      </x:c>
      <x:c r="AK154" t="n">
        <x:f>Z154/Y154</x:f>
        <x:v>0.5818346644467568</x:v>
      </x:c>
    </x:row>
    <x:row r="155" ht="15" hidden="0" customHeight="1">
      <x:c r="A155" s="25" t="str">
        <x:v>INSTANT</x:v>
      </x:c>
      <x:c r="B155" s="25" t="n">
        <x:v>5</x:v>
      </x:c>
      <x:c r="C155" s="25" t="str">
        <x:v>Bénin</x:v>
      </x:c>
      <x:c r="D155" s="25" t="str">
        <x:v>Stress</x:v>
      </x:c>
      <x:c r="E155" s="25" t="n">
        <x:v>8</x:v>
      </x:c>
      <x:c r="F155" s="25" t="n">
        <x:v>4</x:v>
      </x:c>
      <x:c r="G155" s="25" t="n">
        <x:v>3</x:v>
      </x:c>
      <x:c r="H155" s="25" t="n">
        <x:v>30</x:v>
      </x:c>
      <x:c r="I155" s="25" t="str">
        <x:v>Conservateur</x:v>
      </x:c>
      <x:c r="J155" s="25" t="n">
        <x:v>1</x:v>
      </x:c>
      <x:c r="K155" s="25" t="n">
        <x:v>39900</x:v>
      </x:c>
      <x:c r="L155" s="25" t="n">
        <x:v>0</x:v>
      </x:c>
      <x:c r="M155" s="25" t="n">
        <x:v>39900</x:v>
      </x:c>
      <x:c r="N155" s="25" t="n">
        <x:v>1</x:v>
      </x:c>
      <x:c r="O155" s="25" t="n">
        <x:v>1</x:v>
      </x:c>
      <x:c r="P155" s="25" t="n">
        <x:v>1</x:v>
      </x:c>
      <x:c r="Q155" s="25" t="n">
        <x:v>0.12636</x:v>
      </x:c>
      <x:c r="R155" s="25" t="n">
        <x:v>1.6</x:v>
      </x:c>
      <x:c r="S155" s="25" t="n">
        <x:v>39900</x:v>
      </x:c>
      <x:c r="T155" s="25" t="n">
        <x:v>2394</x:v>
      </x:c>
      <x:c r="U155" s="25" t="n">
        <x:v>997.5</x:v>
      </x:c>
      <x:c r="V155" s="25" t="n">
        <x:v>10000</x:v>
      </x:c>
      <x:c r="W155" s="25" t="n">
        <x:v>5458.752000000001</x:v>
      </x:c>
      <x:c r="X155" s="25" t="n">
        <x:v>81.88128000000002</x:v>
      </x:c>
      <x:c r="Y155" s="25" t="n">
        <x:v>24025</x:v>
      </x:c>
      <x:c r="Z155" s="25" t="n">
        <x:v>20967.866719999998</x:v>
      </x:c>
      <x:c r="AA155" s="25" t="n">
        <x:v>-3057.133280000002</x:v>
      </x:c>
      <x:c r="AB155" s="25" t="n">
        <x:v>-0.07661988170426069</x:v>
      </x:c>
      <x:c r="AC155" s="25" t="n">
        <x:v>0.8727519966701353</x:v>
      </x:c>
      <x:c r="AD155" s="25" t="n">
        <x:v>20967.866719999998</x:v>
      </x:c>
      <x:c r="AE155" s="25" t="n">
        <x:v>3548.188800000001</x:v>
      </x:c>
      <x:c r="AF155" s="25" t="n">
        <x:v>8870.472000000002</x:v>
      </x:c>
      <x:c r="AG155" s="25" t="n">
        <x:v>0.699934569434411</x:v>
      </x:c>
      <x:c r="AH155" s="25" t="n">
        <x:v>3.7593984962406015</x:v>
      </x:c>
      <x:c r="AI155" t="n">
        <x:f>Z155-Y155</x:f>
        <x:v>-3057.133280000002</x:v>
      </x:c>
      <x:c r="AJ155" t="n">
        <x:f>AA155/S155</x:f>
        <x:v>-0.07661988170426069</x:v>
      </x:c>
      <x:c r="AK155" t="n">
        <x:f>Z155/Y155</x:f>
        <x:v>0.8727519966701353</x:v>
      </x:c>
    </x:row>
    <x:row r="156" ht="15" hidden="0" customHeight="1">
      <x:c r="A156" s="25" t="str">
        <x:v>INSTANT</x:v>
      </x:c>
      <x:c r="B156" s="25" t="n">
        <x:v>5</x:v>
      </x:c>
      <x:c r="C156" s="25" t="str">
        <x:v>Burkina Faso</x:v>
      </x:c>
      <x:c r="D156" s="25" t="str">
        <x:v>Stress</x:v>
      </x:c>
      <x:c r="E156" s="25" t="n">
        <x:v>8</x:v>
      </x:c>
      <x:c r="F156" s="25" t="n">
        <x:v>4</x:v>
      </x:c>
      <x:c r="G156" s="25" t="n">
        <x:v>3</x:v>
      </x:c>
      <x:c r="H156" s="25" t="n">
        <x:v>30</x:v>
      </x:c>
      <x:c r="I156" s="25" t="str">
        <x:v>Conservateur</x:v>
      </x:c>
      <x:c r="J156" s="25" t="n">
        <x:v>1</x:v>
      </x:c>
      <x:c r="K156" s="25" t="n">
        <x:v>39900</x:v>
      </x:c>
      <x:c r="L156" s="25" t="n">
        <x:v>0</x:v>
      </x:c>
      <x:c r="M156" s="25" t="n">
        <x:v>39900</x:v>
      </x:c>
      <x:c r="N156" s="25" t="n">
        <x:v>1</x:v>
      </x:c>
      <x:c r="O156" s="25" t="n">
        <x:v>1</x:v>
      </x:c>
      <x:c r="P156" s="25" t="n">
        <x:v>1</x:v>
      </x:c>
      <x:c r="Q156" s="25" t="n">
        <x:v>0.12636</x:v>
      </x:c>
      <x:c r="R156" s="25" t="n">
        <x:v>1.6</x:v>
      </x:c>
      <x:c r="S156" s="25" t="n">
        <x:v>39900</x:v>
      </x:c>
      <x:c r="T156" s="25" t="n">
        <x:v>2394</x:v>
      </x:c>
      <x:c r="U156" s="25" t="n">
        <x:v>997.5</x:v>
      </x:c>
      <x:c r="V156" s="25" t="n">
        <x:v>10000</x:v>
      </x:c>
      <x:c r="W156" s="25" t="n">
        <x:v>5458.752000000001</x:v>
      </x:c>
      <x:c r="X156" s="25" t="n">
        <x:v>81.88128000000002</x:v>
      </x:c>
      <x:c r="Y156" s="25" t="n">
        <x:v>27628.75</x:v>
      </x:c>
      <x:c r="Z156" s="25" t="n">
        <x:v>20967.866719999998</x:v>
      </x:c>
      <x:c r="AA156" s="25" t="n">
        <x:v>-6660.883280000002</x:v>
      </x:c>
      <x:c r="AB156" s="25" t="n">
        <x:v>-0.16693943057644114</x:v>
      </x:c>
      <x:c r="AC156" s="25" t="n">
        <x:v>0.758914779713161</x:v>
      </x:c>
      <x:c r="AD156" s="25" t="n">
        <x:v>20967.866719999998</x:v>
      </x:c>
      <x:c r="AE156" s="25" t="n">
        <x:v>3548.188800000001</x:v>
      </x:c>
      <x:c r="AF156" s="25" t="n">
        <x:v>8870.472000000002</x:v>
      </x:c>
      <x:c r="AG156" s="25" t="n">
        <x:v>-0.3157244620128443</x:v>
      </x:c>
      <x:c r="AH156" s="25" t="n">
        <x:v>3.7593984962406015</x:v>
      </x:c>
      <x:c r="AI156" t="n">
        <x:f>Z156-Y156</x:f>
        <x:v>-6660.883280000002</x:v>
      </x:c>
      <x:c r="AJ156" t="n">
        <x:f>AA156/S156</x:f>
        <x:v>-0.16693943057644114</x:v>
      </x:c>
      <x:c r="AK156" t="n">
        <x:f>Z156/Y156</x:f>
        <x:v>0.758914779713161</x:v>
      </x:c>
    </x:row>
    <x:row r="157" ht="15" hidden="0" customHeight="1">
      <x:c r="A157" s="25" t="str">
        <x:v>INSTANT</x:v>
      </x:c>
      <x:c r="B157" s="25" t="n">
        <x:v>5</x:v>
      </x:c>
      <x:c r="C157" s="25" t="str">
        <x:v>Togo</x:v>
      </x:c>
      <x:c r="D157" s="25" t="str">
        <x:v>Stress</x:v>
      </x:c>
      <x:c r="E157" s="25" t="n">
        <x:v>8</x:v>
      </x:c>
      <x:c r="F157" s="25" t="n">
        <x:v>4</x:v>
      </x:c>
      <x:c r="G157" s="25" t="n">
        <x:v>3</x:v>
      </x:c>
      <x:c r="H157" s="25" t="n">
        <x:v>30</x:v>
      </x:c>
      <x:c r="I157" s="25" t="str">
        <x:v>Conservateur</x:v>
      </x:c>
      <x:c r="J157" s="25" t="n">
        <x:v>1</x:v>
      </x:c>
      <x:c r="K157" s="25" t="n">
        <x:v>39900</x:v>
      </x:c>
      <x:c r="L157" s="25" t="n">
        <x:v>0</x:v>
      </x:c>
      <x:c r="M157" s="25" t="n">
        <x:v>39900</x:v>
      </x:c>
      <x:c r="N157" s="25" t="n">
        <x:v>1</x:v>
      </x:c>
      <x:c r="O157" s="25" t="n">
        <x:v>1</x:v>
      </x:c>
      <x:c r="P157" s="25" t="n">
        <x:v>1</x:v>
      </x:c>
      <x:c r="Q157" s="25" t="n">
        <x:v>0.12636</x:v>
      </x:c>
      <x:c r="R157" s="25" t="n">
        <x:v>1.6</x:v>
      </x:c>
      <x:c r="S157" s="25" t="n">
        <x:v>39900</x:v>
      </x:c>
      <x:c r="T157" s="25" t="n">
        <x:v>2394</x:v>
      </x:c>
      <x:c r="U157" s="25" t="n">
        <x:v>997.5</x:v>
      </x:c>
      <x:c r="V157" s="25" t="n">
        <x:v>10000</x:v>
      </x:c>
      <x:c r="W157" s="25" t="n">
        <x:v>5458.752000000001</x:v>
      </x:c>
      <x:c r="X157" s="25" t="n">
        <x:v>81.88128000000002</x:v>
      </x:c>
      <x:c r="Y157" s="25" t="n">
        <x:v>33635</x:v>
      </x:c>
      <x:c r="Z157" s="25" t="n">
        <x:v>20967.866719999998</x:v>
      </x:c>
      <x:c r="AA157" s="25" t="n">
        <x:v>-12667.133280000002</x:v>
      </x:c>
      <x:c r="AB157" s="25" t="n">
        <x:v>-0.31747201203007525</x:v>
      </x:c>
      <x:c r="AC157" s="25" t="n">
        <x:v>0.6233942833358108</x:v>
      </x:c>
      <x:c r="AD157" s="25" t="n">
        <x:v>20967.866719999998</x:v>
      </x:c>
      <x:c r="AE157" s="25" t="n">
        <x:v>3548.188800000001</x:v>
      </x:c>
      <x:c r="AF157" s="25" t="n">
        <x:v>8870.472000000002</x:v>
      </x:c>
      <x:c r="AG157" s="25" t="n">
        <x:v>-2.0084895144249364</x:v>
      </x:c>
      <x:c r="AH157" s="25" t="n">
        <x:v>3.7593984962406015</x:v>
      </x:c>
      <x:c r="AI157" t="n">
        <x:f>Z157-Y157</x:f>
        <x:v>-12667.133280000002</x:v>
      </x:c>
      <x:c r="AJ157" t="n">
        <x:f>AA157/S157</x:f>
        <x:v>-0.31747201203007525</x:v>
      </x:c>
      <x:c r="AK157" t="n">
        <x:f>Z157/Y157</x:f>
        <x:v>0.6233942833358108</x:v>
      </x:c>
    </x:row>
    <x:row r="158" ht="15" hidden="0" customHeight="1">
      <x:c r="A158" s="25" t="str">
        <x:v>INSTANT</x:v>
      </x:c>
      <x:c r="B158" s="25" t="n">
        <x:v>10</x:v>
      </x:c>
      <x:c r="C158" s="25" t="str">
        <x:v>Côte d’Ivoire</x:v>
      </x:c>
      <x:c r="D158" s="25" t="str">
        <x:v>Stress</x:v>
      </x:c>
      <x:c r="E158" s="25" t="n">
        <x:v>8</x:v>
      </x:c>
      <x:c r="F158" s="25" t="n">
        <x:v>4</x:v>
      </x:c>
      <x:c r="G158" s="25" t="n">
        <x:v>3</x:v>
      </x:c>
      <x:c r="H158" s="25" t="n">
        <x:v>30</x:v>
      </x:c>
      <x:c r="I158" s="25" t="str">
        <x:v>Conservateur</x:v>
      </x:c>
      <x:c r="J158" s="25" t="n">
        <x:v>1</x:v>
      </x:c>
      <x:c r="K158" s="25" t="n">
        <x:v>59900</x:v>
      </x:c>
      <x:c r="L158" s="25" t="n">
        <x:v>0</x:v>
      </x:c>
      <x:c r="M158" s="25" t="n">
        <x:v>59900</x:v>
      </x:c>
      <x:c r="N158" s="25" t="n">
        <x:v>1</x:v>
      </x:c>
      <x:c r="O158" s="25" t="n">
        <x:v>1</x:v>
      </x:c>
      <x:c r="P158" s="25" t="n">
        <x:v>1</x:v>
      </x:c>
      <x:c r="Q158" s="25" t="n">
        <x:v>0.12636</x:v>
      </x:c>
      <x:c r="R158" s="25" t="n">
        <x:v>1.6</x:v>
      </x:c>
      <x:c r="S158" s="25" t="n">
        <x:v>59900</x:v>
      </x:c>
      <x:c r="T158" s="25" t="n">
        <x:v>3594</x:v>
      </x:c>
      <x:c r="U158" s="25" t="n">
        <x:v>1497.5</x:v>
      </x:c>
      <x:c r="V158" s="25" t="n">
        <x:v>10000</x:v>
      </x:c>
      <x:c r="W158" s="25" t="n">
        <x:v>10917.504000000003</x:v>
      </x:c>
      <x:c r="X158" s="25" t="n">
        <x:v>163.76256000000004</x:v>
      </x:c>
      <x:c r="Y158" s="25" t="n">
        <x:v>26427.5</x:v>
      </x:c>
      <x:c r="Z158" s="25" t="n">
        <x:v>33727.233439999996</x:v>
      </x:c>
      <x:c r="AA158" s="25" t="n">
        <x:v>7299.733439999996</x:v>
      </x:c>
      <x:c r="AB158" s="25" t="n">
        <x:v>0.12186533288814685</x:v>
      </x:c>
      <x:c r="AC158" s="25" t="n">
        <x:v>1.2762173281619524</x:v>
      </x:c>
      <x:c r="AD158" s="25" t="n">
        <x:v>33727.233439999996</x:v>
      </x:c>
      <x:c r="AE158" s="25" t="n">
        <x:v>7096.377600000002</x:v>
      </x:c>
      <x:c r="AF158" s="25" t="n">
        <x:v>17740.944000000003</x:v>
      </x:c>
      <x:c r="AG158" s="25" t="n">
        <x:v>2.5901947495014914</x:v>
      </x:c>
      <x:c r="AH158" s="25" t="n">
        <x:v>4.006677796327212</x:v>
      </x:c>
      <x:c r="AI158" t="n">
        <x:f>Z158-Y158</x:f>
        <x:v>7299.733439999996</x:v>
      </x:c>
      <x:c r="AJ158" t="n">
        <x:f>AA158/S158</x:f>
        <x:v>0.12186533288814685</x:v>
      </x:c>
      <x:c r="AK158" t="n">
        <x:f>Z158/Y158</x:f>
        <x:v>1.2762173281619524</x:v>
      </x:c>
    </x:row>
    <x:row r="159" ht="15" hidden="0" customHeight="1">
      <x:c r="A159" s="25" t="str">
        <x:v>INSTANT</x:v>
      </x:c>
      <x:c r="B159" s="25" t="n">
        <x:v>10</x:v>
      </x:c>
      <x:c r="C159" s="25" t="str">
        <x:v>Cameroun</x:v>
      </x:c>
      <x:c r="D159" s="25" t="str">
        <x:v>Stress</x:v>
      </x:c>
      <x:c r="E159" s="25" t="n">
        <x:v>8</x:v>
      </x:c>
      <x:c r="F159" s="25" t="n">
        <x:v>4</x:v>
      </x:c>
      <x:c r="G159" s="25" t="n">
        <x:v>3</x:v>
      </x:c>
      <x:c r="H159" s="25" t="n">
        <x:v>30</x:v>
      </x:c>
      <x:c r="I159" s="25" t="str">
        <x:v>Conservateur</x:v>
      </x:c>
      <x:c r="J159" s="25" t="n">
        <x:v>1</x:v>
      </x:c>
      <x:c r="K159" s="25" t="n">
        <x:v>59900</x:v>
      </x:c>
      <x:c r="L159" s="25" t="n">
        <x:v>0</x:v>
      </x:c>
      <x:c r="M159" s="25" t="n">
        <x:v>59900</x:v>
      </x:c>
      <x:c r="N159" s="25" t="n">
        <x:v>1</x:v>
      </x:c>
      <x:c r="O159" s="25" t="n">
        <x:v>1</x:v>
      </x:c>
      <x:c r="P159" s="25" t="n">
        <x:v>1</x:v>
      </x:c>
      <x:c r="Q159" s="25" t="n">
        <x:v>0.12636</x:v>
      </x:c>
      <x:c r="R159" s="25" t="n">
        <x:v>1.6</x:v>
      </x:c>
      <x:c r="S159" s="25" t="n">
        <x:v>59900</x:v>
      </x:c>
      <x:c r="T159" s="25" t="n">
        <x:v>3594</x:v>
      </x:c>
      <x:c r="U159" s="25" t="n">
        <x:v>1497.5</x:v>
      </x:c>
      <x:c r="V159" s="25" t="n">
        <x:v>10000</x:v>
      </x:c>
      <x:c r="W159" s="25" t="n">
        <x:v>10917.504000000003</x:v>
      </x:c>
      <x:c r="X159" s="25" t="n">
        <x:v>163.76256000000004</x:v>
      </x:c>
      <x:c r="Y159" s="25" t="n">
        <x:v>28830</x:v>
      </x:c>
      <x:c r="Z159" s="25" t="n">
        <x:v>33727.233439999996</x:v>
      </x:c>
      <x:c r="AA159" s="25" t="n">
        <x:v>4897.233439999996</x:v>
      </x:c>
      <x:c r="AB159" s="25" t="n">
        <x:v>0.08175681869782965</x:v>
      </x:c>
      <x:c r="AC159" s="25" t="n">
        <x:v>1.1698658841484564</x:v>
      </x:c>
      <x:c r="AD159" s="25" t="n">
        <x:v>33727.233439999996</x:v>
      </x:c>
      <x:c r="AE159" s="25" t="n">
        <x:v>7096.377600000002</x:v>
      </x:c>
      <x:c r="AF159" s="25" t="n">
        <x:v>17740.944000000003</x:v>
      </x:c>
      <x:c r="AG159" s="25" t="n">
        <x:v>2.2516417390190733</x:v>
      </x:c>
      <x:c r="AH159" s="25" t="n">
        <x:v>4.006677796327212</x:v>
      </x:c>
      <x:c r="AI159" t="n">
        <x:f>Z159-Y159</x:f>
        <x:v>4897.233439999996</x:v>
      </x:c>
      <x:c r="AJ159" t="n">
        <x:f>AA159/S159</x:f>
        <x:v>0.08175681869782965</x:v>
      </x:c>
      <x:c r="AK159" t="n">
        <x:f>Z159/Y159</x:f>
        <x:v>1.1698658841484564</x:v>
      </x:c>
    </x:row>
    <x:row r="160" ht="15" hidden="0" customHeight="1">
      <x:c r="A160" s="25" t="str">
        <x:v>INSTANT</x:v>
      </x:c>
      <x:c r="B160" s="25" t="n">
        <x:v>10</x:v>
      </x:c>
      <x:c r="C160" s="25" t="str">
        <x:v>Sénégal</x:v>
      </x:c>
      <x:c r="D160" s="25" t="str">
        <x:v>Stress</x:v>
      </x:c>
      <x:c r="E160" s="25" t="n">
        <x:v>8</x:v>
      </x:c>
      <x:c r="F160" s="25" t="n">
        <x:v>4</x:v>
      </x:c>
      <x:c r="G160" s="25" t="n">
        <x:v>3</x:v>
      </x:c>
      <x:c r="H160" s="25" t="n">
        <x:v>30</x:v>
      </x:c>
      <x:c r="I160" s="25" t="str">
        <x:v>Conservateur</x:v>
      </x:c>
      <x:c r="J160" s="25" t="n">
        <x:v>1</x:v>
      </x:c>
      <x:c r="K160" s="25" t="n">
        <x:v>59900</x:v>
      </x:c>
      <x:c r="L160" s="25" t="n">
        <x:v>0</x:v>
      </x:c>
      <x:c r="M160" s="25" t="n">
        <x:v>59900</x:v>
      </x:c>
      <x:c r="N160" s="25" t="n">
        <x:v>1</x:v>
      </x:c>
      <x:c r="O160" s="25" t="n">
        <x:v>1</x:v>
      </x:c>
      <x:c r="P160" s="25" t="n">
        <x:v>1</x:v>
      </x:c>
      <x:c r="Q160" s="25" t="n">
        <x:v>0.12636</x:v>
      </x:c>
      <x:c r="R160" s="25" t="n">
        <x:v>1.6</x:v>
      </x:c>
      <x:c r="S160" s="25" t="n">
        <x:v>59900</x:v>
      </x:c>
      <x:c r="T160" s="25" t="n">
        <x:v>3594</x:v>
      </x:c>
      <x:c r="U160" s="25" t="n">
        <x:v>1497.5</x:v>
      </x:c>
      <x:c r="V160" s="25" t="n">
        <x:v>10000</x:v>
      </x:c>
      <x:c r="W160" s="25" t="n">
        <x:v>10917.504000000003</x:v>
      </x:c>
      <x:c r="X160" s="25" t="n">
        <x:v>163.76256000000004</x:v>
      </x:c>
      <x:c r="Y160" s="25" t="n">
        <x:v>36037.5</x:v>
      </x:c>
      <x:c r="Z160" s="25" t="n">
        <x:v>33727.233439999996</x:v>
      </x:c>
      <x:c r="AA160" s="25" t="n">
        <x:v>-2310.2665600000037</x:v>
      </x:c>
      <x:c r="AB160" s="25" t="n">
        <x:v>-0.03856872387312193</x:v>
      </x:c>
      <x:c r="AC160" s="25" t="n">
        <x:v>0.9358927073187651</x:v>
      </x:c>
      <x:c r="AD160" s="25" t="n">
        <x:v>33727.233439999996</x:v>
      </x:c>
      <x:c r="AE160" s="25" t="n">
        <x:v>7096.377600000002</x:v>
      </x:c>
      <x:c r="AF160" s="25" t="n">
        <x:v>17740.944000000003</x:v>
      </x:c>
      <x:c r="AG160" s="25" t="n">
        <x:v>1.2359827075718177</x:v>
      </x:c>
      <x:c r="AH160" s="25" t="n">
        <x:v>4.006677796327212</x:v>
      </x:c>
      <x:c r="AI160" t="n">
        <x:f>Z160-Y160</x:f>
        <x:v>-2310.2665600000037</x:v>
      </x:c>
      <x:c r="AJ160" t="n">
        <x:f>AA160/S160</x:f>
        <x:v>-0.03856872387312193</x:v>
      </x:c>
      <x:c r="AK160" t="n">
        <x:f>Z160/Y160</x:f>
        <x:v>0.9358927073187651</x:v>
      </x:c>
    </x:row>
    <x:row r="161" ht="15" hidden="0" customHeight="1">
      <x:c r="A161" s="25" t="str">
        <x:v>INSTANT</x:v>
      </x:c>
      <x:c r="B161" s="25" t="n">
        <x:v>10</x:v>
      </x:c>
      <x:c r="C161" s="25" t="str">
        <x:v>Bénin</x:v>
      </x:c>
      <x:c r="D161" s="25" t="str">
        <x:v>Stress</x:v>
      </x:c>
      <x:c r="E161" s="25" t="n">
        <x:v>8</x:v>
      </x:c>
      <x:c r="F161" s="25" t="n">
        <x:v>4</x:v>
      </x:c>
      <x:c r="G161" s="25" t="n">
        <x:v>3</x:v>
      </x:c>
      <x:c r="H161" s="25" t="n">
        <x:v>30</x:v>
      </x:c>
      <x:c r="I161" s="25" t="str">
        <x:v>Conservateur</x:v>
      </x:c>
      <x:c r="J161" s="25" t="n">
        <x:v>1</x:v>
      </x:c>
      <x:c r="K161" s="25" t="n">
        <x:v>59900</x:v>
      </x:c>
      <x:c r="L161" s="25" t="n">
        <x:v>0</x:v>
      </x:c>
      <x:c r="M161" s="25" t="n">
        <x:v>59900</x:v>
      </x:c>
      <x:c r="N161" s="25" t="n">
        <x:v>1</x:v>
      </x:c>
      <x:c r="O161" s="25" t="n">
        <x:v>1</x:v>
      </x:c>
      <x:c r="P161" s="25" t="n">
        <x:v>1</x:v>
      </x:c>
      <x:c r="Q161" s="25" t="n">
        <x:v>0.12636</x:v>
      </x:c>
      <x:c r="R161" s="25" t="n">
        <x:v>1.6</x:v>
      </x:c>
      <x:c r="S161" s="25" t="n">
        <x:v>59900</x:v>
      </x:c>
      <x:c r="T161" s="25" t="n">
        <x:v>3594</x:v>
      </x:c>
      <x:c r="U161" s="25" t="n">
        <x:v>1497.5</x:v>
      </x:c>
      <x:c r="V161" s="25" t="n">
        <x:v>10000</x:v>
      </x:c>
      <x:c r="W161" s="25" t="n">
        <x:v>10917.504000000003</x:v>
      </x:c>
      <x:c r="X161" s="25" t="n">
        <x:v>163.76256000000004</x:v>
      </x:c>
      <x:c r="Y161" s="25" t="n">
        <x:v>24025</x:v>
      </x:c>
      <x:c r="Z161" s="25" t="n">
        <x:v>33727.233439999996</x:v>
      </x:c>
      <x:c r="AA161" s="25" t="n">
        <x:v>9702.233439999996</x:v>
      </x:c>
      <x:c r="AB161" s="25" t="n">
        <x:v>0.16197384707846404</x:v>
      </x:c>
      <x:c r="AC161" s="25" t="n">
        <x:v>1.4038390609781477</x:v>
      </x:c>
      <x:c r="AD161" s="25" t="n">
        <x:v>33727.233439999996</x:v>
      </x:c>
      <x:c r="AE161" s="25" t="n">
        <x:v>7096.377600000002</x:v>
      </x:c>
      <x:c r="AF161" s="25" t="n">
        <x:v>17740.944000000003</x:v>
      </x:c>
      <x:c r="AG161" s="25" t="n">
        <x:v>2.92874775998391</x:v>
      </x:c>
      <x:c r="AH161" s="25" t="n">
        <x:v>4.006677796327212</x:v>
      </x:c>
      <x:c r="AI161" t="n">
        <x:f>Z161-Y161</x:f>
        <x:v>9702.233439999996</x:v>
      </x:c>
      <x:c r="AJ161" t="n">
        <x:f>AA161/S161</x:f>
        <x:v>0.16197384707846404</x:v>
      </x:c>
      <x:c r="AK161" t="n">
        <x:f>Z161/Y161</x:f>
        <x:v>1.4038390609781477</x:v>
      </x:c>
    </x:row>
    <x:row r="162" ht="15" hidden="0" customHeight="1">
      <x:c r="A162" s="25" t="str">
        <x:v>INSTANT</x:v>
      </x:c>
      <x:c r="B162" s="25" t="n">
        <x:v>10</x:v>
      </x:c>
      <x:c r="C162" s="25" t="str">
        <x:v>Burkina Faso</x:v>
      </x:c>
      <x:c r="D162" s="25" t="str">
        <x:v>Stress</x:v>
      </x:c>
      <x:c r="E162" s="25" t="n">
        <x:v>8</x:v>
      </x:c>
      <x:c r="F162" s="25" t="n">
        <x:v>4</x:v>
      </x:c>
      <x:c r="G162" s="25" t="n">
        <x:v>3</x:v>
      </x:c>
      <x:c r="H162" s="25" t="n">
        <x:v>30</x:v>
      </x:c>
      <x:c r="I162" s="25" t="str">
        <x:v>Conservateur</x:v>
      </x:c>
      <x:c r="J162" s="25" t="n">
        <x:v>1</x:v>
      </x:c>
      <x:c r="K162" s="25" t="n">
        <x:v>59900</x:v>
      </x:c>
      <x:c r="L162" s="25" t="n">
        <x:v>0</x:v>
      </x:c>
      <x:c r="M162" s="25" t="n">
        <x:v>59900</x:v>
      </x:c>
      <x:c r="N162" s="25" t="n">
        <x:v>1</x:v>
      </x:c>
      <x:c r="O162" s="25" t="n">
        <x:v>1</x:v>
      </x:c>
      <x:c r="P162" s="25" t="n">
        <x:v>1</x:v>
      </x:c>
      <x:c r="Q162" s="25" t="n">
        <x:v>0.12636</x:v>
      </x:c>
      <x:c r="R162" s="25" t="n">
        <x:v>1.6</x:v>
      </x:c>
      <x:c r="S162" s="25" t="n">
        <x:v>59900</x:v>
      </x:c>
      <x:c r="T162" s="25" t="n">
        <x:v>3594</x:v>
      </x:c>
      <x:c r="U162" s="25" t="n">
        <x:v>1497.5</x:v>
      </x:c>
      <x:c r="V162" s="25" t="n">
        <x:v>10000</x:v>
      </x:c>
      <x:c r="W162" s="25" t="n">
        <x:v>10917.504000000003</x:v>
      </x:c>
      <x:c r="X162" s="25" t="n">
        <x:v>163.76256000000004</x:v>
      </x:c>
      <x:c r="Y162" s="25" t="n">
        <x:v>27628.75</x:v>
      </x:c>
      <x:c r="Z162" s="25" t="n">
        <x:v>33727.233439999996</x:v>
      </x:c>
      <x:c r="AA162" s="25" t="n">
        <x:v>6098.483439999996</x:v>
      </x:c>
      <x:c r="AB162" s="25" t="n">
        <x:v>0.10181107579298826</x:v>
      </x:c>
      <x:c r="AC162" s="25" t="n">
        <x:v>1.2207296182418674</x:v>
      </x:c>
      <x:c r="AD162" s="25" t="n">
        <x:v>33727.233439999996</x:v>
      </x:c>
      <x:c r="AE162" s="25" t="n">
        <x:v>7096.377600000002</x:v>
      </x:c>
      <x:c r="AF162" s="25" t="n">
        <x:v>17740.944000000003</x:v>
      </x:c>
      <x:c r="AG162" s="25" t="n">
        <x:v>2.420918244260282</x:v>
      </x:c>
      <x:c r="AH162" s="25" t="n">
        <x:v>4.006677796327212</x:v>
      </x:c>
      <x:c r="AI162" t="n">
        <x:f>Z162-Y162</x:f>
        <x:v>6098.483439999996</x:v>
      </x:c>
      <x:c r="AJ162" t="n">
        <x:f>AA162/S162</x:f>
        <x:v>0.10181107579298826</x:v>
      </x:c>
      <x:c r="AK162" t="n">
        <x:f>Z162/Y162</x:f>
        <x:v>1.2207296182418674</x:v>
      </x:c>
    </x:row>
    <x:row r="163" ht="15" hidden="0" customHeight="1">
      <x:c r="A163" s="25" t="str">
        <x:v>INSTANT</x:v>
      </x:c>
      <x:c r="B163" s="25" t="n">
        <x:v>10</x:v>
      </x:c>
      <x:c r="C163" s="25" t="str">
        <x:v>Togo</x:v>
      </x:c>
      <x:c r="D163" s="25" t="str">
        <x:v>Stress</x:v>
      </x:c>
      <x:c r="E163" s="25" t="n">
        <x:v>8</x:v>
      </x:c>
      <x:c r="F163" s="25" t="n">
        <x:v>4</x:v>
      </x:c>
      <x:c r="G163" s="25" t="n">
        <x:v>3</x:v>
      </x:c>
      <x:c r="H163" s="25" t="n">
        <x:v>30</x:v>
      </x:c>
      <x:c r="I163" s="25" t="str">
        <x:v>Conservateur</x:v>
      </x:c>
      <x:c r="J163" s="25" t="n">
        <x:v>1</x:v>
      </x:c>
      <x:c r="K163" s="25" t="n">
        <x:v>59900</x:v>
      </x:c>
      <x:c r="L163" s="25" t="n">
        <x:v>0</x:v>
      </x:c>
      <x:c r="M163" s="25" t="n">
        <x:v>59900</x:v>
      </x:c>
      <x:c r="N163" s="25" t="n">
        <x:v>1</x:v>
      </x:c>
      <x:c r="O163" s="25" t="n">
        <x:v>1</x:v>
      </x:c>
      <x:c r="P163" s="25" t="n">
        <x:v>1</x:v>
      </x:c>
      <x:c r="Q163" s="25" t="n">
        <x:v>0.12636</x:v>
      </x:c>
      <x:c r="R163" s="25" t="n">
        <x:v>1.6</x:v>
      </x:c>
      <x:c r="S163" s="25" t="n">
        <x:v>59900</x:v>
      </x:c>
      <x:c r="T163" s="25" t="n">
        <x:v>3594</x:v>
      </x:c>
      <x:c r="U163" s="25" t="n">
        <x:v>1497.5</x:v>
      </x:c>
      <x:c r="V163" s="25" t="n">
        <x:v>10000</x:v>
      </x:c>
      <x:c r="W163" s="25" t="n">
        <x:v>10917.504000000003</x:v>
      </x:c>
      <x:c r="X163" s="25" t="n">
        <x:v>163.76256000000004</x:v>
      </x:c>
      <x:c r="Y163" s="25" t="n">
        <x:v>33635</x:v>
      </x:c>
      <x:c r="Z163" s="25" t="n">
        <x:v>33727.233439999996</x:v>
      </x:c>
      <x:c r="AA163" s="25" t="n">
        <x:v>92.23343999999634</x:v>
      </x:c>
      <x:c r="AB163" s="25" t="n">
        <x:v>0.0015397903171952643</x:v>
      </x:c>
      <x:c r="AC163" s="25" t="n">
        <x:v>1.0027421864129626</x:v>
      </x:c>
      <x:c r="AD163" s="25" t="n">
        <x:v>33727.233439999996</x:v>
      </x:c>
      <x:c r="AE163" s="25" t="n">
        <x:v>7096.377600000002</x:v>
      </x:c>
      <x:c r="AF163" s="25" t="n">
        <x:v>17740.944000000003</x:v>
      </x:c>
      <x:c r="AG163" s="25" t="n">
        <x:v>1.5745357180542363</x:v>
      </x:c>
      <x:c r="AH163" s="25" t="n">
        <x:v>4.006677796327212</x:v>
      </x:c>
      <x:c r="AI163" t="n">
        <x:f>Z163-Y163</x:f>
        <x:v>92.23343999999634</x:v>
      </x:c>
      <x:c r="AJ163" t="n">
        <x:f>AA163/S163</x:f>
        <x:v>0.0015397903171952643</x:v>
      </x:c>
      <x:c r="AK163" t="n">
        <x:f>Z163/Y163</x:f>
        <x:v>1.0027421864129626</x:v>
      </x:c>
    </x:row>
    <x:row r="164" ht="15" hidden="0" customHeight="1">
      <x:c r="A164" s="25" t="str">
        <x:v>INSTANT</x:v>
      </x:c>
      <x:c r="B164" s="25" t="n">
        <x:v>25</x:v>
      </x:c>
      <x:c r="C164" s="25" t="str">
        <x:v>Côte d’Ivoire</x:v>
      </x:c>
      <x:c r="D164" s="25" t="str">
        <x:v>Stress</x:v>
      </x:c>
      <x:c r="E164" s="25" t="n">
        <x:v>8</x:v>
      </x:c>
      <x:c r="F164" s="25" t="n">
        <x:v>4</x:v>
      </x:c>
      <x:c r="G164" s="25" t="n">
        <x:v>3</x:v>
      </x:c>
      <x:c r="H164" s="25" t="n">
        <x:v>30</x:v>
      </x:c>
      <x:c r="I164" s="25" t="str">
        <x:v>Conservateur</x:v>
      </x:c>
      <x:c r="J164" s="25" t="n">
        <x:v>1</x:v>
      </x:c>
      <x:c r="K164" s="25" t="n">
        <x:v>99900</x:v>
      </x:c>
      <x:c r="L164" s="25" t="n">
        <x:v>0</x:v>
      </x:c>
      <x:c r="M164" s="25" t="n">
        <x:v>99900</x:v>
      </x:c>
      <x:c r="N164" s="25" t="n">
        <x:v>1</x:v>
      </x:c>
      <x:c r="O164" s="25" t="n">
        <x:v>1</x:v>
      </x:c>
      <x:c r="P164" s="25" t="n">
        <x:v>1</x:v>
      </x:c>
      <x:c r="Q164" s="25" t="n">
        <x:v>0.12636</x:v>
      </x:c>
      <x:c r="R164" s="25" t="n">
        <x:v>1.6</x:v>
      </x:c>
      <x:c r="S164" s="25" t="n">
        <x:v>99900</x:v>
      </x:c>
      <x:c r="T164" s="25" t="n">
        <x:v>5994</x:v>
      </x:c>
      <x:c r="U164" s="25" t="n">
        <x:v>2497.5</x:v>
      </x:c>
      <x:c r="V164" s="25" t="n">
        <x:v>10000</x:v>
      </x:c>
      <x:c r="W164" s="25" t="n">
        <x:v>27293.760000000002</x:v>
      </x:c>
      <x:c r="X164" s="25" t="n">
        <x:v>409.4064</x:v>
      </x:c>
      <x:c r="Y164" s="25" t="n">
        <x:v>26427.5</x:v>
      </x:c>
      <x:c r="Z164" s="25" t="n">
        <x:v>53705.3336</x:v>
      </x:c>
      <x:c r="AA164" s="25" t="n">
        <x:v>27277.833599999998</x:v>
      </x:c>
      <x:c r="AB164" s="25" t="n">
        <x:v>0.2730513873873874</x:v>
      </x:c>
      <x:c r="AC164" s="25" t="n">
        <x:v>2.0321760893009175</x:v>
      </x:c>
      <x:c r="AD164" s="25" t="n">
        <x:v>53705.3336</x:v>
      </x:c>
      <x:c r="AE164" s="25" t="n">
        <x:v>17740.944000000003</x:v>
      </x:c>
      <x:c r="AF164" s="25" t="n">
        <x:v>44352.36000000001</x:v>
      </x:c>
      <x:c r="AG164" s="25" t="n">
        <x:v>3.0991022800139603</x:v>
      </x:c>
      <x:c r="AH164" s="25" t="n">
        <x:v>5.405405405405405</x:v>
      </x:c>
      <x:c r="AI164" t="n">
        <x:f>Z164-Y164</x:f>
        <x:v>27277.833599999998</x:v>
      </x:c>
      <x:c r="AJ164" t="n">
        <x:f>AA164/S164</x:f>
        <x:v>0.2730513873873874</x:v>
      </x:c>
      <x:c r="AK164" t="n">
        <x:f>Z164/Y164</x:f>
        <x:v>2.0321760893009175</x:v>
      </x:c>
    </x:row>
    <x:row r="165" ht="15" hidden="0" customHeight="1">
      <x:c r="A165" s="25" t="str">
        <x:v>INSTANT</x:v>
      </x:c>
      <x:c r="B165" s="25" t="n">
        <x:v>25</x:v>
      </x:c>
      <x:c r="C165" s="25" t="str">
        <x:v>Cameroun</x:v>
      </x:c>
      <x:c r="D165" s="25" t="str">
        <x:v>Stress</x:v>
      </x:c>
      <x:c r="E165" s="25" t="n">
        <x:v>8</x:v>
      </x:c>
      <x:c r="F165" s="25" t="n">
        <x:v>4</x:v>
      </x:c>
      <x:c r="G165" s="25" t="n">
        <x:v>3</x:v>
      </x:c>
      <x:c r="H165" s="25" t="n">
        <x:v>30</x:v>
      </x:c>
      <x:c r="I165" s="25" t="str">
        <x:v>Conservateur</x:v>
      </x:c>
      <x:c r="J165" s="25" t="n">
        <x:v>1</x:v>
      </x:c>
      <x:c r="K165" s="25" t="n">
        <x:v>99900</x:v>
      </x:c>
      <x:c r="L165" s="25" t="n">
        <x:v>0</x:v>
      </x:c>
      <x:c r="M165" s="25" t="n">
        <x:v>99900</x:v>
      </x:c>
      <x:c r="N165" s="25" t="n">
        <x:v>1</x:v>
      </x:c>
      <x:c r="O165" s="25" t="n">
        <x:v>1</x:v>
      </x:c>
      <x:c r="P165" s="25" t="n">
        <x:v>1</x:v>
      </x:c>
      <x:c r="Q165" s="25" t="n">
        <x:v>0.12636</x:v>
      </x:c>
      <x:c r="R165" s="25" t="n">
        <x:v>1.6</x:v>
      </x:c>
      <x:c r="S165" s="25" t="n">
        <x:v>99900</x:v>
      </x:c>
      <x:c r="T165" s="25" t="n">
        <x:v>5994</x:v>
      </x:c>
      <x:c r="U165" s="25" t="n">
        <x:v>2497.5</x:v>
      </x:c>
      <x:c r="V165" s="25" t="n">
        <x:v>10000</x:v>
      </x:c>
      <x:c r="W165" s="25" t="n">
        <x:v>27293.760000000002</x:v>
      </x:c>
      <x:c r="X165" s="25" t="n">
        <x:v>409.4064</x:v>
      </x:c>
      <x:c r="Y165" s="25" t="n">
        <x:v>28830</x:v>
      </x:c>
      <x:c r="Z165" s="25" t="n">
        <x:v>53705.3336</x:v>
      </x:c>
      <x:c r="AA165" s="25" t="n">
        <x:v>24875.333599999998</x:v>
      </x:c>
      <x:c r="AB165" s="25" t="n">
        <x:v>0.24900233833833832</x:v>
      </x:c>
      <x:c r="AC165" s="25" t="n">
        <x:v>1.8628280818591745</x:v>
      </x:c>
      <x:c r="AD165" s="25" t="n">
        <x:v>53705.3336</x:v>
      </x:c>
      <x:c r="AE165" s="25" t="n">
        <x:v>17740.944000000003</x:v>
      </x:c>
      <x:c r="AF165" s="25" t="n">
        <x:v>44352.36000000001</x:v>
      </x:c>
      <x:c r="AG165" s="25" t="n">
        <x:v>2.963681075820993</x:v>
      </x:c>
      <x:c r="AH165" s="25" t="n">
        <x:v>5.405405405405405</x:v>
      </x:c>
      <x:c r="AI165" t="n">
        <x:f>Z165-Y165</x:f>
        <x:v>24875.333599999998</x:v>
      </x:c>
      <x:c r="AJ165" t="n">
        <x:f>AA165/S165</x:f>
        <x:v>0.24900233833833832</x:v>
      </x:c>
      <x:c r="AK165" t="n">
        <x:f>Z165/Y165</x:f>
        <x:v>1.8628280818591745</x:v>
      </x:c>
    </x:row>
    <x:row r="166" ht="15" hidden="0" customHeight="1">
      <x:c r="A166" s="25" t="str">
        <x:v>INSTANT</x:v>
      </x:c>
      <x:c r="B166" s="25" t="n">
        <x:v>25</x:v>
      </x:c>
      <x:c r="C166" s="25" t="str">
        <x:v>Sénégal</x:v>
      </x:c>
      <x:c r="D166" s="25" t="str">
        <x:v>Stress</x:v>
      </x:c>
      <x:c r="E166" s="25" t="n">
        <x:v>8</x:v>
      </x:c>
      <x:c r="F166" s="25" t="n">
        <x:v>4</x:v>
      </x:c>
      <x:c r="G166" s="25" t="n">
        <x:v>3</x:v>
      </x:c>
      <x:c r="H166" s="25" t="n">
        <x:v>30</x:v>
      </x:c>
      <x:c r="I166" s="25" t="str">
        <x:v>Conservateur</x:v>
      </x:c>
      <x:c r="J166" s="25" t="n">
        <x:v>1</x:v>
      </x:c>
      <x:c r="K166" s="25" t="n">
        <x:v>99900</x:v>
      </x:c>
      <x:c r="L166" s="25" t="n">
        <x:v>0</x:v>
      </x:c>
      <x:c r="M166" s="25" t="n">
        <x:v>99900</x:v>
      </x:c>
      <x:c r="N166" s="25" t="n">
        <x:v>1</x:v>
      </x:c>
      <x:c r="O166" s="25" t="n">
        <x:v>1</x:v>
      </x:c>
      <x:c r="P166" s="25" t="n">
        <x:v>1</x:v>
      </x:c>
      <x:c r="Q166" s="25" t="n">
        <x:v>0.12636</x:v>
      </x:c>
      <x:c r="R166" s="25" t="n">
        <x:v>1.6</x:v>
      </x:c>
      <x:c r="S166" s="25" t="n">
        <x:v>99900</x:v>
      </x:c>
      <x:c r="T166" s="25" t="n">
        <x:v>5994</x:v>
      </x:c>
      <x:c r="U166" s="25" t="n">
        <x:v>2497.5</x:v>
      </x:c>
      <x:c r="V166" s="25" t="n">
        <x:v>10000</x:v>
      </x:c>
      <x:c r="W166" s="25" t="n">
        <x:v>27293.760000000002</x:v>
      </x:c>
      <x:c r="X166" s="25" t="n">
        <x:v>409.4064</x:v>
      </x:c>
      <x:c r="Y166" s="25" t="n">
        <x:v>36037.5</x:v>
      </x:c>
      <x:c r="Z166" s="25" t="n">
        <x:v>53705.3336</x:v>
      </x:c>
      <x:c r="AA166" s="25" t="n">
        <x:v>17667.833599999998</x:v>
      </x:c>
      <x:c r="AB166" s="25" t="n">
        <x:v>0.17685519119119117</x:v>
      </x:c>
      <x:c r="AC166" s="25" t="n">
        <x:v>1.4902624654873395</x:v>
      </x:c>
      <x:c r="AD166" s="25" t="n">
        <x:v>53705.3336</x:v>
      </x:c>
      <x:c r="AE166" s="25" t="n">
        <x:v>17740.944000000003</x:v>
      </x:c>
      <x:c r="AF166" s="25" t="n">
        <x:v>44352.36000000001</x:v>
      </x:c>
      <x:c r="AG166" s="25" t="n">
        <x:v>2.557417463242091</x:v>
      </x:c>
      <x:c r="AH166" s="25" t="n">
        <x:v>5.405405405405405</x:v>
      </x:c>
      <x:c r="AI166" t="n">
        <x:f>Z166-Y166</x:f>
        <x:v>17667.833599999998</x:v>
      </x:c>
      <x:c r="AJ166" t="n">
        <x:f>AA166/S166</x:f>
        <x:v>0.17685519119119117</x:v>
      </x:c>
      <x:c r="AK166" t="n">
        <x:f>Z166/Y166</x:f>
        <x:v>1.4902624654873395</x:v>
      </x:c>
    </x:row>
    <x:row r="167" ht="15" hidden="0" customHeight="1">
      <x:c r="A167" s="25" t="str">
        <x:v>INSTANT</x:v>
      </x:c>
      <x:c r="B167" s="25" t="n">
        <x:v>25</x:v>
      </x:c>
      <x:c r="C167" s="25" t="str">
        <x:v>Bénin</x:v>
      </x:c>
      <x:c r="D167" s="25" t="str">
        <x:v>Stress</x:v>
      </x:c>
      <x:c r="E167" s="25" t="n">
        <x:v>8</x:v>
      </x:c>
      <x:c r="F167" s="25" t="n">
        <x:v>4</x:v>
      </x:c>
      <x:c r="G167" s="25" t="n">
        <x:v>3</x:v>
      </x:c>
      <x:c r="H167" s="25" t="n">
        <x:v>30</x:v>
      </x:c>
      <x:c r="I167" s="25" t="str">
        <x:v>Conservateur</x:v>
      </x:c>
      <x:c r="J167" s="25" t="n">
        <x:v>1</x:v>
      </x:c>
      <x:c r="K167" s="25" t="n">
        <x:v>99900</x:v>
      </x:c>
      <x:c r="L167" s="25" t="n">
        <x:v>0</x:v>
      </x:c>
      <x:c r="M167" s="25" t="n">
        <x:v>99900</x:v>
      </x:c>
      <x:c r="N167" s="25" t="n">
        <x:v>1</x:v>
      </x:c>
      <x:c r="O167" s="25" t="n">
        <x:v>1</x:v>
      </x:c>
      <x:c r="P167" s="25" t="n">
        <x:v>1</x:v>
      </x:c>
      <x:c r="Q167" s="25" t="n">
        <x:v>0.12636</x:v>
      </x:c>
      <x:c r="R167" s="25" t="n">
        <x:v>1.6</x:v>
      </x:c>
      <x:c r="S167" s="25" t="n">
        <x:v>99900</x:v>
      </x:c>
      <x:c r="T167" s="25" t="n">
        <x:v>5994</x:v>
      </x:c>
      <x:c r="U167" s="25" t="n">
        <x:v>2497.5</x:v>
      </x:c>
      <x:c r="V167" s="25" t="n">
        <x:v>10000</x:v>
      </x:c>
      <x:c r="W167" s="25" t="n">
        <x:v>27293.760000000002</x:v>
      </x:c>
      <x:c r="X167" s="25" t="n">
        <x:v>409.4064</x:v>
      </x:c>
      <x:c r="Y167" s="25" t="n">
        <x:v>24025</x:v>
      </x:c>
      <x:c r="Z167" s="25" t="n">
        <x:v>53705.3336</x:v>
      </x:c>
      <x:c r="AA167" s="25" t="n">
        <x:v>29680.333599999998</x:v>
      </x:c>
      <x:c r="AB167" s="25" t="n">
        <x:v>0.2971004364364364</x:v>
      </x:c>
      <x:c r="AC167" s="25" t="n">
        <x:v>2.235393698231009</x:v>
      </x:c>
      <x:c r="AD167" s="25" t="n">
        <x:v>53705.3336</x:v>
      </x:c>
      <x:c r="AE167" s="25" t="n">
        <x:v>17740.944000000003</x:v>
      </x:c>
      <x:c r="AF167" s="25" t="n">
        <x:v>44352.36000000001</x:v>
      </x:c>
      <x:c r="AG167" s="25" t="n">
        <x:v>3.2345234842069277</x:v>
      </x:c>
      <x:c r="AH167" s="25" t="n">
        <x:v>5.405405405405405</x:v>
      </x:c>
      <x:c r="AI167" t="n">
        <x:f>Z167-Y167</x:f>
        <x:v>29680.333599999998</x:v>
      </x:c>
      <x:c r="AJ167" t="n">
        <x:f>AA167/S167</x:f>
        <x:v>0.2971004364364364</x:v>
      </x:c>
      <x:c r="AK167" t="n">
        <x:f>Z167/Y167</x:f>
        <x:v>2.235393698231009</x:v>
      </x:c>
    </x:row>
    <x:row r="168" ht="15" hidden="0" customHeight="1">
      <x:c r="A168" s="25" t="str">
        <x:v>INSTANT</x:v>
      </x:c>
      <x:c r="B168" s="25" t="n">
        <x:v>25</x:v>
      </x:c>
      <x:c r="C168" s="25" t="str">
        <x:v>Burkina Faso</x:v>
      </x:c>
      <x:c r="D168" s="25" t="str">
        <x:v>Stress</x:v>
      </x:c>
      <x:c r="E168" s="25" t="n">
        <x:v>8</x:v>
      </x:c>
      <x:c r="F168" s="25" t="n">
        <x:v>4</x:v>
      </x:c>
      <x:c r="G168" s="25" t="n">
        <x:v>3</x:v>
      </x:c>
      <x:c r="H168" s="25" t="n">
        <x:v>30</x:v>
      </x:c>
      <x:c r="I168" s="25" t="str">
        <x:v>Conservateur</x:v>
      </x:c>
      <x:c r="J168" s="25" t="n">
        <x:v>1</x:v>
      </x:c>
      <x:c r="K168" s="25" t="n">
        <x:v>99900</x:v>
      </x:c>
      <x:c r="L168" s="25" t="n">
        <x:v>0</x:v>
      </x:c>
      <x:c r="M168" s="25" t="n">
        <x:v>99900</x:v>
      </x:c>
      <x:c r="N168" s="25" t="n">
        <x:v>1</x:v>
      </x:c>
      <x:c r="O168" s="25" t="n">
        <x:v>1</x:v>
      </x:c>
      <x:c r="P168" s="25" t="n">
        <x:v>1</x:v>
      </x:c>
      <x:c r="Q168" s="25" t="n">
        <x:v>0.12636</x:v>
      </x:c>
      <x:c r="R168" s="25" t="n">
        <x:v>1.6</x:v>
      </x:c>
      <x:c r="S168" s="25" t="n">
        <x:v>99900</x:v>
      </x:c>
      <x:c r="T168" s="25" t="n">
        <x:v>5994</x:v>
      </x:c>
      <x:c r="U168" s="25" t="n">
        <x:v>2497.5</x:v>
      </x:c>
      <x:c r="V168" s="25" t="n">
        <x:v>10000</x:v>
      </x:c>
      <x:c r="W168" s="25" t="n">
        <x:v>27293.760000000002</x:v>
      </x:c>
      <x:c r="X168" s="25" t="n">
        <x:v>409.4064</x:v>
      </x:c>
      <x:c r="Y168" s="25" t="n">
        <x:v>27628.75</x:v>
      </x:c>
      <x:c r="Z168" s="25" t="n">
        <x:v>53705.3336</x:v>
      </x:c>
      <x:c r="AA168" s="25" t="n">
        <x:v>26076.583599999998</x:v>
      </x:c>
      <x:c r="AB168" s="25" t="n">
        <x:v>0.26102686286286286</x:v>
      </x:c>
      <x:c r="AC168" s="25" t="n">
        <x:v>1.9438206071573993</x:v>
      </x:c>
      <x:c r="AD168" s="25" t="n">
        <x:v>53705.3336</x:v>
      </x:c>
      <x:c r="AE168" s="25" t="n">
        <x:v>17740.944000000003</x:v>
      </x:c>
      <x:c r="AF168" s="25" t="n">
        <x:v>44352.36000000001</x:v>
      </x:c>
      <x:c r="AG168" s="25" t="n">
        <x:v>3.0313916779174765</x:v>
      </x:c>
      <x:c r="AH168" s="25" t="n">
        <x:v>5.405405405405405</x:v>
      </x:c>
      <x:c r="AI168" t="n">
        <x:f>Z168-Y168</x:f>
        <x:v>26076.583599999998</x:v>
      </x:c>
      <x:c r="AJ168" t="n">
        <x:f>AA168/S168</x:f>
        <x:v>0.26102686286286286</x:v>
      </x:c>
      <x:c r="AK168" t="n">
        <x:f>Z168/Y168</x:f>
        <x:v>1.9438206071573993</x:v>
      </x:c>
    </x:row>
    <x:row r="169" ht="15" hidden="0" customHeight="1">
      <x:c r="A169" s="25" t="str">
        <x:v>INSTANT</x:v>
      </x:c>
      <x:c r="B169" s="25" t="n">
        <x:v>25</x:v>
      </x:c>
      <x:c r="C169" s="25" t="str">
        <x:v>Togo</x:v>
      </x:c>
      <x:c r="D169" s="25" t="str">
        <x:v>Stress</x:v>
      </x:c>
      <x:c r="E169" s="25" t="n">
        <x:v>8</x:v>
      </x:c>
      <x:c r="F169" s="25" t="n">
        <x:v>4</x:v>
      </x:c>
      <x:c r="G169" s="25" t="n">
        <x:v>3</x:v>
      </x:c>
      <x:c r="H169" s="25" t="n">
        <x:v>30</x:v>
      </x:c>
      <x:c r="I169" s="25" t="str">
        <x:v>Conservateur</x:v>
      </x:c>
      <x:c r="J169" s="25" t="n">
        <x:v>1</x:v>
      </x:c>
      <x:c r="K169" s="25" t="n">
        <x:v>99900</x:v>
      </x:c>
      <x:c r="L169" s="25" t="n">
        <x:v>0</x:v>
      </x:c>
      <x:c r="M169" s="25" t="n">
        <x:v>99900</x:v>
      </x:c>
      <x:c r="N169" s="25" t="n">
        <x:v>1</x:v>
      </x:c>
      <x:c r="O169" s="25" t="n">
        <x:v>1</x:v>
      </x:c>
      <x:c r="P169" s="25" t="n">
        <x:v>1</x:v>
      </x:c>
      <x:c r="Q169" s="25" t="n">
        <x:v>0.12636</x:v>
      </x:c>
      <x:c r="R169" s="25" t="n">
        <x:v>1.6</x:v>
      </x:c>
      <x:c r="S169" s="25" t="n">
        <x:v>99900</x:v>
      </x:c>
      <x:c r="T169" s="25" t="n">
        <x:v>5994</x:v>
      </x:c>
      <x:c r="U169" s="25" t="n">
        <x:v>2497.5</x:v>
      </x:c>
      <x:c r="V169" s="25" t="n">
        <x:v>10000</x:v>
      </x:c>
      <x:c r="W169" s="25" t="n">
        <x:v>27293.760000000002</x:v>
      </x:c>
      <x:c r="X169" s="25" t="n">
        <x:v>409.4064</x:v>
      </x:c>
      <x:c r="Y169" s="25" t="n">
        <x:v>33635</x:v>
      </x:c>
      <x:c r="Z169" s="25" t="n">
        <x:v>53705.3336</x:v>
      </x:c>
      <x:c r="AA169" s="25" t="n">
        <x:v>20070.333599999998</x:v>
      </x:c>
      <x:c r="AB169" s="25" t="n">
        <x:v>0.20090424024024023</x:v>
      </x:c>
      <x:c r="AC169" s="25" t="n">
        <x:v>1.596709784450721</x:v>
      </x:c>
      <x:c r="AD169" s="25" t="n">
        <x:v>53705.3336</x:v>
      </x:c>
      <x:c r="AE169" s="25" t="n">
        <x:v>17740.944000000003</x:v>
      </x:c>
      <x:c r="AF169" s="25" t="n">
        <x:v>44352.36000000001</x:v>
      </x:c>
      <x:c r="AG169" s="25" t="n">
        <x:v>2.6928386674350584</x:v>
      </x:c>
      <x:c r="AH169" s="25" t="n">
        <x:v>5.405405405405405</x:v>
      </x:c>
      <x:c r="AI169" t="n">
        <x:f>Z169-Y169</x:f>
        <x:v>20070.333599999998</x:v>
      </x:c>
      <x:c r="AJ169" t="n">
        <x:f>AA169/S169</x:f>
        <x:v>0.20090424024024023</x:v>
      </x:c>
      <x:c r="AK169" t="n">
        <x:f>Z169/Y169</x:f>
        <x:v>1.596709784450721</x:v>
      </x:c>
    </x:row>
    <x:row r="170" ht="15" hidden="0" customHeight="1">
      <x:c r="A170" s="25" t="str">
        <x:v>INSTANT</x:v>
      </x:c>
      <x:c r="B170" s="25" t="n">
        <x:v>50</x:v>
      </x:c>
      <x:c r="C170" s="25" t="str">
        <x:v>Côte d’Ivoire</x:v>
      </x:c>
      <x:c r="D170" s="25" t="str">
        <x:v>Stress</x:v>
      </x:c>
      <x:c r="E170" s="25" t="n">
        <x:v>8</x:v>
      </x:c>
      <x:c r="F170" s="25" t="n">
        <x:v>4</x:v>
      </x:c>
      <x:c r="G170" s="25" t="n">
        <x:v>3</x:v>
      </x:c>
      <x:c r="H170" s="25" t="n">
        <x:v>30</x:v>
      </x:c>
      <x:c r="I170" s="25" t="str">
        <x:v>Conservateur</x:v>
      </x:c>
      <x:c r="J170" s="25" t="n">
        <x:v>1</x:v>
      </x:c>
      <x:c r="K170" s="25" t="n">
        <x:v>169900</x:v>
      </x:c>
      <x:c r="L170" s="25" t="n">
        <x:v>0</x:v>
      </x:c>
      <x:c r="M170" s="25" t="n">
        <x:v>169900</x:v>
      </x:c>
      <x:c r="N170" s="25" t="n">
        <x:v>1</x:v>
      </x:c>
      <x:c r="O170" s="25" t="n">
        <x:v>1</x:v>
      </x:c>
      <x:c r="P170" s="25" t="n">
        <x:v>1</x:v>
      </x:c>
      <x:c r="Q170" s="25" t="n">
        <x:v>0.12636</x:v>
      </x:c>
      <x:c r="R170" s="25" t="n">
        <x:v>1.6</x:v>
      </x:c>
      <x:c r="S170" s="25" t="n">
        <x:v>169900</x:v>
      </x:c>
      <x:c r="T170" s="25" t="n">
        <x:v>10194</x:v>
      </x:c>
      <x:c r="U170" s="25" t="n">
        <x:v>4247.5</x:v>
      </x:c>
      <x:c r="V170" s="25" t="n">
        <x:v>10000</x:v>
      </x:c>
      <x:c r="W170" s="25" t="n">
        <x:v>54587.520000000004</x:v>
      </x:c>
      <x:c r="X170" s="25" t="n">
        <x:v>818.8128</x:v>
      </x:c>
      <x:c r="Y170" s="25" t="n">
        <x:v>26427.5</x:v>
      </x:c>
      <x:c r="Z170" s="25" t="n">
        <x:v>90052.1672</x:v>
      </x:c>
      <x:c r="AA170" s="25" t="n">
        <x:v>63624.667199999996</x:v>
      </x:c>
      <x:c r="AB170" s="25" t="n">
        <x:v>0.3744830323719835</x:v>
      </x:c>
      <x:c r="AC170" s="25" t="n">
        <x:v>3.4075174420584617</x:v>
      </x:c>
      <x:c r="AD170" s="25" t="n">
        <x:v>90052.1672</x:v>
      </x:c>
      <x:c r="AE170" s="25" t="n">
        <x:v>35481.888000000006</x:v>
      </x:c>
      <x:c r="AF170" s="25" t="n">
        <x:v>88704.72000000002</x:v>
      </x:c>
      <x:c r="AG170" s="25" t="n">
        <x:v>3.3546974726936734</x:v>
      </x:c>
      <x:c r="AH170" s="25" t="n">
        <x:v>5.29723366686286</x:v>
      </x:c>
      <x:c r="AI170" t="n">
        <x:f>Z170-Y170</x:f>
        <x:v>63624.667199999996</x:v>
      </x:c>
      <x:c r="AJ170" t="n">
        <x:f>AA170/S170</x:f>
        <x:v>0.3744830323719835</x:v>
      </x:c>
      <x:c r="AK170" t="n">
        <x:f>Z170/Y170</x:f>
        <x:v>3.4075174420584617</x:v>
      </x:c>
    </x:row>
    <x:row r="171" ht="15" hidden="0" customHeight="1">
      <x:c r="A171" s="25" t="str">
        <x:v>INSTANT</x:v>
      </x:c>
      <x:c r="B171" s="25" t="n">
        <x:v>50</x:v>
      </x:c>
      <x:c r="C171" s="25" t="str">
        <x:v>Cameroun</x:v>
      </x:c>
      <x:c r="D171" s="25" t="str">
        <x:v>Stress</x:v>
      </x:c>
      <x:c r="E171" s="25" t="n">
        <x:v>8</x:v>
      </x:c>
      <x:c r="F171" s="25" t="n">
        <x:v>4</x:v>
      </x:c>
      <x:c r="G171" s="25" t="n">
        <x:v>3</x:v>
      </x:c>
      <x:c r="H171" s="25" t="n">
        <x:v>30</x:v>
      </x:c>
      <x:c r="I171" s="25" t="str">
        <x:v>Conservateur</x:v>
      </x:c>
      <x:c r="J171" s="25" t="n">
        <x:v>1</x:v>
      </x:c>
      <x:c r="K171" s="25" t="n">
        <x:v>169900</x:v>
      </x:c>
      <x:c r="L171" s="25" t="n">
        <x:v>0</x:v>
      </x:c>
      <x:c r="M171" s="25" t="n">
        <x:v>169900</x:v>
      </x:c>
      <x:c r="N171" s="25" t="n">
        <x:v>1</x:v>
      </x:c>
      <x:c r="O171" s="25" t="n">
        <x:v>1</x:v>
      </x:c>
      <x:c r="P171" s="25" t="n">
        <x:v>1</x:v>
      </x:c>
      <x:c r="Q171" s="25" t="n">
        <x:v>0.12636</x:v>
      </x:c>
      <x:c r="R171" s="25" t="n">
        <x:v>1.6</x:v>
      </x:c>
      <x:c r="S171" s="25" t="n">
        <x:v>169900</x:v>
      </x:c>
      <x:c r="T171" s="25" t="n">
        <x:v>10194</x:v>
      </x:c>
      <x:c r="U171" s="25" t="n">
        <x:v>4247.5</x:v>
      </x:c>
      <x:c r="V171" s="25" t="n">
        <x:v>10000</x:v>
      </x:c>
      <x:c r="W171" s="25" t="n">
        <x:v>54587.520000000004</x:v>
      </x:c>
      <x:c r="X171" s="25" t="n">
        <x:v>818.8128</x:v>
      </x:c>
      <x:c r="Y171" s="25" t="n">
        <x:v>28830</x:v>
      </x:c>
      <x:c r="Z171" s="25" t="n">
        <x:v>90052.1672</x:v>
      </x:c>
      <x:c r="AA171" s="25" t="n">
        <x:v>61222.167199999996</x:v>
      </x:c>
      <x:c r="AB171" s="25" t="n">
        <x:v>0.36034236138905235</x:v>
      </x:c>
      <x:c r="AC171" s="25" t="n">
        <x:v>3.1235576552202566</x:v>
      </x:c>
      <x:c r="AD171" s="25" t="n">
        <x:v>90052.1672</x:v>
      </x:c>
      <x:c r="AE171" s="25" t="n">
        <x:v>35481.888000000006</x:v>
      </x:c>
      <x:c r="AF171" s="25" t="n">
        <x:v>88704.72000000002</x:v>
      </x:c>
      <x:c r="AG171" s="25" t="n">
        <x:v>3.2869868705971896</x:v>
      </x:c>
      <x:c r="AH171" s="25" t="n">
        <x:v>5.29723366686286</x:v>
      </x:c>
      <x:c r="AI171" t="n">
        <x:f>Z171-Y171</x:f>
        <x:v>61222.167199999996</x:v>
      </x:c>
      <x:c r="AJ171" t="n">
        <x:f>AA171/S171</x:f>
        <x:v>0.36034236138905235</x:v>
      </x:c>
      <x:c r="AK171" t="n">
        <x:f>Z171/Y171</x:f>
        <x:v>3.1235576552202566</x:v>
      </x:c>
    </x:row>
    <x:row r="172" ht="15" hidden="0" customHeight="1">
      <x:c r="A172" s="25" t="str">
        <x:v>INSTANT</x:v>
      </x:c>
      <x:c r="B172" s="25" t="n">
        <x:v>50</x:v>
      </x:c>
      <x:c r="C172" s="25" t="str">
        <x:v>Sénégal</x:v>
      </x:c>
      <x:c r="D172" s="25" t="str">
        <x:v>Stress</x:v>
      </x:c>
      <x:c r="E172" s="25" t="n">
        <x:v>8</x:v>
      </x:c>
      <x:c r="F172" s="25" t="n">
        <x:v>4</x:v>
      </x:c>
      <x:c r="G172" s="25" t="n">
        <x:v>3</x:v>
      </x:c>
      <x:c r="H172" s="25" t="n">
        <x:v>30</x:v>
      </x:c>
      <x:c r="I172" s="25" t="str">
        <x:v>Conservateur</x:v>
      </x:c>
      <x:c r="J172" s="25" t="n">
        <x:v>1</x:v>
      </x:c>
      <x:c r="K172" s="25" t="n">
        <x:v>169900</x:v>
      </x:c>
      <x:c r="L172" s="25" t="n">
        <x:v>0</x:v>
      </x:c>
      <x:c r="M172" s="25" t="n">
        <x:v>169900</x:v>
      </x:c>
      <x:c r="N172" s="25" t="n">
        <x:v>1</x:v>
      </x:c>
      <x:c r="O172" s="25" t="n">
        <x:v>1</x:v>
      </x:c>
      <x:c r="P172" s="25" t="n">
        <x:v>1</x:v>
      </x:c>
      <x:c r="Q172" s="25" t="n">
        <x:v>0.12636</x:v>
      </x:c>
      <x:c r="R172" s="25" t="n">
        <x:v>1.6</x:v>
      </x:c>
      <x:c r="S172" s="25" t="n">
        <x:v>169900</x:v>
      </x:c>
      <x:c r="T172" s="25" t="n">
        <x:v>10194</x:v>
      </x:c>
      <x:c r="U172" s="25" t="n">
        <x:v>4247.5</x:v>
      </x:c>
      <x:c r="V172" s="25" t="n">
        <x:v>10000</x:v>
      </x:c>
      <x:c r="W172" s="25" t="n">
        <x:v>54587.520000000004</x:v>
      </x:c>
      <x:c r="X172" s="25" t="n">
        <x:v>818.8128</x:v>
      </x:c>
      <x:c r="Y172" s="25" t="n">
        <x:v>36037.5</x:v>
      </x:c>
      <x:c r="Z172" s="25" t="n">
        <x:v>90052.1672</x:v>
      </x:c>
      <x:c r="AA172" s="25" t="n">
        <x:v>54014.667199999996</x:v>
      </x:c>
      <x:c r="AB172" s="25" t="n">
        <x:v>0.31792034844025896</x:v>
      </x:c>
      <x:c r="AC172" s="25" t="n">
        <x:v>2.498846124176205</x:v>
      </x:c>
      <x:c r="AD172" s="25" t="n">
        <x:v>90052.1672</x:v>
      </x:c>
      <x:c r="AE172" s="25" t="n">
        <x:v>35481.888000000006</x:v>
      </x:c>
      <x:c r="AF172" s="25" t="n">
        <x:v>88704.72000000002</x:v>
      </x:c>
      <x:c r="AG172" s="25" t="n">
        <x:v>3.0838550643077385</x:v>
      </x:c>
      <x:c r="AH172" s="25" t="n">
        <x:v>5.29723366686286</x:v>
      </x:c>
      <x:c r="AI172" t="n">
        <x:f>Z172-Y172</x:f>
        <x:v>54014.667199999996</x:v>
      </x:c>
      <x:c r="AJ172" t="n">
        <x:f>AA172/S172</x:f>
        <x:v>0.31792034844025896</x:v>
      </x:c>
      <x:c r="AK172" t="n">
        <x:f>Z172/Y172</x:f>
        <x:v>2.498846124176205</x:v>
      </x:c>
    </x:row>
    <x:row r="173" ht="15" hidden="0" customHeight="1">
      <x:c r="A173" s="25" t="str">
        <x:v>INSTANT</x:v>
      </x:c>
      <x:c r="B173" s="25" t="n">
        <x:v>50</x:v>
      </x:c>
      <x:c r="C173" s="25" t="str">
        <x:v>Bénin</x:v>
      </x:c>
      <x:c r="D173" s="25" t="str">
        <x:v>Stress</x:v>
      </x:c>
      <x:c r="E173" s="25" t="n">
        <x:v>8</x:v>
      </x:c>
      <x:c r="F173" s="25" t="n">
        <x:v>4</x:v>
      </x:c>
      <x:c r="G173" s="25" t="n">
        <x:v>3</x:v>
      </x:c>
      <x:c r="H173" s="25" t="n">
        <x:v>30</x:v>
      </x:c>
      <x:c r="I173" s="25" t="str">
        <x:v>Conservateur</x:v>
      </x:c>
      <x:c r="J173" s="25" t="n">
        <x:v>1</x:v>
      </x:c>
      <x:c r="K173" s="25" t="n">
        <x:v>169900</x:v>
      </x:c>
      <x:c r="L173" s="25" t="n">
        <x:v>0</x:v>
      </x:c>
      <x:c r="M173" s="25" t="n">
        <x:v>169900</x:v>
      </x:c>
      <x:c r="N173" s="25" t="n">
        <x:v>1</x:v>
      </x:c>
      <x:c r="O173" s="25" t="n">
        <x:v>1</x:v>
      </x:c>
      <x:c r="P173" s="25" t="n">
        <x:v>1</x:v>
      </x:c>
      <x:c r="Q173" s="25" t="n">
        <x:v>0.12636</x:v>
      </x:c>
      <x:c r="R173" s="25" t="n">
        <x:v>1.6</x:v>
      </x:c>
      <x:c r="S173" s="25" t="n">
        <x:v>169900</x:v>
      </x:c>
      <x:c r="T173" s="25" t="n">
        <x:v>10194</x:v>
      </x:c>
      <x:c r="U173" s="25" t="n">
        <x:v>4247.5</x:v>
      </x:c>
      <x:c r="V173" s="25" t="n">
        <x:v>10000</x:v>
      </x:c>
      <x:c r="W173" s="25" t="n">
        <x:v>54587.520000000004</x:v>
      </x:c>
      <x:c r="X173" s="25" t="n">
        <x:v>818.8128</x:v>
      </x:c>
      <x:c r="Y173" s="25" t="n">
        <x:v>24025</x:v>
      </x:c>
      <x:c r="Z173" s="25" t="n">
        <x:v>90052.1672</x:v>
      </x:c>
      <x:c r="AA173" s="25" t="n">
        <x:v>66027.1672</x:v>
      </x:c>
      <x:c r="AB173" s="25" t="n">
        <x:v>0.38862370335491464</x:v>
      </x:c>
      <x:c r="AC173" s="25" t="n">
        <x:v>3.748269186264308</x:v>
      </x:c>
      <x:c r="AD173" s="25" t="n">
        <x:v>90052.1672</x:v>
      </x:c>
      <x:c r="AE173" s="25" t="n">
        <x:v>35481.888000000006</x:v>
      </x:c>
      <x:c r="AF173" s="25" t="n">
        <x:v>88704.72000000002</x:v>
      </x:c>
      <x:c r="AG173" s="25" t="n">
        <x:v>3.422408074790157</x:v>
      </x:c>
      <x:c r="AH173" s="25" t="n">
        <x:v>5.29723366686286</x:v>
      </x:c>
      <x:c r="AI173" t="n">
        <x:f>Z173-Y173</x:f>
        <x:v>66027.1672</x:v>
      </x:c>
      <x:c r="AJ173" t="n">
        <x:f>AA173/S173</x:f>
        <x:v>0.38862370335491464</x:v>
      </x:c>
      <x:c r="AK173" t="n">
        <x:f>Z173/Y173</x:f>
        <x:v>3.748269186264308</x:v>
      </x:c>
    </x:row>
    <x:row r="174" ht="15" hidden="0" customHeight="1">
      <x:c r="A174" s="25" t="str">
        <x:v>INSTANT</x:v>
      </x:c>
      <x:c r="B174" s="25" t="n">
        <x:v>50</x:v>
      </x:c>
      <x:c r="C174" s="25" t="str">
        <x:v>Burkina Faso</x:v>
      </x:c>
      <x:c r="D174" s="25" t="str">
        <x:v>Stress</x:v>
      </x:c>
      <x:c r="E174" s="25" t="n">
        <x:v>8</x:v>
      </x:c>
      <x:c r="F174" s="25" t="n">
        <x:v>4</x:v>
      </x:c>
      <x:c r="G174" s="25" t="n">
        <x:v>3</x:v>
      </x:c>
      <x:c r="H174" s="25" t="n">
        <x:v>30</x:v>
      </x:c>
      <x:c r="I174" s="25" t="str">
        <x:v>Conservateur</x:v>
      </x:c>
      <x:c r="J174" s="25" t="n">
        <x:v>1</x:v>
      </x:c>
      <x:c r="K174" s="25" t="n">
        <x:v>169900</x:v>
      </x:c>
      <x:c r="L174" s="25" t="n">
        <x:v>0</x:v>
      </x:c>
      <x:c r="M174" s="25" t="n">
        <x:v>169900</x:v>
      </x:c>
      <x:c r="N174" s="25" t="n">
        <x:v>1</x:v>
      </x:c>
      <x:c r="O174" s="25" t="n">
        <x:v>1</x:v>
      </x:c>
      <x:c r="P174" s="25" t="n">
        <x:v>1</x:v>
      </x:c>
      <x:c r="Q174" s="25" t="n">
        <x:v>0.12636</x:v>
      </x:c>
      <x:c r="R174" s="25" t="n">
        <x:v>1.6</x:v>
      </x:c>
      <x:c r="S174" s="25" t="n">
        <x:v>169900</x:v>
      </x:c>
      <x:c r="T174" s="25" t="n">
        <x:v>10194</x:v>
      </x:c>
      <x:c r="U174" s="25" t="n">
        <x:v>4247.5</x:v>
      </x:c>
      <x:c r="V174" s="25" t="n">
        <x:v>10000</x:v>
      </x:c>
      <x:c r="W174" s="25" t="n">
        <x:v>54587.520000000004</x:v>
      </x:c>
      <x:c r="X174" s="25" t="n">
        <x:v>818.8128</x:v>
      </x:c>
      <x:c r="Y174" s="25" t="n">
        <x:v>27628.75</x:v>
      </x:c>
      <x:c r="Z174" s="25" t="n">
        <x:v>90052.1672</x:v>
      </x:c>
      <x:c r="AA174" s="25" t="n">
        <x:v>62423.417199999996</x:v>
      </x:c>
      <x:c r="AB174" s="25" t="n">
        <x:v>0.3674126968805179</x:v>
      </x:c>
      <x:c r="AC174" s="25" t="n">
        <x:v>3.2593645097950503</x:v>
      </x:c>
      <x:c r="AD174" s="25" t="n">
        <x:v>90052.1672</x:v>
      </x:c>
      <x:c r="AE174" s="25" t="n">
        <x:v>35481.888000000006</x:v>
      </x:c>
      <x:c r="AF174" s="25" t="n">
        <x:v>88704.72000000002</x:v>
      </x:c>
      <x:c r="AG174" s="25" t="n">
        <x:v>3.3208421716454315</x:v>
      </x:c>
      <x:c r="AH174" s="25" t="n">
        <x:v>5.29723366686286</x:v>
      </x:c>
      <x:c r="AI174" t="n">
        <x:f>Z174-Y174</x:f>
        <x:v>62423.417199999996</x:v>
      </x:c>
      <x:c r="AJ174" t="n">
        <x:f>AA174/S174</x:f>
        <x:v>0.3674126968805179</x:v>
      </x:c>
      <x:c r="AK174" t="n">
        <x:f>Z174/Y174</x:f>
        <x:v>3.2593645097950503</x:v>
      </x:c>
    </x:row>
    <x:row r="175" ht="15" hidden="0" customHeight="1">
      <x:c r="A175" s="25" t="str">
        <x:v>INSTANT</x:v>
      </x:c>
      <x:c r="B175" s="25" t="n">
        <x:v>50</x:v>
      </x:c>
      <x:c r="C175" s="25" t="str">
        <x:v>Togo</x:v>
      </x:c>
      <x:c r="D175" s="25" t="str">
        <x:v>Stress</x:v>
      </x:c>
      <x:c r="E175" s="25" t="n">
        <x:v>8</x:v>
      </x:c>
      <x:c r="F175" s="25" t="n">
        <x:v>4</x:v>
      </x:c>
      <x:c r="G175" s="25" t="n">
        <x:v>3</x:v>
      </x:c>
      <x:c r="H175" s="25" t="n">
        <x:v>30</x:v>
      </x:c>
      <x:c r="I175" s="25" t="str">
        <x:v>Conservateur</x:v>
      </x:c>
      <x:c r="J175" s="25" t="n">
        <x:v>1</x:v>
      </x:c>
      <x:c r="K175" s="25" t="n">
        <x:v>169900</x:v>
      </x:c>
      <x:c r="L175" s="25" t="n">
        <x:v>0</x:v>
      </x:c>
      <x:c r="M175" s="25" t="n">
        <x:v>169900</x:v>
      </x:c>
      <x:c r="N175" s="25" t="n">
        <x:v>1</x:v>
      </x:c>
      <x:c r="O175" s="25" t="n">
        <x:v>1</x:v>
      </x:c>
      <x:c r="P175" s="25" t="n">
        <x:v>1</x:v>
      </x:c>
      <x:c r="Q175" s="25" t="n">
        <x:v>0.12636</x:v>
      </x:c>
      <x:c r="R175" s="25" t="n">
        <x:v>1.6</x:v>
      </x:c>
      <x:c r="S175" s="25" t="n">
        <x:v>169900</x:v>
      </x:c>
      <x:c r="T175" s="25" t="n">
        <x:v>10194</x:v>
      </x:c>
      <x:c r="U175" s="25" t="n">
        <x:v>4247.5</x:v>
      </x:c>
      <x:c r="V175" s="25" t="n">
        <x:v>10000</x:v>
      </x:c>
      <x:c r="W175" s="25" t="n">
        <x:v>54587.520000000004</x:v>
      </x:c>
      <x:c r="X175" s="25" t="n">
        <x:v>818.8128</x:v>
      </x:c>
      <x:c r="Y175" s="25" t="n">
        <x:v>33635</x:v>
      </x:c>
      <x:c r="Z175" s="25" t="n">
        <x:v>90052.1672</x:v>
      </x:c>
      <x:c r="AA175" s="25" t="n">
        <x:v>56417.167199999996</x:v>
      </x:c>
      <x:c r="AB175" s="25" t="n">
        <x:v>0.3320610194231901</x:v>
      </x:c>
      <x:c r="AC175" s="25" t="n">
        <x:v>2.677335133045934</x:v>
      </x:c>
      <x:c r="AD175" s="25" t="n">
        <x:v>90052.1672</x:v>
      </x:c>
      <x:c r="AE175" s="25" t="n">
        <x:v>35481.888000000006</x:v>
      </x:c>
      <x:c r="AF175" s="25" t="n">
        <x:v>88704.72000000002</x:v>
      </x:c>
      <x:c r="AG175" s="25" t="n">
        <x:v>3.151565666404222</x:v>
      </x:c>
      <x:c r="AH175" s="25" t="n">
        <x:v>5.29723366686286</x:v>
      </x:c>
      <x:c r="AI175" t="n">
        <x:f>Z175-Y175</x:f>
        <x:v>56417.167199999996</x:v>
      </x:c>
      <x:c r="AJ175" t="n">
        <x:f>AA175/S175</x:f>
        <x:v>0.3320610194231901</x:v>
      </x:c>
      <x:c r="AK175" t="n">
        <x:f>Z175/Y175</x:f>
        <x:v>2.677335133045934</x:v>
      </x:c>
    </x:row>
    <x:row r="176" ht="15" hidden="0" customHeight="1">
      <x:c r="A176" s="25" t="str">
        <x:v>INSTANT</x:v>
      </x:c>
      <x:c r="B176" s="25" t="n">
        <x:v>100</x:v>
      </x:c>
      <x:c r="C176" s="25" t="str">
        <x:v>Côte d’Ivoire</x:v>
      </x:c>
      <x:c r="D176" s="25" t="str">
        <x:v>Stress</x:v>
      </x:c>
      <x:c r="E176" s="25" t="n">
        <x:v>8</x:v>
      </x:c>
      <x:c r="F176" s="25" t="n">
        <x:v>4</x:v>
      </x:c>
      <x:c r="G176" s="25" t="n">
        <x:v>3</x:v>
      </x:c>
      <x:c r="H176" s="25" t="n">
        <x:v>30</x:v>
      </x:c>
      <x:c r="I176" s="25" t="str">
        <x:v>Conservateur</x:v>
      </x:c>
      <x:c r="J176" s="25" t="n">
        <x:v>1</x:v>
      </x:c>
      <x:c r="K176" s="25" t="n">
        <x:v>279900</x:v>
      </x:c>
      <x:c r="L176" s="25" t="n">
        <x:v>0</x:v>
      </x:c>
      <x:c r="M176" s="25" t="n">
        <x:v>279900</x:v>
      </x:c>
      <x:c r="N176" s="25" t="n">
        <x:v>1</x:v>
      </x:c>
      <x:c r="O176" s="25" t="n">
        <x:v>1</x:v>
      </x:c>
      <x:c r="P176" s="25" t="n">
        <x:v>1</x:v>
      </x:c>
      <x:c r="Q176" s="25" t="n">
        <x:v>0.12636</x:v>
      </x:c>
      <x:c r="R176" s="25" t="n">
        <x:v>1.6</x:v>
      </x:c>
      <x:c r="S176" s="25" t="n">
        <x:v>279900</x:v>
      </x:c>
      <x:c r="T176" s="25" t="n">
        <x:v>16794</x:v>
      </x:c>
      <x:c r="U176" s="25" t="n">
        <x:v>6997.5</x:v>
      </x:c>
      <x:c r="V176" s="25" t="n">
        <x:v>10000</x:v>
      </x:c>
      <x:c r="W176" s="25" t="n">
        <x:v>109175.04000000001</x:v>
      </x:c>
      <x:c r="X176" s="25" t="n">
        <x:v>1637.6256</x:v>
      </x:c>
      <x:c r="Y176" s="25" t="n">
        <x:v>26427.5</x:v>
      </x:c>
      <x:c r="Z176" s="25" t="n">
        <x:v>135295.8344</x:v>
      </x:c>
      <x:c r="AA176" s="25" t="n">
        <x:v>108868.33439999999</x:v>
      </x:c>
      <x:c r="AB176" s="25" t="n">
        <x:v>0.3889543922829582</x:v>
      </x:c>
      <x:c r="AC176" s="25" t="n">
        <x:v>5.119509389840128</x:v>
      </x:c>
      <x:c r="AD176" s="25" t="n">
        <x:v>135295.8344</x:v>
      </x:c>
      <x:c r="AE176" s="25" t="n">
        <x:v>70963.77600000001</x:v>
      </x:c>
      <x:c r="AF176" s="25" t="n">
        <x:v>177409.44000000003</x:v>
      </x:c>
      <x:c r="AG176" s="25" t="n">
        <x:v>3.0956779977435245</x:v>
      </x:c>
      <x:c r="AH176" s="25" t="n">
        <x:v>5.359056806002144</x:v>
      </x:c>
      <x:c r="AI176" t="n">
        <x:f>Z176-Y176</x:f>
        <x:v>108868.33439999999</x:v>
      </x:c>
      <x:c r="AJ176" t="n">
        <x:f>AA176/S176</x:f>
        <x:v>0.3889543922829582</x:v>
      </x:c>
      <x:c r="AK176" t="n">
        <x:f>Z176/Y176</x:f>
        <x:v>5.119509389840128</x:v>
      </x:c>
    </x:row>
    <x:row r="177" ht="15" hidden="0" customHeight="1">
      <x:c r="A177" s="25" t="str">
        <x:v>INSTANT</x:v>
      </x:c>
      <x:c r="B177" s="25" t="n">
        <x:v>100</x:v>
      </x:c>
      <x:c r="C177" s="25" t="str">
        <x:v>Cameroun</x:v>
      </x:c>
      <x:c r="D177" s="25" t="str">
        <x:v>Stress</x:v>
      </x:c>
      <x:c r="E177" s="25" t="n">
        <x:v>8</x:v>
      </x:c>
      <x:c r="F177" s="25" t="n">
        <x:v>4</x:v>
      </x:c>
      <x:c r="G177" s="25" t="n">
        <x:v>3</x:v>
      </x:c>
      <x:c r="H177" s="25" t="n">
        <x:v>30</x:v>
      </x:c>
      <x:c r="I177" s="25" t="str">
        <x:v>Conservateur</x:v>
      </x:c>
      <x:c r="J177" s="25" t="n">
        <x:v>1</x:v>
      </x:c>
      <x:c r="K177" s="25" t="n">
        <x:v>279900</x:v>
      </x:c>
      <x:c r="L177" s="25" t="n">
        <x:v>0</x:v>
      </x:c>
      <x:c r="M177" s="25" t="n">
        <x:v>279900</x:v>
      </x:c>
      <x:c r="N177" s="25" t="n">
        <x:v>1</x:v>
      </x:c>
      <x:c r="O177" s="25" t="n">
        <x:v>1</x:v>
      </x:c>
      <x:c r="P177" s="25" t="n">
        <x:v>1</x:v>
      </x:c>
      <x:c r="Q177" s="25" t="n">
        <x:v>0.12636</x:v>
      </x:c>
      <x:c r="R177" s="25" t="n">
        <x:v>1.6</x:v>
      </x:c>
      <x:c r="S177" s="25" t="n">
        <x:v>279900</x:v>
      </x:c>
      <x:c r="T177" s="25" t="n">
        <x:v>16794</x:v>
      </x:c>
      <x:c r="U177" s="25" t="n">
        <x:v>6997.5</x:v>
      </x:c>
      <x:c r="V177" s="25" t="n">
        <x:v>10000</x:v>
      </x:c>
      <x:c r="W177" s="25" t="n">
        <x:v>109175.04000000001</x:v>
      </x:c>
      <x:c r="X177" s="25" t="n">
        <x:v>1637.6256</x:v>
      </x:c>
      <x:c r="Y177" s="25" t="n">
        <x:v>28830</x:v>
      </x:c>
      <x:c r="Z177" s="25" t="n">
        <x:v>135295.8344</x:v>
      </x:c>
      <x:c r="AA177" s="25" t="n">
        <x:v>106465.83439999999</x:v>
      </x:c>
      <x:c r="AB177" s="25" t="n">
        <x:v>0.3803709696320114</x:v>
      </x:c>
      <x:c r="AC177" s="25" t="n">
        <x:v>4.692883607353451</x:v>
      </x:c>
      <x:c r="AD177" s="25" t="n">
        <x:v>135295.8344</x:v>
      </x:c>
      <x:c r="AE177" s="25" t="n">
        <x:v>70963.77600000001</x:v>
      </x:c>
      <x:c r="AF177" s="25" t="n">
        <x:v>177409.44000000003</x:v>
      </x:c>
      <x:c r="AG177" s="25" t="n">
        <x:v>3.0618226966952826</x:v>
      </x:c>
      <x:c r="AH177" s="25" t="n">
        <x:v>5.359056806002144</x:v>
      </x:c>
      <x:c r="AI177" t="n">
        <x:f>Z177-Y177</x:f>
        <x:v>106465.83439999999</x:v>
      </x:c>
      <x:c r="AJ177" t="n">
        <x:f>AA177/S177</x:f>
        <x:v>0.3803709696320114</x:v>
      </x:c>
      <x:c r="AK177" t="n">
        <x:f>Z177/Y177</x:f>
        <x:v>4.692883607353451</x:v>
      </x:c>
    </x:row>
    <x:row r="178" ht="15" hidden="0" customHeight="1">
      <x:c r="A178" s="25" t="str">
        <x:v>INSTANT</x:v>
      </x:c>
      <x:c r="B178" s="25" t="n">
        <x:v>100</x:v>
      </x:c>
      <x:c r="C178" s="25" t="str">
        <x:v>Sénégal</x:v>
      </x:c>
      <x:c r="D178" s="25" t="str">
        <x:v>Stress</x:v>
      </x:c>
      <x:c r="E178" s="25" t="n">
        <x:v>8</x:v>
      </x:c>
      <x:c r="F178" s="25" t="n">
        <x:v>4</x:v>
      </x:c>
      <x:c r="G178" s="25" t="n">
        <x:v>3</x:v>
      </x:c>
      <x:c r="H178" s="25" t="n">
        <x:v>30</x:v>
      </x:c>
      <x:c r="I178" s="25" t="str">
        <x:v>Conservateur</x:v>
      </x:c>
      <x:c r="J178" s="25" t="n">
        <x:v>1</x:v>
      </x:c>
      <x:c r="K178" s="25" t="n">
        <x:v>279900</x:v>
      </x:c>
      <x:c r="L178" s="25" t="n">
        <x:v>0</x:v>
      </x:c>
      <x:c r="M178" s="25" t="n">
        <x:v>279900</x:v>
      </x:c>
      <x:c r="N178" s="25" t="n">
        <x:v>1</x:v>
      </x:c>
      <x:c r="O178" s="25" t="n">
        <x:v>1</x:v>
      </x:c>
      <x:c r="P178" s="25" t="n">
        <x:v>1</x:v>
      </x:c>
      <x:c r="Q178" s="25" t="n">
        <x:v>0.12636</x:v>
      </x:c>
      <x:c r="R178" s="25" t="n">
        <x:v>1.6</x:v>
      </x:c>
      <x:c r="S178" s="25" t="n">
        <x:v>279900</x:v>
      </x:c>
      <x:c r="T178" s="25" t="n">
        <x:v>16794</x:v>
      </x:c>
      <x:c r="U178" s="25" t="n">
        <x:v>6997.5</x:v>
      </x:c>
      <x:c r="V178" s="25" t="n">
        <x:v>10000</x:v>
      </x:c>
      <x:c r="W178" s="25" t="n">
        <x:v>109175.04000000001</x:v>
      </x:c>
      <x:c r="X178" s="25" t="n">
        <x:v>1637.6256</x:v>
      </x:c>
      <x:c r="Y178" s="25" t="n">
        <x:v>36037.5</x:v>
      </x:c>
      <x:c r="Z178" s="25" t="n">
        <x:v>135295.8344</x:v>
      </x:c>
      <x:c r="AA178" s="25" t="n">
        <x:v>99258.33439999999</x:v>
      </x:c>
      <x:c r="AB178" s="25" t="n">
        <x:v>0.3546207016791711</x:v>
      </x:c>
      <x:c r="AC178" s="25" t="n">
        <x:v>3.7543068858827606</x:v>
      </x:c>
      <x:c r="AD178" s="25" t="n">
        <x:v>135295.8344</x:v>
      </x:c>
      <x:c r="AE178" s="25" t="n">
        <x:v>70963.77600000001</x:v>
      </x:c>
      <x:c r="AF178" s="25" t="n">
        <x:v>177409.44000000003</x:v>
      </x:c>
      <x:c r="AG178" s="25" t="n">
        <x:v>2.960256793550557</x:v>
      </x:c>
      <x:c r="AH178" s="25" t="n">
        <x:v>5.359056806002144</x:v>
      </x:c>
      <x:c r="AI178" t="n">
        <x:f>Z178-Y178</x:f>
        <x:v>99258.33439999999</x:v>
      </x:c>
      <x:c r="AJ178" t="n">
        <x:f>AA178/S178</x:f>
        <x:v>0.3546207016791711</x:v>
      </x:c>
      <x:c r="AK178" t="n">
        <x:f>Z178/Y178</x:f>
        <x:v>3.7543068858827606</x:v>
      </x:c>
    </x:row>
    <x:row r="179" ht="15" hidden="0" customHeight="1">
      <x:c r="A179" s="25" t="str">
        <x:v>INSTANT</x:v>
      </x:c>
      <x:c r="B179" s="25" t="n">
        <x:v>100</x:v>
      </x:c>
      <x:c r="C179" s="25" t="str">
        <x:v>Bénin</x:v>
      </x:c>
      <x:c r="D179" s="25" t="str">
        <x:v>Stress</x:v>
      </x:c>
      <x:c r="E179" s="25" t="n">
        <x:v>8</x:v>
      </x:c>
      <x:c r="F179" s="25" t="n">
        <x:v>4</x:v>
      </x:c>
      <x:c r="G179" s="25" t="n">
        <x:v>3</x:v>
      </x:c>
      <x:c r="H179" s="25" t="n">
        <x:v>30</x:v>
      </x:c>
      <x:c r="I179" s="25" t="str">
        <x:v>Conservateur</x:v>
      </x:c>
      <x:c r="J179" s="25" t="n">
        <x:v>1</x:v>
      </x:c>
      <x:c r="K179" s="25" t="n">
        <x:v>279900</x:v>
      </x:c>
      <x:c r="L179" s="25" t="n">
        <x:v>0</x:v>
      </x:c>
      <x:c r="M179" s="25" t="n">
        <x:v>279900</x:v>
      </x:c>
      <x:c r="N179" s="25" t="n">
        <x:v>1</x:v>
      </x:c>
      <x:c r="O179" s="25" t="n">
        <x:v>1</x:v>
      </x:c>
      <x:c r="P179" s="25" t="n">
        <x:v>1</x:v>
      </x:c>
      <x:c r="Q179" s="25" t="n">
        <x:v>0.12636</x:v>
      </x:c>
      <x:c r="R179" s="25" t="n">
        <x:v>1.6</x:v>
      </x:c>
      <x:c r="S179" s="25" t="n">
        <x:v>279900</x:v>
      </x:c>
      <x:c r="T179" s="25" t="n">
        <x:v>16794</x:v>
      </x:c>
      <x:c r="U179" s="25" t="n">
        <x:v>6997.5</x:v>
      </x:c>
      <x:c r="V179" s="25" t="n">
        <x:v>10000</x:v>
      </x:c>
      <x:c r="W179" s="25" t="n">
        <x:v>109175.04000000001</x:v>
      </x:c>
      <x:c r="X179" s="25" t="n">
        <x:v>1637.6256</x:v>
      </x:c>
      <x:c r="Y179" s="25" t="n">
        <x:v>24025</x:v>
      </x:c>
      <x:c r="Z179" s="25" t="n">
        <x:v>135295.8344</x:v>
      </x:c>
      <x:c r="AA179" s="25" t="n">
        <x:v>111270.83439999999</x:v>
      </x:c>
      <x:c r="AB179" s="25" t="n">
        <x:v>0.39753781493390494</x:v>
      </x:c>
      <x:c r="AC179" s="25" t="n">
        <x:v>5.631460328824141</x:v>
      </x:c>
      <x:c r="AD179" s="25" t="n">
        <x:v>135295.8344</x:v>
      </x:c>
      <x:c r="AE179" s="25" t="n">
        <x:v>70963.77600000001</x:v>
      </x:c>
      <x:c r="AF179" s="25" t="n">
        <x:v>177409.44000000003</x:v>
      </x:c>
      <x:c r="AG179" s="25" t="n">
        <x:v>3.129533298791766</x:v>
      </x:c>
      <x:c r="AH179" s="25" t="n">
        <x:v>5.359056806002144</x:v>
      </x:c>
      <x:c r="AI179" t="n">
        <x:f>Z179-Y179</x:f>
        <x:v>111270.83439999999</x:v>
      </x:c>
      <x:c r="AJ179" t="n">
        <x:f>AA179/S179</x:f>
        <x:v>0.39753781493390494</x:v>
      </x:c>
      <x:c r="AK179" t="n">
        <x:f>Z179/Y179</x:f>
        <x:v>5.631460328824141</x:v>
      </x:c>
    </x:row>
    <x:row r="180" ht="15" hidden="0" customHeight="1">
      <x:c r="A180" s="25" t="str">
        <x:v>INSTANT</x:v>
      </x:c>
      <x:c r="B180" s="25" t="n">
        <x:v>100</x:v>
      </x:c>
      <x:c r="C180" s="25" t="str">
        <x:v>Burkina Faso</x:v>
      </x:c>
      <x:c r="D180" s="25" t="str">
        <x:v>Stress</x:v>
      </x:c>
      <x:c r="E180" s="25" t="n">
        <x:v>8</x:v>
      </x:c>
      <x:c r="F180" s="25" t="n">
        <x:v>4</x:v>
      </x:c>
      <x:c r="G180" s="25" t="n">
        <x:v>3</x:v>
      </x:c>
      <x:c r="H180" s="25" t="n">
        <x:v>30</x:v>
      </x:c>
      <x:c r="I180" s="25" t="str">
        <x:v>Conservateur</x:v>
      </x:c>
      <x:c r="J180" s="25" t="n">
        <x:v>1</x:v>
      </x:c>
      <x:c r="K180" s="25" t="n">
        <x:v>279900</x:v>
      </x:c>
      <x:c r="L180" s="25" t="n">
        <x:v>0</x:v>
      </x:c>
      <x:c r="M180" s="25" t="n">
        <x:v>279900</x:v>
      </x:c>
      <x:c r="N180" s="25" t="n">
        <x:v>1</x:v>
      </x:c>
      <x:c r="O180" s="25" t="n">
        <x:v>1</x:v>
      </x:c>
      <x:c r="P180" s="25" t="n">
        <x:v>1</x:v>
      </x:c>
      <x:c r="Q180" s="25" t="n">
        <x:v>0.12636</x:v>
      </x:c>
      <x:c r="R180" s="25" t="n">
        <x:v>1.6</x:v>
      </x:c>
      <x:c r="S180" s="25" t="n">
        <x:v>279900</x:v>
      </x:c>
      <x:c r="T180" s="25" t="n">
        <x:v>16794</x:v>
      </x:c>
      <x:c r="U180" s="25" t="n">
        <x:v>6997.5</x:v>
      </x:c>
      <x:c r="V180" s="25" t="n">
        <x:v>10000</x:v>
      </x:c>
      <x:c r="W180" s="25" t="n">
        <x:v>109175.04000000001</x:v>
      </x:c>
      <x:c r="X180" s="25" t="n">
        <x:v>1637.6256</x:v>
      </x:c>
      <x:c r="Y180" s="25" t="n">
        <x:v>27628.75</x:v>
      </x:c>
      <x:c r="Z180" s="25" t="n">
        <x:v>135295.8344</x:v>
      </x:c>
      <x:c r="AA180" s="25" t="n">
        <x:v>107667.08439999999</x:v>
      </x:c>
      <x:c r="AB180" s="25" t="n">
        <x:v>0.3846626809574848</x:v>
      </x:c>
      <x:c r="AC180" s="25" t="n">
        <x:v>4.8969220250644705</x:v>
      </x:c>
      <x:c r="AD180" s="25" t="n">
        <x:v>135295.8344</x:v>
      </x:c>
      <x:c r="AE180" s="25" t="n">
        <x:v>70963.77600000001</x:v>
      </x:c>
      <x:c r="AF180" s="25" t="n">
        <x:v>177409.44000000003</x:v>
      </x:c>
      <x:c r="AG180" s="25" t="n">
        <x:v>3.0787503472194033</x:v>
      </x:c>
      <x:c r="AH180" s="25" t="n">
        <x:v>5.359056806002144</x:v>
      </x:c>
      <x:c r="AI180" t="n">
        <x:f>Z180-Y180</x:f>
        <x:v>107667.08439999999</x:v>
      </x:c>
      <x:c r="AJ180" t="n">
        <x:f>AA180/S180</x:f>
        <x:v>0.3846626809574848</x:v>
      </x:c>
      <x:c r="AK180" t="n">
        <x:f>Z180/Y180</x:f>
        <x:v>4.8969220250644705</x:v>
      </x:c>
    </x:row>
    <x:row r="181" ht="15" hidden="0" customHeight="1">
      <x:c r="A181" s="25" t="str">
        <x:v>INSTANT</x:v>
      </x:c>
      <x:c r="B181" s="25" t="n">
        <x:v>100</x:v>
      </x:c>
      <x:c r="C181" s="25" t="str">
        <x:v>Togo</x:v>
      </x:c>
      <x:c r="D181" s="25" t="str">
        <x:v>Stress</x:v>
      </x:c>
      <x:c r="E181" s="25" t="n">
        <x:v>8</x:v>
      </x:c>
      <x:c r="F181" s="25" t="n">
        <x:v>4</x:v>
      </x:c>
      <x:c r="G181" s="25" t="n">
        <x:v>3</x:v>
      </x:c>
      <x:c r="H181" s="25" t="n">
        <x:v>30</x:v>
      </x:c>
      <x:c r="I181" s="25" t="str">
        <x:v>Conservateur</x:v>
      </x:c>
      <x:c r="J181" s="25" t="n">
        <x:v>1</x:v>
      </x:c>
      <x:c r="K181" s="25" t="n">
        <x:v>279900</x:v>
      </x:c>
      <x:c r="L181" s="25" t="n">
        <x:v>0</x:v>
      </x:c>
      <x:c r="M181" s="25" t="n">
        <x:v>279900</x:v>
      </x:c>
      <x:c r="N181" s="25" t="n">
        <x:v>1</x:v>
      </x:c>
      <x:c r="O181" s="25" t="n">
        <x:v>1</x:v>
      </x:c>
      <x:c r="P181" s="25" t="n">
        <x:v>1</x:v>
      </x:c>
      <x:c r="Q181" s="25" t="n">
        <x:v>0.12636</x:v>
      </x:c>
      <x:c r="R181" s="25" t="n">
        <x:v>1.6</x:v>
      </x:c>
      <x:c r="S181" s="25" t="n">
        <x:v>279900</x:v>
      </x:c>
      <x:c r="T181" s="25" t="n">
        <x:v>16794</x:v>
      </x:c>
      <x:c r="U181" s="25" t="n">
        <x:v>6997.5</x:v>
      </x:c>
      <x:c r="V181" s="25" t="n">
        <x:v>10000</x:v>
      </x:c>
      <x:c r="W181" s="25" t="n">
        <x:v>109175.04000000001</x:v>
      </x:c>
      <x:c r="X181" s="25" t="n">
        <x:v>1637.6256</x:v>
      </x:c>
      <x:c r="Y181" s="25" t="n">
        <x:v>33635</x:v>
      </x:c>
      <x:c r="Z181" s="25" t="n">
        <x:v>135295.8344</x:v>
      </x:c>
      <x:c r="AA181" s="25" t="n">
        <x:v>101660.83439999999</x:v>
      </x:c>
      <x:c r="AB181" s="25" t="n">
        <x:v>0.3632041243301179</x:v>
      </x:c>
      <x:c r="AC181" s="25" t="n">
        <x:v>4.022471663445815</x:v>
      </x:c>
      <x:c r="AD181" s="25" t="n">
        <x:v>135295.8344</x:v>
      </x:c>
      <x:c r="AE181" s="25" t="n">
        <x:v>70963.77600000001</x:v>
      </x:c>
      <x:c r="AF181" s="25" t="n">
        <x:v>177409.44000000003</x:v>
      </x:c>
      <x:c r="AG181" s="25" t="n">
        <x:v>2.994112094598799</x:v>
      </x:c>
      <x:c r="AH181" s="25" t="n">
        <x:v>5.359056806002144</x:v>
      </x:c>
      <x:c r="AI181" t="n">
        <x:f>Z181-Y181</x:f>
        <x:v>101660.83439999999</x:v>
      </x:c>
      <x:c r="AJ181" t="n">
        <x:f>AA181/S181</x:f>
        <x:v>0.3632041243301179</x:v>
      </x:c>
      <x:c r="AK181" t="n">
        <x:f>Z181/Y181</x:f>
        <x:v>4.022471663445815</x:v>
      </x:c>
    </x:row>
    <x:row r="182" ht="15" hidden="0" customHeight="1">
      <x:c r="A182" s="25" t="str">
        <x:v>ONE</x:v>
      </x:c>
      <x:c r="B182" s="25" t="n">
        <x:v>5</x:v>
      </x:c>
      <x:c r="C182" s="25" t="str">
        <x:v>Côte d’Ivoire</x:v>
      </x:c>
      <x:c r="D182" s="25" t="str">
        <x:v>Disaster</x:v>
      </x:c>
      <x:c r="E182" s="25" t="n">
        <x:v>8</x:v>
      </x:c>
      <x:c r="F182" s="25" t="n">
        <x:v>4</x:v>
      </x:c>
      <x:c r="G182" s="25" t="n">
        <x:v>2</x:v>
      </x:c>
      <x:c r="H182" s="25" t="n">
        <x:v>35</x:v>
      </x:c>
      <x:c r="I182" s="25" t="str">
        <x:v>Équilibré</x:v>
      </x:c>
      <x:c r="J182" s="25" t="n">
        <x:v>1</x:v>
      </x:c>
      <x:c r="K182" s="25" t="n">
        <x:v>19900</x:v>
      </x:c>
      <x:c r="L182" s="25" t="n">
        <x:v>0</x:v>
      </x:c>
      <x:c r="M182" s="25" t="n">
        <x:v>19900</x:v>
      </x:c>
      <x:c r="N182" s="25" t="n">
        <x:v>0.18</x:v>
      </x:c>
      <x:c r="O182" s="25" t="n">
        <x:v>1</x:v>
      </x:c>
      <x:c r="P182" s="25" t="n">
        <x:v>0.18</x:v>
      </x:c>
      <x:c r="Q182" s="25" t="n">
        <x:v>0.45</x:v>
      </x:c>
      <x:c r="R182" s="25" t="n">
        <x:v>2.6</x:v>
      </x:c>
      <x:c r="S182" s="25" t="n">
        <x:v>19900</x:v>
      </x:c>
      <x:c r="T182" s="25" t="n">
        <x:v>1592</x:v>
      </x:c>
      <x:c r="U182" s="25" t="n">
        <x:v>995</x:v>
      </x:c>
      <x:c r="V182" s="25" t="n">
        <x:v>8419.2</x:v>
      </x:c>
      <x:c r="W182" s="25" t="n">
        <x:v>14570.28</x:v>
      </x:c>
      <x:c r="X182" s="25" t="n">
        <x:v>364.25700000000006</x:v>
      </x:c>
      <x:c r="Y182" s="25" t="n">
        <x:v>26400</x:v>
      </x:c>
      <x:c r="Z182" s="25" t="n">
        <x:v>-6040.737000000001</x:v>
      </x:c>
      <x:c r="AA182" s="25" t="n">
        <x:v>-32440.737</x:v>
      </x:c>
      <x:c r="AB182" s="25" t="n">
        <x:v>-1.6301877889447236</x:v>
      </x:c>
      <x:c r="AC182" s="25" t="n">
        <x:v>-0.2288157954545455</x:v>
      </x:c>
      <x:c r="AD182" s="25" t="n">
        <x:v>-6040.737000000001</x:v>
      </x:c>
      <x:c r="AE182" s="25" t="n">
        <x:v>10927.710000000001</x:v>
      </x:c>
      <x:c r="AF182" s="25" t="n">
        <x:v>27319.275</x:v>
      </x:c>
      <x:c r="AG182" s="25" t="n">
        <x:v>-1.6020007851599283</x:v>
      </x:c>
      <x:c r="AH182" s="25" t="n">
        <x:v>7.5376884422110555</x:v>
      </x:c>
      <x:c r="AI182" t="n">
        <x:f>Z182-Y182</x:f>
        <x:v>-32440.737</x:v>
      </x:c>
      <x:c r="AJ182" t="n">
        <x:f>AA182/S182</x:f>
        <x:v>-1.6301877889447236</x:v>
      </x:c>
      <x:c r="AK182" t="n">
        <x:f>Z182/Y182</x:f>
        <x:v>-0.2288157954545455</x:v>
      </x:c>
    </x:row>
    <x:row r="183" ht="15" hidden="0" customHeight="1">
      <x:c r="A183" s="25" t="str">
        <x:v>ONE</x:v>
      </x:c>
      <x:c r="B183" s="25" t="n">
        <x:v>5</x:v>
      </x:c>
      <x:c r="C183" s="25" t="str">
        <x:v>Cameroun</x:v>
      </x:c>
      <x:c r="D183" s="25" t="str">
        <x:v>Disaster</x:v>
      </x:c>
      <x:c r="E183" s="25" t="n">
        <x:v>8</x:v>
      </x:c>
      <x:c r="F183" s="25" t="n">
        <x:v>4</x:v>
      </x:c>
      <x:c r="G183" s="25" t="n">
        <x:v>2</x:v>
      </x:c>
      <x:c r="H183" s="25" t="n">
        <x:v>35</x:v>
      </x:c>
      <x:c r="I183" s="25" t="str">
        <x:v>Équilibré</x:v>
      </x:c>
      <x:c r="J183" s="25" t="n">
        <x:v>1</x:v>
      </x:c>
      <x:c r="K183" s="25" t="n">
        <x:v>19900</x:v>
      </x:c>
      <x:c r="L183" s="25" t="n">
        <x:v>0</x:v>
      </x:c>
      <x:c r="M183" s="25" t="n">
        <x:v>19900</x:v>
      </x:c>
      <x:c r="N183" s="25" t="n">
        <x:v>0.18</x:v>
      </x:c>
      <x:c r="O183" s="25" t="n">
        <x:v>1</x:v>
      </x:c>
      <x:c r="P183" s="25" t="n">
        <x:v>0.18</x:v>
      </x:c>
      <x:c r="Q183" s="25" t="n">
        <x:v>0.45</x:v>
      </x:c>
      <x:c r="R183" s="25" t="n">
        <x:v>2.6</x:v>
      </x:c>
      <x:c r="S183" s="25" t="n">
        <x:v>19900</x:v>
      </x:c>
      <x:c r="T183" s="25" t="n">
        <x:v>1592</x:v>
      </x:c>
      <x:c r="U183" s="25" t="n">
        <x:v>995</x:v>
      </x:c>
      <x:c r="V183" s="25" t="n">
        <x:v>8419.2</x:v>
      </x:c>
      <x:c r="W183" s="25" t="n">
        <x:v>14570.28</x:v>
      </x:c>
      <x:c r="X183" s="25" t="n">
        <x:v>364.25700000000006</x:v>
      </x:c>
      <x:c r="Y183" s="25" t="n">
        <x:v>28800</x:v>
      </x:c>
      <x:c r="Z183" s="25" t="n">
        <x:v>-6040.737000000001</x:v>
      </x:c>
      <x:c r="AA183" s="25" t="n">
        <x:v>-34840.737</x:v>
      </x:c>
      <x:c r="AB183" s="25" t="n">
        <x:v>-1.7507908040201006</x:v>
      </x:c>
      <x:c r="AC183" s="25" t="n">
        <x:v>-0.20974781250000005</x:v>
      </x:c>
      <x:c r="AD183" s="25" t="n">
        <x:v>-6040.737000000001</x:v>
      </x:c>
      <x:c r="AE183" s="25" t="n">
        <x:v>10927.710000000001</x:v>
      </x:c>
      <x:c r="AF183" s="25" t="n">
        <x:v>27319.275</x:v>
      </x:c>
      <x:c r="AG183" s="25" t="n">
        <x:v>-1.8216259399270294</x:v>
      </x:c>
      <x:c r="AH183" s="25" t="n">
        <x:v>7.5376884422110555</x:v>
      </x:c>
      <x:c r="AI183" t="n">
        <x:f>Z183-Y183</x:f>
        <x:v>-34840.737</x:v>
      </x:c>
      <x:c r="AJ183" t="n">
        <x:f>AA183/S183</x:f>
        <x:v>-1.7507908040201006</x:v>
      </x:c>
      <x:c r="AK183" t="n">
        <x:f>Z183/Y183</x:f>
        <x:v>-0.20974781250000005</x:v>
      </x:c>
    </x:row>
    <x:row r="184" ht="15" hidden="0" customHeight="1">
      <x:c r="A184" s="25" t="str">
        <x:v>ONE</x:v>
      </x:c>
      <x:c r="B184" s="25" t="n">
        <x:v>5</x:v>
      </x:c>
      <x:c r="C184" s="25" t="str">
        <x:v>Sénégal</x:v>
      </x:c>
      <x:c r="D184" s="25" t="str">
        <x:v>Disaster</x:v>
      </x:c>
      <x:c r="E184" s="25" t="n">
        <x:v>8</x:v>
      </x:c>
      <x:c r="F184" s="25" t="n">
        <x:v>4</x:v>
      </x:c>
      <x:c r="G184" s="25" t="n">
        <x:v>2</x:v>
      </x:c>
      <x:c r="H184" s="25" t="n">
        <x:v>35</x:v>
      </x:c>
      <x:c r="I184" s="25" t="str">
        <x:v>Équilibré</x:v>
      </x:c>
      <x:c r="J184" s="25" t="n">
        <x:v>1</x:v>
      </x:c>
      <x:c r="K184" s="25" t="n">
        <x:v>19900</x:v>
      </x:c>
      <x:c r="L184" s="25" t="n">
        <x:v>0</x:v>
      </x:c>
      <x:c r="M184" s="25" t="n">
        <x:v>19900</x:v>
      </x:c>
      <x:c r="N184" s="25" t="n">
        <x:v>0.18</x:v>
      </x:c>
      <x:c r="O184" s="25" t="n">
        <x:v>1</x:v>
      </x:c>
      <x:c r="P184" s="25" t="n">
        <x:v>0.18</x:v>
      </x:c>
      <x:c r="Q184" s="25" t="n">
        <x:v>0.45</x:v>
      </x:c>
      <x:c r="R184" s="25" t="n">
        <x:v>2.6</x:v>
      </x:c>
      <x:c r="S184" s="25" t="n">
        <x:v>19900</x:v>
      </x:c>
      <x:c r="T184" s="25" t="n">
        <x:v>1592</x:v>
      </x:c>
      <x:c r="U184" s="25" t="n">
        <x:v>995</x:v>
      </x:c>
      <x:c r="V184" s="25" t="n">
        <x:v>8419.2</x:v>
      </x:c>
      <x:c r="W184" s="25" t="n">
        <x:v>14570.28</x:v>
      </x:c>
      <x:c r="X184" s="25" t="n">
        <x:v>364.25700000000006</x:v>
      </x:c>
      <x:c r="Y184" s="25" t="n">
        <x:v>36000</x:v>
      </x:c>
      <x:c r="Z184" s="25" t="n">
        <x:v>-6040.737000000001</x:v>
      </x:c>
      <x:c r="AA184" s="25" t="n">
        <x:v>-42040.737</x:v>
      </x:c>
      <x:c r="AB184" s="25" t="n">
        <x:v>-2.112599849246231</x:v>
      </x:c>
      <x:c r="AC184" s="25" t="n">
        <x:v>-0.16779825000000004</x:v>
      </x:c>
      <x:c r="AD184" s="25" t="n">
        <x:v>-6040.737000000001</x:v>
      </x:c>
      <x:c r="AE184" s="25" t="n">
        <x:v>10927.710000000001</x:v>
      </x:c>
      <x:c r="AF184" s="25" t="n">
        <x:v>27319.275</x:v>
      </x:c>
      <x:c r="AG184" s="25" t="n">
        <x:v>-2.4805014042283333</x:v>
      </x:c>
      <x:c r="AH184" s="25" t="n">
        <x:v>7.5376884422110555</x:v>
      </x:c>
      <x:c r="AI184" t="n">
        <x:f>Z184-Y184</x:f>
        <x:v>-42040.737</x:v>
      </x:c>
      <x:c r="AJ184" t="n">
        <x:f>AA184/S184</x:f>
        <x:v>-2.112599849246231</x:v>
      </x:c>
      <x:c r="AK184" t="n">
        <x:f>Z184/Y184</x:f>
        <x:v>-0.16779825000000004</x:v>
      </x:c>
    </x:row>
    <x:row r="185" ht="15" hidden="0" customHeight="1">
      <x:c r="A185" s="25" t="str">
        <x:v>ONE</x:v>
      </x:c>
      <x:c r="B185" s="25" t="n">
        <x:v>5</x:v>
      </x:c>
      <x:c r="C185" s="25" t="str">
        <x:v>Bénin</x:v>
      </x:c>
      <x:c r="D185" s="25" t="str">
        <x:v>Disaster</x:v>
      </x:c>
      <x:c r="E185" s="25" t="n">
        <x:v>8</x:v>
      </x:c>
      <x:c r="F185" s="25" t="n">
        <x:v>4</x:v>
      </x:c>
      <x:c r="G185" s="25" t="n">
        <x:v>2</x:v>
      </x:c>
      <x:c r="H185" s="25" t="n">
        <x:v>35</x:v>
      </x:c>
      <x:c r="I185" s="25" t="str">
        <x:v>Équilibré</x:v>
      </x:c>
      <x:c r="J185" s="25" t="n">
        <x:v>1</x:v>
      </x:c>
      <x:c r="K185" s="25" t="n">
        <x:v>19900</x:v>
      </x:c>
      <x:c r="L185" s="25" t="n">
        <x:v>0</x:v>
      </x:c>
      <x:c r="M185" s="25" t="n">
        <x:v>19900</x:v>
      </x:c>
      <x:c r="N185" s="25" t="n">
        <x:v>0.18</x:v>
      </x:c>
      <x:c r="O185" s="25" t="n">
        <x:v>1</x:v>
      </x:c>
      <x:c r="P185" s="25" t="n">
        <x:v>0.18</x:v>
      </x:c>
      <x:c r="Q185" s="25" t="n">
        <x:v>0.45</x:v>
      </x:c>
      <x:c r="R185" s="25" t="n">
        <x:v>2.6</x:v>
      </x:c>
      <x:c r="S185" s="25" t="n">
        <x:v>19900</x:v>
      </x:c>
      <x:c r="T185" s="25" t="n">
        <x:v>1592</x:v>
      </x:c>
      <x:c r="U185" s="25" t="n">
        <x:v>995</x:v>
      </x:c>
      <x:c r="V185" s="25" t="n">
        <x:v>8419.2</x:v>
      </x:c>
      <x:c r="W185" s="25" t="n">
        <x:v>14570.28</x:v>
      </x:c>
      <x:c r="X185" s="25" t="n">
        <x:v>364.25700000000006</x:v>
      </x:c>
      <x:c r="Y185" s="25" t="n">
        <x:v>24000</x:v>
      </x:c>
      <x:c r="Z185" s="25" t="n">
        <x:v>-6040.737000000001</x:v>
      </x:c>
      <x:c r="AA185" s="25" t="n">
        <x:v>-30040.737</x:v>
      </x:c>
      <x:c r="AB185" s="25" t="n">
        <x:v>-1.5095847738693469</x:v>
      </x:c>
      <x:c r="AC185" s="25" t="n">
        <x:v>-0.25169737500000006</x:v>
      </x:c>
      <x:c r="AD185" s="25" t="n">
        <x:v>-6040.737000000001</x:v>
      </x:c>
      <x:c r="AE185" s="25" t="n">
        <x:v>10927.710000000001</x:v>
      </x:c>
      <x:c r="AF185" s="25" t="n">
        <x:v>27319.275</x:v>
      </x:c>
      <x:c r="AG185" s="25" t="n">
        <x:v>-1.382375630392827</x:v>
      </x:c>
      <x:c r="AH185" s="25" t="n">
        <x:v>7.5376884422110555</x:v>
      </x:c>
      <x:c r="AI185" t="n">
        <x:f>Z185-Y185</x:f>
        <x:v>-30040.737</x:v>
      </x:c>
      <x:c r="AJ185" t="n">
        <x:f>AA185/S185</x:f>
        <x:v>-1.5095847738693469</x:v>
      </x:c>
      <x:c r="AK185" t="n">
        <x:f>Z185/Y185</x:f>
        <x:v>-0.25169737500000006</x:v>
      </x:c>
    </x:row>
    <x:row r="186" ht="15" hidden="0" customHeight="1">
      <x:c r="A186" s="25" t="str">
        <x:v>ONE</x:v>
      </x:c>
      <x:c r="B186" s="25" t="n">
        <x:v>5</x:v>
      </x:c>
      <x:c r="C186" s="25" t="str">
        <x:v>Burkina Faso</x:v>
      </x:c>
      <x:c r="D186" s="25" t="str">
        <x:v>Disaster</x:v>
      </x:c>
      <x:c r="E186" s="25" t="n">
        <x:v>8</x:v>
      </x:c>
      <x:c r="F186" s="25" t="n">
        <x:v>4</x:v>
      </x:c>
      <x:c r="G186" s="25" t="n">
        <x:v>2</x:v>
      </x:c>
      <x:c r="H186" s="25" t="n">
        <x:v>35</x:v>
      </x:c>
      <x:c r="I186" s="25" t="str">
        <x:v>Équilibré</x:v>
      </x:c>
      <x:c r="J186" s="25" t="n">
        <x:v>1</x:v>
      </x:c>
      <x:c r="K186" s="25" t="n">
        <x:v>19900</x:v>
      </x:c>
      <x:c r="L186" s="25" t="n">
        <x:v>0</x:v>
      </x:c>
      <x:c r="M186" s="25" t="n">
        <x:v>19900</x:v>
      </x:c>
      <x:c r="N186" s="25" t="n">
        <x:v>0.18</x:v>
      </x:c>
      <x:c r="O186" s="25" t="n">
        <x:v>1</x:v>
      </x:c>
      <x:c r="P186" s="25" t="n">
        <x:v>0.18</x:v>
      </x:c>
      <x:c r="Q186" s="25" t="n">
        <x:v>0.45</x:v>
      </x:c>
      <x:c r="R186" s="25" t="n">
        <x:v>2.6</x:v>
      </x:c>
      <x:c r="S186" s="25" t="n">
        <x:v>19900</x:v>
      </x:c>
      <x:c r="T186" s="25" t="n">
        <x:v>1592</x:v>
      </x:c>
      <x:c r="U186" s="25" t="n">
        <x:v>995</x:v>
      </x:c>
      <x:c r="V186" s="25" t="n">
        <x:v>8419.2</x:v>
      </x:c>
      <x:c r="W186" s="25" t="n">
        <x:v>14570.28</x:v>
      </x:c>
      <x:c r="X186" s="25" t="n">
        <x:v>364.25700000000006</x:v>
      </x:c>
      <x:c r="Y186" s="25" t="n">
        <x:v>27600</x:v>
      </x:c>
      <x:c r="Z186" s="25" t="n">
        <x:v>-6040.737000000001</x:v>
      </x:c>
      <x:c r="AA186" s="25" t="n">
        <x:v>-33640.737</x:v>
      </x:c>
      <x:c r="AB186" s="25" t="n">
        <x:v>-1.690489296482412</x:v>
      </x:c>
      <x:c r="AC186" s="25" t="n">
        <x:v>-0.2188672826086957</x:v>
      </x:c>
      <x:c r="AD186" s="25" t="n">
        <x:v>-6040.737000000001</x:v>
      </x:c>
      <x:c r="AE186" s="25" t="n">
        <x:v>10927.710000000001</x:v>
      </x:c>
      <x:c r="AF186" s="25" t="n">
        <x:v>27319.275</x:v>
      </x:c>
      <x:c r="AG186" s="25" t="n">
        <x:v>-1.7118133625434788</x:v>
      </x:c>
      <x:c r="AH186" s="25" t="n">
        <x:v>7.5376884422110555</x:v>
      </x:c>
      <x:c r="AI186" t="n">
        <x:f>Z186-Y186</x:f>
        <x:v>-33640.737</x:v>
      </x:c>
      <x:c r="AJ186" t="n">
        <x:f>AA186/S186</x:f>
        <x:v>-1.690489296482412</x:v>
      </x:c>
      <x:c r="AK186" t="n">
        <x:f>Z186/Y186</x:f>
        <x:v>-0.2188672826086957</x:v>
      </x:c>
    </x:row>
    <x:row r="187" ht="15" hidden="0" customHeight="1">
      <x:c r="A187" s="25" t="str">
        <x:v>ONE</x:v>
      </x:c>
      <x:c r="B187" s="25" t="n">
        <x:v>5</x:v>
      </x:c>
      <x:c r="C187" s="25" t="str">
        <x:v>Togo</x:v>
      </x:c>
      <x:c r="D187" s="25" t="str">
        <x:v>Disaster</x:v>
      </x:c>
      <x:c r="E187" s="25" t="n">
        <x:v>8</x:v>
      </x:c>
      <x:c r="F187" s="25" t="n">
        <x:v>4</x:v>
      </x:c>
      <x:c r="G187" s="25" t="n">
        <x:v>2</x:v>
      </x:c>
      <x:c r="H187" s="25" t="n">
        <x:v>35</x:v>
      </x:c>
      <x:c r="I187" s="25" t="str">
        <x:v>Équilibré</x:v>
      </x:c>
      <x:c r="J187" s="25" t="n">
        <x:v>1</x:v>
      </x:c>
      <x:c r="K187" s="25" t="n">
        <x:v>19900</x:v>
      </x:c>
      <x:c r="L187" s="25" t="n">
        <x:v>0</x:v>
      </x:c>
      <x:c r="M187" s="25" t="n">
        <x:v>19900</x:v>
      </x:c>
      <x:c r="N187" s="25" t="n">
        <x:v>0.18</x:v>
      </x:c>
      <x:c r="O187" s="25" t="n">
        <x:v>1</x:v>
      </x:c>
      <x:c r="P187" s="25" t="n">
        <x:v>0.18</x:v>
      </x:c>
      <x:c r="Q187" s="25" t="n">
        <x:v>0.45</x:v>
      </x:c>
      <x:c r="R187" s="25" t="n">
        <x:v>2.6</x:v>
      </x:c>
      <x:c r="S187" s="25" t="n">
        <x:v>19900</x:v>
      </x:c>
      <x:c r="T187" s="25" t="n">
        <x:v>1592</x:v>
      </x:c>
      <x:c r="U187" s="25" t="n">
        <x:v>995</x:v>
      </x:c>
      <x:c r="V187" s="25" t="n">
        <x:v>8419.2</x:v>
      </x:c>
      <x:c r="W187" s="25" t="n">
        <x:v>14570.28</x:v>
      </x:c>
      <x:c r="X187" s="25" t="n">
        <x:v>364.25700000000006</x:v>
      </x:c>
      <x:c r="Y187" s="25" t="n">
        <x:v>33600</x:v>
      </x:c>
      <x:c r="Z187" s="25" t="n">
        <x:v>-6040.737000000001</x:v>
      </x:c>
      <x:c r="AA187" s="25" t="n">
        <x:v>-39640.737</x:v>
      </x:c>
      <x:c r="AB187" s="25" t="n">
        <x:v>-1.9919968341708543</x:v>
      </x:c>
      <x:c r="AC187" s="25" t="n">
        <x:v>-0.17978383928571431</x:v>
      </x:c>
      <x:c r="AD187" s="25" t="n">
        <x:v>-6040.737000000001</x:v>
      </x:c>
      <x:c r="AE187" s="25" t="n">
        <x:v>10927.710000000001</x:v>
      </x:c>
      <x:c r="AF187" s="25" t="n">
        <x:v>27319.275</x:v>
      </x:c>
      <x:c r="AG187" s="25" t="n">
        <x:v>-2.260876249461232</x:v>
      </x:c>
      <x:c r="AH187" s="25" t="n">
        <x:v>7.5376884422110555</x:v>
      </x:c>
      <x:c r="AI187" t="n">
        <x:f>Z187-Y187</x:f>
        <x:v>-39640.737</x:v>
      </x:c>
      <x:c r="AJ187" t="n">
        <x:f>AA187/S187</x:f>
        <x:v>-1.9919968341708543</x:v>
      </x:c>
      <x:c r="AK187" t="n">
        <x:f>Z187/Y187</x:f>
        <x:v>-0.17978383928571431</x:v>
      </x:c>
    </x:row>
    <x:row r="188" ht="15" hidden="0" customHeight="1">
      <x:c r="A188" s="25" t="str">
        <x:v>ONE</x:v>
      </x:c>
      <x:c r="B188" s="25" t="n">
        <x:v>10</x:v>
      </x:c>
      <x:c r="C188" s="25" t="str">
        <x:v>Côte d’Ivoire</x:v>
      </x:c>
      <x:c r="D188" s="25" t="str">
        <x:v>Disaster</x:v>
      </x:c>
      <x:c r="E188" s="25" t="n">
        <x:v>8</x:v>
      </x:c>
      <x:c r="F188" s="25" t="n">
        <x:v>4</x:v>
      </x:c>
      <x:c r="G188" s="25" t="n">
        <x:v>2</x:v>
      </x:c>
      <x:c r="H188" s="25" t="n">
        <x:v>35</x:v>
      </x:c>
      <x:c r="I188" s="25" t="str">
        <x:v>Équilibré</x:v>
      </x:c>
      <x:c r="J188" s="25" t="n">
        <x:v>1</x:v>
      </x:c>
      <x:c r="K188" s="25" t="n">
        <x:v>34900</x:v>
      </x:c>
      <x:c r="L188" s="25" t="n">
        <x:v>0</x:v>
      </x:c>
      <x:c r="M188" s="25" t="n">
        <x:v>34900</x:v>
      </x:c>
      <x:c r="N188" s="25" t="n">
        <x:v>0.18</x:v>
      </x:c>
      <x:c r="O188" s="25" t="n">
        <x:v>1</x:v>
      </x:c>
      <x:c r="P188" s="25" t="n">
        <x:v>0.18</x:v>
      </x:c>
      <x:c r="Q188" s="25" t="n">
        <x:v>0.45</x:v>
      </x:c>
      <x:c r="R188" s="25" t="n">
        <x:v>2.6</x:v>
      </x:c>
      <x:c r="S188" s="25" t="n">
        <x:v>34900</x:v>
      </x:c>
      <x:c r="T188" s="25" t="n">
        <x:v>2792</x:v>
      </x:c>
      <x:c r="U188" s="25" t="n">
        <x:v>1745</x:v>
      </x:c>
      <x:c r="V188" s="25" t="n">
        <x:v>8419.2</x:v>
      </x:c>
      <x:c r="W188" s="25" t="n">
        <x:v>29140.56</x:v>
      </x:c>
      <x:c r="X188" s="25" t="n">
        <x:v>728.5140000000001</x:v>
      </x:c>
      <x:c r="Y188" s="25" t="n">
        <x:v>26400</x:v>
      </x:c>
      <x:c r="Z188" s="25" t="n">
        <x:v>-7925.274000000002</x:v>
      </x:c>
      <x:c r="AA188" s="25" t="n">
        <x:v>-34325.274000000005</x:v>
      </x:c>
      <x:c r="AB188" s="25" t="n">
        <x:v>-0.9835322063037251</x:v>
      </x:c>
      <x:c r="AC188" s="25" t="n">
        <x:v>-0.30019977272727283</x:v>
      </x:c>
      <x:c r="AD188" s="25" t="n">
        <x:v>-7925.274000000002</x:v>
      </x:c>
      <x:c r="AE188" s="25" t="n">
        <x:v>21855.420000000002</x:v>
      </x:c>
      <x:c r="AF188" s="25" t="n">
        <x:v>54638.55</x:v>
      </x:c>
      <x:c r="AG188" s="25" t="n">
        <x:v>-0.20389450305690765</x:v>
      </x:c>
      <x:c r="AH188" s="25" t="n">
        <x:v>6.876790830945558</x:v>
      </x:c>
      <x:c r="AI188" t="n">
        <x:f>Z188-Y188</x:f>
        <x:v>-34325.274000000005</x:v>
      </x:c>
      <x:c r="AJ188" t="n">
        <x:f>AA188/S188</x:f>
        <x:v>-0.9835322063037251</x:v>
      </x:c>
      <x:c r="AK188" t="n">
        <x:f>Z188/Y188</x:f>
        <x:v>-0.30019977272727283</x:v>
      </x:c>
    </x:row>
    <x:row r="189" ht="15" hidden="0" customHeight="1">
      <x:c r="A189" s="25" t="str">
        <x:v>ONE</x:v>
      </x:c>
      <x:c r="B189" s="25" t="n">
        <x:v>10</x:v>
      </x:c>
      <x:c r="C189" s="25" t="str">
        <x:v>Cameroun</x:v>
      </x:c>
      <x:c r="D189" s="25" t="str">
        <x:v>Disaster</x:v>
      </x:c>
      <x:c r="E189" s="25" t="n">
        <x:v>8</x:v>
      </x:c>
      <x:c r="F189" s="25" t="n">
        <x:v>4</x:v>
      </x:c>
      <x:c r="G189" s="25" t="n">
        <x:v>2</x:v>
      </x:c>
      <x:c r="H189" s="25" t="n">
        <x:v>35</x:v>
      </x:c>
      <x:c r="I189" s="25" t="str">
        <x:v>Équilibré</x:v>
      </x:c>
      <x:c r="J189" s="25" t="n">
        <x:v>1</x:v>
      </x:c>
      <x:c r="K189" s="25" t="n">
        <x:v>34900</x:v>
      </x:c>
      <x:c r="L189" s="25" t="n">
        <x:v>0</x:v>
      </x:c>
      <x:c r="M189" s="25" t="n">
        <x:v>34900</x:v>
      </x:c>
      <x:c r="N189" s="25" t="n">
        <x:v>0.18</x:v>
      </x:c>
      <x:c r="O189" s="25" t="n">
        <x:v>1</x:v>
      </x:c>
      <x:c r="P189" s="25" t="n">
        <x:v>0.18</x:v>
      </x:c>
      <x:c r="Q189" s="25" t="n">
        <x:v>0.45</x:v>
      </x:c>
      <x:c r="R189" s="25" t="n">
        <x:v>2.6</x:v>
      </x:c>
      <x:c r="S189" s="25" t="n">
        <x:v>34900</x:v>
      </x:c>
      <x:c r="T189" s="25" t="n">
        <x:v>2792</x:v>
      </x:c>
      <x:c r="U189" s="25" t="n">
        <x:v>1745</x:v>
      </x:c>
      <x:c r="V189" s="25" t="n">
        <x:v>8419.2</x:v>
      </x:c>
      <x:c r="W189" s="25" t="n">
        <x:v>29140.56</x:v>
      </x:c>
      <x:c r="X189" s="25" t="n">
        <x:v>728.5140000000001</x:v>
      </x:c>
      <x:c r="Y189" s="25" t="n">
        <x:v>28800</x:v>
      </x:c>
      <x:c r="Z189" s="25" t="n">
        <x:v>-7925.274000000002</x:v>
      </x:c>
      <x:c r="AA189" s="25" t="n">
        <x:v>-36725.274000000005</x:v>
      </x:c>
      <x:c r="AB189" s="25" t="n">
        <x:v>-1.0523001146131807</x:v>
      </x:c>
      <x:c r="AC189" s="25" t="n">
        <x:v>-0.2751831250000001</x:v>
      </x:c>
      <x:c r="AD189" s="25" t="n">
        <x:v>-7925.274000000002</x:v>
      </x:c>
      <x:c r="AE189" s="25" t="n">
        <x:v>21855.420000000002</x:v>
      </x:c>
      <x:c r="AF189" s="25" t="n">
        <x:v>54638.55</x:v>
      </x:c>
      <x:c r="AG189" s="25" t="n">
        <x:v>-0.31370708044045825</x:v>
      </x:c>
      <x:c r="AH189" s="25" t="n">
        <x:v>6.876790830945558</x:v>
      </x:c>
      <x:c r="AI189" t="n">
        <x:f>Z189-Y189</x:f>
        <x:v>-36725.274000000005</x:v>
      </x:c>
      <x:c r="AJ189" t="n">
        <x:f>AA189/S189</x:f>
        <x:v>-1.0523001146131807</x:v>
      </x:c>
      <x:c r="AK189" t="n">
        <x:f>Z189/Y189</x:f>
        <x:v>-0.2751831250000001</x:v>
      </x:c>
    </x:row>
    <x:row r="190" ht="15" hidden="0" customHeight="1">
      <x:c r="A190" s="25" t="str">
        <x:v>ONE</x:v>
      </x:c>
      <x:c r="B190" s="25" t="n">
        <x:v>10</x:v>
      </x:c>
      <x:c r="C190" s="25" t="str">
        <x:v>Sénégal</x:v>
      </x:c>
      <x:c r="D190" s="25" t="str">
        <x:v>Disaster</x:v>
      </x:c>
      <x:c r="E190" s="25" t="n">
        <x:v>8</x:v>
      </x:c>
      <x:c r="F190" s="25" t="n">
        <x:v>4</x:v>
      </x:c>
      <x:c r="G190" s="25" t="n">
        <x:v>2</x:v>
      </x:c>
      <x:c r="H190" s="25" t="n">
        <x:v>35</x:v>
      </x:c>
      <x:c r="I190" s="25" t="str">
        <x:v>Équilibré</x:v>
      </x:c>
      <x:c r="J190" s="25" t="n">
        <x:v>1</x:v>
      </x:c>
      <x:c r="K190" s="25" t="n">
        <x:v>34900</x:v>
      </x:c>
      <x:c r="L190" s="25" t="n">
        <x:v>0</x:v>
      </x:c>
      <x:c r="M190" s="25" t="n">
        <x:v>34900</x:v>
      </x:c>
      <x:c r="N190" s="25" t="n">
        <x:v>0.18</x:v>
      </x:c>
      <x:c r="O190" s="25" t="n">
        <x:v>1</x:v>
      </x:c>
      <x:c r="P190" s="25" t="n">
        <x:v>0.18</x:v>
      </x:c>
      <x:c r="Q190" s="25" t="n">
        <x:v>0.45</x:v>
      </x:c>
      <x:c r="R190" s="25" t="n">
        <x:v>2.6</x:v>
      </x:c>
      <x:c r="S190" s="25" t="n">
        <x:v>34900</x:v>
      </x:c>
      <x:c r="T190" s="25" t="n">
        <x:v>2792</x:v>
      </x:c>
      <x:c r="U190" s="25" t="n">
        <x:v>1745</x:v>
      </x:c>
      <x:c r="V190" s="25" t="n">
        <x:v>8419.2</x:v>
      </x:c>
      <x:c r="W190" s="25" t="n">
        <x:v>29140.56</x:v>
      </x:c>
      <x:c r="X190" s="25" t="n">
        <x:v>728.5140000000001</x:v>
      </x:c>
      <x:c r="Y190" s="25" t="n">
        <x:v>36000</x:v>
      </x:c>
      <x:c r="Z190" s="25" t="n">
        <x:v>-7925.274000000002</x:v>
      </x:c>
      <x:c r="AA190" s="25" t="n">
        <x:v>-43925.274000000005</x:v>
      </x:c>
      <x:c r="AB190" s="25" t="n">
        <x:v>-1.2586038395415473</x:v>
      </x:c>
      <x:c r="AC190" s="25" t="n">
        <x:v>-0.22014650000000005</x:v>
      </x:c>
      <x:c r="AD190" s="25" t="n">
        <x:v>-7925.274000000002</x:v>
      </x:c>
      <x:c r="AE190" s="25" t="n">
        <x:v>21855.420000000002</x:v>
      </x:c>
      <x:c r="AF190" s="25" t="n">
        <x:v>54638.55</x:v>
      </x:c>
      <x:c r="AG190" s="25" t="n">
        <x:v>-0.6431448125911101</x:v>
      </x:c>
      <x:c r="AH190" s="25" t="n">
        <x:v>6.876790830945558</x:v>
      </x:c>
      <x:c r="AI190" t="n">
        <x:f>Z190-Y190</x:f>
        <x:v>-43925.274000000005</x:v>
      </x:c>
      <x:c r="AJ190" t="n">
        <x:f>AA190/S190</x:f>
        <x:v>-1.2586038395415473</x:v>
      </x:c>
      <x:c r="AK190" t="n">
        <x:f>Z190/Y190</x:f>
        <x:v>-0.22014650000000005</x:v>
      </x:c>
    </x:row>
    <x:row r="191" ht="15" hidden="0" customHeight="1">
      <x:c r="A191" s="25" t="str">
        <x:v>ONE</x:v>
      </x:c>
      <x:c r="B191" s="25" t="n">
        <x:v>10</x:v>
      </x:c>
      <x:c r="C191" s="25" t="str">
        <x:v>Bénin</x:v>
      </x:c>
      <x:c r="D191" s="25" t="str">
        <x:v>Disaster</x:v>
      </x:c>
      <x:c r="E191" s="25" t="n">
        <x:v>8</x:v>
      </x:c>
      <x:c r="F191" s="25" t="n">
        <x:v>4</x:v>
      </x:c>
      <x:c r="G191" s="25" t="n">
        <x:v>2</x:v>
      </x:c>
      <x:c r="H191" s="25" t="n">
        <x:v>35</x:v>
      </x:c>
      <x:c r="I191" s="25" t="str">
        <x:v>Équilibré</x:v>
      </x:c>
      <x:c r="J191" s="25" t="n">
        <x:v>1</x:v>
      </x:c>
      <x:c r="K191" s="25" t="n">
        <x:v>34900</x:v>
      </x:c>
      <x:c r="L191" s="25" t="n">
        <x:v>0</x:v>
      </x:c>
      <x:c r="M191" s="25" t="n">
        <x:v>34900</x:v>
      </x:c>
      <x:c r="N191" s="25" t="n">
        <x:v>0.18</x:v>
      </x:c>
      <x:c r="O191" s="25" t="n">
        <x:v>1</x:v>
      </x:c>
      <x:c r="P191" s="25" t="n">
        <x:v>0.18</x:v>
      </x:c>
      <x:c r="Q191" s="25" t="n">
        <x:v>0.45</x:v>
      </x:c>
      <x:c r="R191" s="25" t="n">
        <x:v>2.6</x:v>
      </x:c>
      <x:c r="S191" s="25" t="n">
        <x:v>34900</x:v>
      </x:c>
      <x:c r="T191" s="25" t="n">
        <x:v>2792</x:v>
      </x:c>
      <x:c r="U191" s="25" t="n">
        <x:v>1745</x:v>
      </x:c>
      <x:c r="V191" s="25" t="n">
        <x:v>8419.2</x:v>
      </x:c>
      <x:c r="W191" s="25" t="n">
        <x:v>29140.56</x:v>
      </x:c>
      <x:c r="X191" s="25" t="n">
        <x:v>728.5140000000001</x:v>
      </x:c>
      <x:c r="Y191" s="25" t="n">
        <x:v>24000</x:v>
      </x:c>
      <x:c r="Z191" s="25" t="n">
        <x:v>-7925.274000000002</x:v>
      </x:c>
      <x:c r="AA191" s="25" t="n">
        <x:v>-31925.274</x:v>
      </x:c>
      <x:c r="AB191" s="25" t="n">
        <x:v>-0.9147642979942694</x:v>
      </x:c>
      <x:c r="AC191" s="25" t="n">
        <x:v>-0.3302197500000001</x:v>
      </x:c>
      <x:c r="AD191" s="25" t="n">
        <x:v>-7925.274000000002</x:v>
      </x:c>
      <x:c r="AE191" s="25" t="n">
        <x:v>21855.420000000002</x:v>
      </x:c>
      <x:c r="AF191" s="25" t="n">
        <x:v>54638.55</x:v>
      </x:c>
      <x:c r="AG191" s="25" t="n">
        <x:v>-0.09408192567335702</x:v>
      </x:c>
      <x:c r="AH191" s="25" t="n">
        <x:v>6.876790830945558</x:v>
      </x:c>
      <x:c r="AI191" t="n">
        <x:f>Z191-Y191</x:f>
        <x:v>-31925.274</x:v>
      </x:c>
      <x:c r="AJ191" t="n">
        <x:f>AA191/S191</x:f>
        <x:v>-0.9147642979942694</x:v>
      </x:c>
      <x:c r="AK191" t="n">
        <x:f>Z191/Y191</x:f>
        <x:v>-0.3302197500000001</x:v>
      </x:c>
    </x:row>
    <x:row r="192" ht="15" hidden="0" customHeight="1">
      <x:c r="A192" s="25" t="str">
        <x:v>ONE</x:v>
      </x:c>
      <x:c r="B192" s="25" t="n">
        <x:v>10</x:v>
      </x:c>
      <x:c r="C192" s="25" t="str">
        <x:v>Burkina Faso</x:v>
      </x:c>
      <x:c r="D192" s="25" t="str">
        <x:v>Disaster</x:v>
      </x:c>
      <x:c r="E192" s="25" t="n">
        <x:v>8</x:v>
      </x:c>
      <x:c r="F192" s="25" t="n">
        <x:v>4</x:v>
      </x:c>
      <x:c r="G192" s="25" t="n">
        <x:v>2</x:v>
      </x:c>
      <x:c r="H192" s="25" t="n">
        <x:v>35</x:v>
      </x:c>
      <x:c r="I192" s="25" t="str">
        <x:v>Équilibré</x:v>
      </x:c>
      <x:c r="J192" s="25" t="n">
        <x:v>1</x:v>
      </x:c>
      <x:c r="K192" s="25" t="n">
        <x:v>34900</x:v>
      </x:c>
      <x:c r="L192" s="25" t="n">
        <x:v>0</x:v>
      </x:c>
      <x:c r="M192" s="25" t="n">
        <x:v>34900</x:v>
      </x:c>
      <x:c r="N192" s="25" t="n">
        <x:v>0.18</x:v>
      </x:c>
      <x:c r="O192" s="25" t="n">
        <x:v>1</x:v>
      </x:c>
      <x:c r="P192" s="25" t="n">
        <x:v>0.18</x:v>
      </x:c>
      <x:c r="Q192" s="25" t="n">
        <x:v>0.45</x:v>
      </x:c>
      <x:c r="R192" s="25" t="n">
        <x:v>2.6</x:v>
      </x:c>
      <x:c r="S192" s="25" t="n">
        <x:v>34900</x:v>
      </x:c>
      <x:c r="T192" s="25" t="n">
        <x:v>2792</x:v>
      </x:c>
      <x:c r="U192" s="25" t="n">
        <x:v>1745</x:v>
      </x:c>
      <x:c r="V192" s="25" t="n">
        <x:v>8419.2</x:v>
      </x:c>
      <x:c r="W192" s="25" t="n">
        <x:v>29140.56</x:v>
      </x:c>
      <x:c r="X192" s="25" t="n">
        <x:v>728.5140000000001</x:v>
      </x:c>
      <x:c r="Y192" s="25" t="n">
        <x:v>27600</x:v>
      </x:c>
      <x:c r="Z192" s="25" t="n">
        <x:v>-7925.274000000002</x:v>
      </x:c>
      <x:c r="AA192" s="25" t="n">
        <x:v>-35525.274000000005</x:v>
      </x:c>
      <x:c r="AB192" s="25" t="n">
        <x:v>-1.0179161604584528</x:v>
      </x:c>
      <x:c r="AC192" s="25" t="n">
        <x:v>-0.28714760869565226</x:v>
      </x:c>
      <x:c r="AD192" s="25" t="n">
        <x:v>-7925.274000000002</x:v>
      </x:c>
      <x:c r="AE192" s="25" t="n">
        <x:v>21855.420000000002</x:v>
      </x:c>
      <x:c r="AF192" s="25" t="n">
        <x:v>54638.55</x:v>
      </x:c>
      <x:c r="AG192" s="25" t="n">
        <x:v>-0.2588007917486829</x:v>
      </x:c>
      <x:c r="AH192" s="25" t="n">
        <x:v>6.876790830945558</x:v>
      </x:c>
      <x:c r="AI192" t="n">
        <x:f>Z192-Y192</x:f>
        <x:v>-35525.274000000005</x:v>
      </x:c>
      <x:c r="AJ192" t="n">
        <x:f>AA192/S192</x:f>
        <x:v>-1.0179161604584528</x:v>
      </x:c>
      <x:c r="AK192" t="n">
        <x:f>Z192/Y192</x:f>
        <x:v>-0.28714760869565226</x:v>
      </x:c>
    </x:row>
    <x:row r="193" ht="15" hidden="0" customHeight="1">
      <x:c r="A193" s="25" t="str">
        <x:v>ONE</x:v>
      </x:c>
      <x:c r="B193" s="25" t="n">
        <x:v>10</x:v>
      </x:c>
      <x:c r="C193" s="25" t="str">
        <x:v>Togo</x:v>
      </x:c>
      <x:c r="D193" s="25" t="str">
        <x:v>Disaster</x:v>
      </x:c>
      <x:c r="E193" s="25" t="n">
        <x:v>8</x:v>
      </x:c>
      <x:c r="F193" s="25" t="n">
        <x:v>4</x:v>
      </x:c>
      <x:c r="G193" s="25" t="n">
        <x:v>2</x:v>
      </x:c>
      <x:c r="H193" s="25" t="n">
        <x:v>35</x:v>
      </x:c>
      <x:c r="I193" s="25" t="str">
        <x:v>Équilibré</x:v>
      </x:c>
      <x:c r="J193" s="25" t="n">
        <x:v>1</x:v>
      </x:c>
      <x:c r="K193" s="25" t="n">
        <x:v>34900</x:v>
      </x:c>
      <x:c r="L193" s="25" t="n">
        <x:v>0</x:v>
      </x:c>
      <x:c r="M193" s="25" t="n">
        <x:v>34900</x:v>
      </x:c>
      <x:c r="N193" s="25" t="n">
        <x:v>0.18</x:v>
      </x:c>
      <x:c r="O193" s="25" t="n">
        <x:v>1</x:v>
      </x:c>
      <x:c r="P193" s="25" t="n">
        <x:v>0.18</x:v>
      </x:c>
      <x:c r="Q193" s="25" t="n">
        <x:v>0.45</x:v>
      </x:c>
      <x:c r="R193" s="25" t="n">
        <x:v>2.6</x:v>
      </x:c>
      <x:c r="S193" s="25" t="n">
        <x:v>34900</x:v>
      </x:c>
      <x:c r="T193" s="25" t="n">
        <x:v>2792</x:v>
      </x:c>
      <x:c r="U193" s="25" t="n">
        <x:v>1745</x:v>
      </x:c>
      <x:c r="V193" s="25" t="n">
        <x:v>8419.2</x:v>
      </x:c>
      <x:c r="W193" s="25" t="n">
        <x:v>29140.56</x:v>
      </x:c>
      <x:c r="X193" s="25" t="n">
        <x:v>728.5140000000001</x:v>
      </x:c>
      <x:c r="Y193" s="25" t="n">
        <x:v>33600</x:v>
      </x:c>
      <x:c r="Z193" s="25" t="n">
        <x:v>-7925.274000000002</x:v>
      </x:c>
      <x:c r="AA193" s="25" t="n">
        <x:v>-41525.274000000005</x:v>
      </x:c>
      <x:c r="AB193" s="25" t="n">
        <x:v>-1.1898359312320919</x:v>
      </x:c>
      <x:c r="AC193" s="25" t="n">
        <x:v>-0.23587125000000006</x:v>
      </x:c>
      <x:c r="AD193" s="25" t="n">
        <x:v>-7925.274000000002</x:v>
      </x:c>
      <x:c r="AE193" s="25" t="n">
        <x:v>21855.420000000002</x:v>
      </x:c>
      <x:c r="AF193" s="25" t="n">
        <x:v>54638.55</x:v>
      </x:c>
      <x:c r="AG193" s="25" t="n">
        <x:v>-0.5333322352075595</x:v>
      </x:c>
      <x:c r="AH193" s="25" t="n">
        <x:v>6.876790830945558</x:v>
      </x:c>
      <x:c r="AI193" t="n">
        <x:f>Z193-Y193</x:f>
        <x:v>-41525.274000000005</x:v>
      </x:c>
      <x:c r="AJ193" t="n">
        <x:f>AA193/S193</x:f>
        <x:v>-1.1898359312320919</x:v>
      </x:c>
      <x:c r="AK193" t="n">
        <x:f>Z193/Y193</x:f>
        <x:v>-0.23587125000000006</x:v>
      </x:c>
    </x:row>
    <x:row r="194" ht="15" hidden="0" customHeight="1">
      <x:c r="A194" s="25" t="str">
        <x:v>ONE</x:v>
      </x:c>
      <x:c r="B194" s="25" t="n">
        <x:v>25</x:v>
      </x:c>
      <x:c r="C194" s="25" t="str">
        <x:v>Côte d’Ivoire</x:v>
      </x:c>
      <x:c r="D194" s="25" t="str">
        <x:v>Disaster</x:v>
      </x:c>
      <x:c r="E194" s="25" t="n">
        <x:v>8</x:v>
      </x:c>
      <x:c r="F194" s="25" t="n">
        <x:v>4</x:v>
      </x:c>
      <x:c r="G194" s="25" t="n">
        <x:v>2</x:v>
      </x:c>
      <x:c r="H194" s="25" t="n">
        <x:v>35</x:v>
      </x:c>
      <x:c r="I194" s="25" t="str">
        <x:v>Équilibré</x:v>
      </x:c>
      <x:c r="J194" s="25" t="n">
        <x:v>1</x:v>
      </x:c>
      <x:c r="K194" s="25" t="n">
        <x:v>69900</x:v>
      </x:c>
      <x:c r="L194" s="25" t="n">
        <x:v>0</x:v>
      </x:c>
      <x:c r="M194" s="25" t="n">
        <x:v>69900</x:v>
      </x:c>
      <x:c r="N194" s="25" t="n">
        <x:v>0.18</x:v>
      </x:c>
      <x:c r="O194" s="25" t="n">
        <x:v>1</x:v>
      </x:c>
      <x:c r="P194" s="25" t="n">
        <x:v>0.18</x:v>
      </x:c>
      <x:c r="Q194" s="25" t="n">
        <x:v>0.45</x:v>
      </x:c>
      <x:c r="R194" s="25" t="n">
        <x:v>2.6</x:v>
      </x:c>
      <x:c r="S194" s="25" t="n">
        <x:v>69900</x:v>
      </x:c>
      <x:c r="T194" s="25" t="n">
        <x:v>5592</x:v>
      </x:c>
      <x:c r="U194" s="25" t="n">
        <x:v>3495</x:v>
      </x:c>
      <x:c r="V194" s="25" t="n">
        <x:v>8419.2</x:v>
      </x:c>
      <x:c r="W194" s="25" t="n">
        <x:v>72851.40000000001</x:v>
      </x:c>
      <x:c r="X194" s="25" t="n">
        <x:v>1821.2850000000003</x:v>
      </x:c>
      <x:c r="Y194" s="25" t="n">
        <x:v>26400</x:v>
      </x:c>
      <x:c r="Z194" s="25" t="n">
        <x:v>-22278.885000000006</x:v>
      </x:c>
      <x:c r="AA194" s="25" t="n">
        <x:v>-48678.88500000001</x:v>
      </x:c>
      <x:c r="AB194" s="25" t="n">
        <x:v>-0.6964075107296138</x:v>
      </x:c>
      <x:c r="AC194" s="25" t="n">
        <x:v>-0.8438971590909093</x:v>
      </x:c>
      <x:c r="AD194" s="25" t="n">
        <x:v>-22278.885000000006</x:v>
      </x:c>
      <x:c r="AE194" s="25" t="n">
        <x:v>54638.55</x:v>
      </x:c>
      <x:c r="AF194" s="25" t="n">
        <x:v>136596.375</x:v>
      </x:c>
      <x:c r="AG194" s="25" t="n">
        <x:v>0.4757410289987564</x:v>
      </x:c>
      <x:c r="AH194" s="25" t="n">
        <x:v>7.725321888412017</x:v>
      </x:c>
      <x:c r="AI194" t="n">
        <x:f>Z194-Y194</x:f>
        <x:v>-48678.88500000001</x:v>
      </x:c>
      <x:c r="AJ194" t="n">
        <x:f>AA194/S194</x:f>
        <x:v>-0.6964075107296138</x:v>
      </x:c>
      <x:c r="AK194" t="n">
        <x:f>Z194/Y194</x:f>
        <x:v>-0.8438971590909093</x:v>
      </x:c>
    </x:row>
    <x:row r="195" ht="15" hidden="0" customHeight="1">
      <x:c r="A195" s="25" t="str">
        <x:v>ONE</x:v>
      </x:c>
      <x:c r="B195" s="25" t="n">
        <x:v>25</x:v>
      </x:c>
      <x:c r="C195" s="25" t="str">
        <x:v>Cameroun</x:v>
      </x:c>
      <x:c r="D195" s="25" t="str">
        <x:v>Disaster</x:v>
      </x:c>
      <x:c r="E195" s="25" t="n">
        <x:v>8</x:v>
      </x:c>
      <x:c r="F195" s="25" t="n">
        <x:v>4</x:v>
      </x:c>
      <x:c r="G195" s="25" t="n">
        <x:v>2</x:v>
      </x:c>
      <x:c r="H195" s="25" t="n">
        <x:v>35</x:v>
      </x:c>
      <x:c r="I195" s="25" t="str">
        <x:v>Équilibré</x:v>
      </x:c>
      <x:c r="J195" s="25" t="n">
        <x:v>1</x:v>
      </x:c>
      <x:c r="K195" s="25" t="n">
        <x:v>69900</x:v>
      </x:c>
      <x:c r="L195" s="25" t="n">
        <x:v>0</x:v>
      </x:c>
      <x:c r="M195" s="25" t="n">
        <x:v>69900</x:v>
      </x:c>
      <x:c r="N195" s="25" t="n">
        <x:v>0.18</x:v>
      </x:c>
      <x:c r="O195" s="25" t="n">
        <x:v>1</x:v>
      </x:c>
      <x:c r="P195" s="25" t="n">
        <x:v>0.18</x:v>
      </x:c>
      <x:c r="Q195" s="25" t="n">
        <x:v>0.45</x:v>
      </x:c>
      <x:c r="R195" s="25" t="n">
        <x:v>2.6</x:v>
      </x:c>
      <x:c r="S195" s="25" t="n">
        <x:v>69900</x:v>
      </x:c>
      <x:c r="T195" s="25" t="n">
        <x:v>5592</x:v>
      </x:c>
      <x:c r="U195" s="25" t="n">
        <x:v>3495</x:v>
      </x:c>
      <x:c r="V195" s="25" t="n">
        <x:v>8419.2</x:v>
      </x:c>
      <x:c r="W195" s="25" t="n">
        <x:v>72851.40000000001</x:v>
      </x:c>
      <x:c r="X195" s="25" t="n">
        <x:v>1821.2850000000003</x:v>
      </x:c>
      <x:c r="Y195" s="25" t="n">
        <x:v>28800</x:v>
      </x:c>
      <x:c r="Z195" s="25" t="n">
        <x:v>-22278.885000000006</x:v>
      </x:c>
      <x:c r="AA195" s="25" t="n">
        <x:v>-51078.88500000001</x:v>
      </x:c>
      <x:c r="AB195" s="25" t="n">
        <x:v>-0.7307422746781117</x:v>
      </x:c>
      <x:c r="AC195" s="25" t="n">
        <x:v>-0.7735723958333335</x:v>
      </x:c>
      <x:c r="AD195" s="25" t="n">
        <x:v>-22278.885000000006</x:v>
      </x:c>
      <x:c r="AE195" s="25" t="n">
        <x:v>54638.55</x:v>
      </x:c>
      <x:c r="AF195" s="25" t="n">
        <x:v>136596.375</x:v>
      </x:c>
      <x:c r="AG195" s="25" t="n">
        <x:v>0.43181599804533616</x:v>
      </x:c>
      <x:c r="AH195" s="25" t="n">
        <x:v>7.725321888412017</x:v>
      </x:c>
      <x:c r="AI195" t="n">
        <x:f>Z195-Y195</x:f>
        <x:v>-51078.88500000001</x:v>
      </x:c>
      <x:c r="AJ195" t="n">
        <x:f>AA195/S195</x:f>
        <x:v>-0.7307422746781117</x:v>
      </x:c>
      <x:c r="AK195" t="n">
        <x:f>Z195/Y195</x:f>
        <x:v>-0.7735723958333335</x:v>
      </x:c>
    </x:row>
    <x:row r="196" ht="15" hidden="0" customHeight="1">
      <x:c r="A196" s="25" t="str">
        <x:v>ONE</x:v>
      </x:c>
      <x:c r="B196" s="25" t="n">
        <x:v>25</x:v>
      </x:c>
      <x:c r="C196" s="25" t="str">
        <x:v>Sénégal</x:v>
      </x:c>
      <x:c r="D196" s="25" t="str">
        <x:v>Disaster</x:v>
      </x:c>
      <x:c r="E196" s="25" t="n">
        <x:v>8</x:v>
      </x:c>
      <x:c r="F196" s="25" t="n">
        <x:v>4</x:v>
      </x:c>
      <x:c r="G196" s="25" t="n">
        <x:v>2</x:v>
      </x:c>
      <x:c r="H196" s="25" t="n">
        <x:v>35</x:v>
      </x:c>
      <x:c r="I196" s="25" t="str">
        <x:v>Équilibré</x:v>
      </x:c>
      <x:c r="J196" s="25" t="n">
        <x:v>1</x:v>
      </x:c>
      <x:c r="K196" s="25" t="n">
        <x:v>69900</x:v>
      </x:c>
      <x:c r="L196" s="25" t="n">
        <x:v>0</x:v>
      </x:c>
      <x:c r="M196" s="25" t="n">
        <x:v>69900</x:v>
      </x:c>
      <x:c r="N196" s="25" t="n">
        <x:v>0.18</x:v>
      </x:c>
      <x:c r="O196" s="25" t="n">
        <x:v>1</x:v>
      </x:c>
      <x:c r="P196" s="25" t="n">
        <x:v>0.18</x:v>
      </x:c>
      <x:c r="Q196" s="25" t="n">
        <x:v>0.45</x:v>
      </x:c>
      <x:c r="R196" s="25" t="n">
        <x:v>2.6</x:v>
      </x:c>
      <x:c r="S196" s="25" t="n">
        <x:v>69900</x:v>
      </x:c>
      <x:c r="T196" s="25" t="n">
        <x:v>5592</x:v>
      </x:c>
      <x:c r="U196" s="25" t="n">
        <x:v>3495</x:v>
      </x:c>
      <x:c r="V196" s="25" t="n">
        <x:v>8419.2</x:v>
      </x:c>
      <x:c r="W196" s="25" t="n">
        <x:v>72851.40000000001</x:v>
      </x:c>
      <x:c r="X196" s="25" t="n">
        <x:v>1821.2850000000003</x:v>
      </x:c>
      <x:c r="Y196" s="25" t="n">
        <x:v>36000</x:v>
      </x:c>
      <x:c r="Z196" s="25" t="n">
        <x:v>-22278.885000000006</x:v>
      </x:c>
      <x:c r="AA196" s="25" t="n">
        <x:v>-58278.88500000001</x:v>
      </x:c>
      <x:c r="AB196" s="25" t="n">
        <x:v>-0.8337465665236052</x:v>
      </x:c>
      <x:c r="AC196" s="25" t="n">
        <x:v>-0.6188579166666668</x:v>
      </x:c>
      <x:c r="AD196" s="25" t="n">
        <x:v>-22278.885000000006</x:v>
      </x:c>
      <x:c r="AE196" s="25" t="n">
        <x:v>54638.55</x:v>
      </x:c>
      <x:c r="AF196" s="25" t="n">
        <x:v>136596.375</x:v>
      </x:c>
      <x:c r="AG196" s="25" t="n">
        <x:v>0.3000409051850754</x:v>
      </x:c>
      <x:c r="AH196" s="25" t="n">
        <x:v>7.725321888412017</x:v>
      </x:c>
      <x:c r="AI196" t="n">
        <x:f>Z196-Y196</x:f>
        <x:v>-58278.88500000001</x:v>
      </x:c>
      <x:c r="AJ196" t="n">
        <x:f>AA196/S196</x:f>
        <x:v>-0.8337465665236052</x:v>
      </x:c>
      <x:c r="AK196" t="n">
        <x:f>Z196/Y196</x:f>
        <x:v>-0.6188579166666668</x:v>
      </x:c>
    </x:row>
    <x:row r="197" ht="15" hidden="0" customHeight="1">
      <x:c r="A197" s="25" t="str">
        <x:v>ONE</x:v>
      </x:c>
      <x:c r="B197" s="25" t="n">
        <x:v>25</x:v>
      </x:c>
      <x:c r="C197" s="25" t="str">
        <x:v>Bénin</x:v>
      </x:c>
      <x:c r="D197" s="25" t="str">
        <x:v>Disaster</x:v>
      </x:c>
      <x:c r="E197" s="25" t="n">
        <x:v>8</x:v>
      </x:c>
      <x:c r="F197" s="25" t="n">
        <x:v>4</x:v>
      </x:c>
      <x:c r="G197" s="25" t="n">
        <x:v>2</x:v>
      </x:c>
      <x:c r="H197" s="25" t="n">
        <x:v>35</x:v>
      </x:c>
      <x:c r="I197" s="25" t="str">
        <x:v>Équilibré</x:v>
      </x:c>
      <x:c r="J197" s="25" t="n">
        <x:v>1</x:v>
      </x:c>
      <x:c r="K197" s="25" t="n">
        <x:v>69900</x:v>
      </x:c>
      <x:c r="L197" s="25" t="n">
        <x:v>0</x:v>
      </x:c>
      <x:c r="M197" s="25" t="n">
        <x:v>69900</x:v>
      </x:c>
      <x:c r="N197" s="25" t="n">
        <x:v>0.18</x:v>
      </x:c>
      <x:c r="O197" s="25" t="n">
        <x:v>1</x:v>
      </x:c>
      <x:c r="P197" s="25" t="n">
        <x:v>0.18</x:v>
      </x:c>
      <x:c r="Q197" s="25" t="n">
        <x:v>0.45</x:v>
      </x:c>
      <x:c r="R197" s="25" t="n">
        <x:v>2.6</x:v>
      </x:c>
      <x:c r="S197" s="25" t="n">
        <x:v>69900</x:v>
      </x:c>
      <x:c r="T197" s="25" t="n">
        <x:v>5592</x:v>
      </x:c>
      <x:c r="U197" s="25" t="n">
        <x:v>3495</x:v>
      </x:c>
      <x:c r="V197" s="25" t="n">
        <x:v>8419.2</x:v>
      </x:c>
      <x:c r="W197" s="25" t="n">
        <x:v>72851.40000000001</x:v>
      </x:c>
      <x:c r="X197" s="25" t="n">
        <x:v>1821.2850000000003</x:v>
      </x:c>
      <x:c r="Y197" s="25" t="n">
        <x:v>24000</x:v>
      </x:c>
      <x:c r="Z197" s="25" t="n">
        <x:v>-22278.885000000006</x:v>
      </x:c>
      <x:c r="AA197" s="25" t="n">
        <x:v>-46278.88500000001</x:v>
      </x:c>
      <x:c r="AB197" s="25" t="n">
        <x:v>-0.662072746781116</x:v>
      </x:c>
      <x:c r="AC197" s="25" t="n">
        <x:v>-0.9282868750000003</x:v>
      </x:c>
      <x:c r="AD197" s="25" t="n">
        <x:v>-22278.885000000006</x:v>
      </x:c>
      <x:c r="AE197" s="25" t="n">
        <x:v>54638.55</x:v>
      </x:c>
      <x:c r="AF197" s="25" t="n">
        <x:v>136596.375</x:v>
      </x:c>
      <x:c r="AG197" s="25" t="n">
        <x:v>0.5196660599521766</x:v>
      </x:c>
      <x:c r="AH197" s="25" t="n">
        <x:v>7.725321888412017</x:v>
      </x:c>
      <x:c r="AI197" t="n">
        <x:f>Z197-Y197</x:f>
        <x:v>-46278.88500000001</x:v>
      </x:c>
      <x:c r="AJ197" t="n">
        <x:f>AA197/S197</x:f>
        <x:v>-0.662072746781116</x:v>
      </x:c>
      <x:c r="AK197" t="n">
        <x:f>Z197/Y197</x:f>
        <x:v>-0.9282868750000003</x:v>
      </x:c>
    </x:row>
    <x:row r="198" ht="15" hidden="0" customHeight="1">
      <x:c r="A198" s="25" t="str">
        <x:v>ONE</x:v>
      </x:c>
      <x:c r="B198" s="25" t="n">
        <x:v>25</x:v>
      </x:c>
      <x:c r="C198" s="25" t="str">
        <x:v>Burkina Faso</x:v>
      </x:c>
      <x:c r="D198" s="25" t="str">
        <x:v>Disaster</x:v>
      </x:c>
      <x:c r="E198" s="25" t="n">
        <x:v>8</x:v>
      </x:c>
      <x:c r="F198" s="25" t="n">
        <x:v>4</x:v>
      </x:c>
      <x:c r="G198" s="25" t="n">
        <x:v>2</x:v>
      </x:c>
      <x:c r="H198" s="25" t="n">
        <x:v>35</x:v>
      </x:c>
      <x:c r="I198" s="25" t="str">
        <x:v>Équilibré</x:v>
      </x:c>
      <x:c r="J198" s="25" t="n">
        <x:v>1</x:v>
      </x:c>
      <x:c r="K198" s="25" t="n">
        <x:v>69900</x:v>
      </x:c>
      <x:c r="L198" s="25" t="n">
        <x:v>0</x:v>
      </x:c>
      <x:c r="M198" s="25" t="n">
        <x:v>69900</x:v>
      </x:c>
      <x:c r="N198" s="25" t="n">
        <x:v>0.18</x:v>
      </x:c>
      <x:c r="O198" s="25" t="n">
        <x:v>1</x:v>
      </x:c>
      <x:c r="P198" s="25" t="n">
        <x:v>0.18</x:v>
      </x:c>
      <x:c r="Q198" s="25" t="n">
        <x:v>0.45</x:v>
      </x:c>
      <x:c r="R198" s="25" t="n">
        <x:v>2.6</x:v>
      </x:c>
      <x:c r="S198" s="25" t="n">
        <x:v>69900</x:v>
      </x:c>
      <x:c r="T198" s="25" t="n">
        <x:v>5592</x:v>
      </x:c>
      <x:c r="U198" s="25" t="n">
        <x:v>3495</x:v>
      </x:c>
      <x:c r="V198" s="25" t="n">
        <x:v>8419.2</x:v>
      </x:c>
      <x:c r="W198" s="25" t="n">
        <x:v>72851.40000000001</x:v>
      </x:c>
      <x:c r="X198" s="25" t="n">
        <x:v>1821.2850000000003</x:v>
      </x:c>
      <x:c r="Y198" s="25" t="n">
        <x:v>27600</x:v>
      </x:c>
      <x:c r="Z198" s="25" t="n">
        <x:v>-22278.885000000006</x:v>
      </x:c>
      <x:c r="AA198" s="25" t="n">
        <x:v>-49878.88500000001</x:v>
      </x:c>
      <x:c r="AB198" s="25" t="n">
        <x:v>-0.7135748927038628</x:v>
      </x:c>
      <x:c r="AC198" s="25" t="n">
        <x:v>-0.8072059782608698</x:v>
      </x:c>
      <x:c r="AD198" s="25" t="n">
        <x:v>-22278.885000000006</x:v>
      </x:c>
      <x:c r="AE198" s="25" t="n">
        <x:v>54638.55</x:v>
      </x:c>
      <x:c r="AF198" s="25" t="n">
        <x:v>136596.375</x:v>
      </x:c>
      <x:c r="AG198" s="25" t="n">
        <x:v>0.4537785135220463</x:v>
      </x:c>
      <x:c r="AH198" s="25" t="n">
        <x:v>7.725321888412017</x:v>
      </x:c>
      <x:c r="AI198" t="n">
        <x:f>Z198-Y198</x:f>
        <x:v>-49878.88500000001</x:v>
      </x:c>
      <x:c r="AJ198" t="n">
        <x:f>AA198/S198</x:f>
        <x:v>-0.7135748927038628</x:v>
      </x:c>
      <x:c r="AK198" t="n">
        <x:f>Z198/Y198</x:f>
        <x:v>-0.8072059782608698</x:v>
      </x:c>
    </x:row>
    <x:row r="199" ht="15" hidden="0" customHeight="1">
      <x:c r="A199" s="25" t="str">
        <x:v>ONE</x:v>
      </x:c>
      <x:c r="B199" s="25" t="n">
        <x:v>25</x:v>
      </x:c>
      <x:c r="C199" s="25" t="str">
        <x:v>Togo</x:v>
      </x:c>
      <x:c r="D199" s="25" t="str">
        <x:v>Disaster</x:v>
      </x:c>
      <x:c r="E199" s="25" t="n">
        <x:v>8</x:v>
      </x:c>
      <x:c r="F199" s="25" t="n">
        <x:v>4</x:v>
      </x:c>
      <x:c r="G199" s="25" t="n">
        <x:v>2</x:v>
      </x:c>
      <x:c r="H199" s="25" t="n">
        <x:v>35</x:v>
      </x:c>
      <x:c r="I199" s="25" t="str">
        <x:v>Équilibré</x:v>
      </x:c>
      <x:c r="J199" s="25" t="n">
        <x:v>1</x:v>
      </x:c>
      <x:c r="K199" s="25" t="n">
        <x:v>69900</x:v>
      </x:c>
      <x:c r="L199" s="25" t="n">
        <x:v>0</x:v>
      </x:c>
      <x:c r="M199" s="25" t="n">
        <x:v>69900</x:v>
      </x:c>
      <x:c r="N199" s="25" t="n">
        <x:v>0.18</x:v>
      </x:c>
      <x:c r="O199" s="25" t="n">
        <x:v>1</x:v>
      </x:c>
      <x:c r="P199" s="25" t="n">
        <x:v>0.18</x:v>
      </x:c>
      <x:c r="Q199" s="25" t="n">
        <x:v>0.45</x:v>
      </x:c>
      <x:c r="R199" s="25" t="n">
        <x:v>2.6</x:v>
      </x:c>
      <x:c r="S199" s="25" t="n">
        <x:v>69900</x:v>
      </x:c>
      <x:c r="T199" s="25" t="n">
        <x:v>5592</x:v>
      </x:c>
      <x:c r="U199" s="25" t="n">
        <x:v>3495</x:v>
      </x:c>
      <x:c r="V199" s="25" t="n">
        <x:v>8419.2</x:v>
      </x:c>
      <x:c r="W199" s="25" t="n">
        <x:v>72851.40000000001</x:v>
      </x:c>
      <x:c r="X199" s="25" t="n">
        <x:v>1821.2850000000003</x:v>
      </x:c>
      <x:c r="Y199" s="25" t="n">
        <x:v>33600</x:v>
      </x:c>
      <x:c r="Z199" s="25" t="n">
        <x:v>-22278.885000000006</x:v>
      </x:c>
      <x:c r="AA199" s="25" t="n">
        <x:v>-55878.88500000001</x:v>
      </x:c>
      <x:c r="AB199" s="25" t="n">
        <x:v>-0.7994118025751075</x:v>
      </x:c>
      <x:c r="AC199" s="25" t="n">
        <x:v>-0.6630620535714288</x:v>
      </x:c>
      <x:c r="AD199" s="25" t="n">
        <x:v>-22278.885000000006</x:v>
      </x:c>
      <x:c r="AE199" s="25" t="n">
        <x:v>54638.55</x:v>
      </x:c>
      <x:c r="AF199" s="25" t="n">
        <x:v>136596.375</x:v>
      </x:c>
      <x:c r="AG199" s="25" t="n">
        <x:v>0.34396593613849563</x:v>
      </x:c>
      <x:c r="AH199" s="25" t="n">
        <x:v>7.725321888412017</x:v>
      </x:c>
      <x:c r="AI199" t="n">
        <x:f>Z199-Y199</x:f>
        <x:v>-55878.88500000001</x:v>
      </x:c>
      <x:c r="AJ199" t="n">
        <x:f>AA199/S199</x:f>
        <x:v>-0.7994118025751075</x:v>
      </x:c>
      <x:c r="AK199" t="n">
        <x:f>Z199/Y199</x:f>
        <x:v>-0.6630620535714288</x:v>
      </x:c>
    </x:row>
    <x:row r="200" ht="15" hidden="0" customHeight="1">
      <x:c r="A200" s="25" t="str">
        <x:v>ONE</x:v>
      </x:c>
      <x:c r="B200" s="25" t="n">
        <x:v>50</x:v>
      </x:c>
      <x:c r="C200" s="25" t="str">
        <x:v>Côte d’Ivoire</x:v>
      </x:c>
      <x:c r="D200" s="25" t="str">
        <x:v>Disaster</x:v>
      </x:c>
      <x:c r="E200" s="25" t="n">
        <x:v>8</x:v>
      </x:c>
      <x:c r="F200" s="25" t="n">
        <x:v>4</x:v>
      </x:c>
      <x:c r="G200" s="25" t="n">
        <x:v>2</x:v>
      </x:c>
      <x:c r="H200" s="25" t="n">
        <x:v>35</x:v>
      </x:c>
      <x:c r="I200" s="25" t="str">
        <x:v>Équilibré</x:v>
      </x:c>
      <x:c r="J200" s="25" t="n">
        <x:v>1</x:v>
      </x:c>
      <x:c r="K200" s="25" t="n">
        <x:v>119900</x:v>
      </x:c>
      <x:c r="L200" s="25" t="n">
        <x:v>0</x:v>
      </x:c>
      <x:c r="M200" s="25" t="n">
        <x:v>119900</x:v>
      </x:c>
      <x:c r="N200" s="25" t="n">
        <x:v>0.18</x:v>
      </x:c>
      <x:c r="O200" s="25" t="n">
        <x:v>1</x:v>
      </x:c>
      <x:c r="P200" s="25" t="n">
        <x:v>0.18</x:v>
      </x:c>
      <x:c r="Q200" s="25" t="n">
        <x:v>0.45</x:v>
      </x:c>
      <x:c r="R200" s="25" t="n">
        <x:v>2.6</x:v>
      </x:c>
      <x:c r="S200" s="25" t="n">
        <x:v>119900</x:v>
      </x:c>
      <x:c r="T200" s="25" t="n">
        <x:v>9592</x:v>
      </x:c>
      <x:c r="U200" s="25" t="n">
        <x:v>5995</x:v>
      </x:c>
      <x:c r="V200" s="25" t="n">
        <x:v>8419.2</x:v>
      </x:c>
      <x:c r="W200" s="25" t="n">
        <x:v>145702.80000000002</x:v>
      </x:c>
      <x:c r="X200" s="25" t="n">
        <x:v>3642.5700000000006</x:v>
      </x:c>
      <x:c r="Y200" s="25" t="n">
        <x:v>26400</x:v>
      </x:c>
      <x:c r="Z200" s="25" t="n">
        <x:v>-53451.570000000014</x:v>
      </x:c>
      <x:c r="AA200" s="25" t="n">
        <x:v>-79851.57</x:v>
      </x:c>
      <x:c r="AB200" s="25" t="n">
        <x:v>-0.6659847372810677</x:v>
      </x:c>
      <x:c r="AC200" s="25" t="n">
        <x:v>-2.0246806818181824</x:v>
      </x:c>
      <x:c r="AD200" s="25" t="n">
        <x:v>-53451.570000000014</x:v>
      </x:c>
      <x:c r="AE200" s="25" t="n">
        <x:v>109277.1</x:v>
      </x:c>
      <x:c r="AF200" s="25" t="n">
        <x:v>273192.75</x:v>
      </x:c>
      <x:c r="AG200" s="25" t="n">
        <x:v>0.6359411075147492</x:v>
      </x:c>
      <x:c r="AH200" s="25" t="n">
        <x:v>7.506255212677231</x:v>
      </x:c>
      <x:c r="AI200" t="n">
        <x:f>Z200-Y200</x:f>
        <x:v>-79851.57</x:v>
      </x:c>
      <x:c r="AJ200" t="n">
        <x:f>AA200/S200</x:f>
        <x:v>-0.6659847372810677</x:v>
      </x:c>
      <x:c r="AK200" t="n">
        <x:f>Z200/Y200</x:f>
        <x:v>-2.0246806818181824</x:v>
      </x:c>
    </x:row>
    <x:row r="201" ht="15" customHeight="1">
      <x:c r="A201" s="25" t="str">
        <x:v>ONE</x:v>
      </x:c>
      <x:c r="B201" s="25" t="n">
        <x:v>50</x:v>
      </x:c>
      <x:c r="C201" s="25" t="str">
        <x:v>Cameroun</x:v>
      </x:c>
      <x:c r="D201" s="25" t="str">
        <x:v>Disaster</x:v>
      </x:c>
      <x:c r="E201" s="25" t="n">
        <x:v>8</x:v>
      </x:c>
      <x:c r="F201" s="25" t="n">
        <x:v>4</x:v>
      </x:c>
      <x:c r="G201" s="25" t="n">
        <x:v>2</x:v>
      </x:c>
      <x:c r="H201" s="25" t="n">
        <x:v>35</x:v>
      </x:c>
      <x:c r="I201" s="25" t="str">
        <x:v>Équilibré</x:v>
      </x:c>
      <x:c r="J201" s="25" t="n">
        <x:v>1</x:v>
      </x:c>
      <x:c r="K201" s="25" t="n">
        <x:v>119900</x:v>
      </x:c>
      <x:c r="L201" s="25" t="n">
        <x:v>0</x:v>
      </x:c>
      <x:c r="M201" s="25" t="n">
        <x:v>119900</x:v>
      </x:c>
      <x:c r="N201" s="25" t="n">
        <x:v>0.18</x:v>
      </x:c>
      <x:c r="O201" s="25" t="n">
        <x:v>1</x:v>
      </x:c>
      <x:c r="P201" s="25" t="n">
        <x:v>0.18</x:v>
      </x:c>
      <x:c r="Q201" s="25" t="n">
        <x:v>0.45</x:v>
      </x:c>
      <x:c r="R201" s="25" t="n">
        <x:v>2.6</x:v>
      </x:c>
      <x:c r="S201" s="25" t="n">
        <x:v>119900</x:v>
      </x:c>
      <x:c r="T201" s="25" t="n">
        <x:v>9592</x:v>
      </x:c>
      <x:c r="U201" s="25" t="n">
        <x:v>5995</x:v>
      </x:c>
      <x:c r="V201" s="25" t="n">
        <x:v>8419.2</x:v>
      </x:c>
      <x:c r="W201" s="25" t="n">
        <x:v>145702.80000000002</x:v>
      </x:c>
      <x:c r="X201" s="25" t="n">
        <x:v>3642.5700000000006</x:v>
      </x:c>
      <x:c r="Y201" s="25" t="n">
        <x:v>28800</x:v>
      </x:c>
      <x:c r="Z201" s="25" t="n">
        <x:v>-53451.570000000014</x:v>
      </x:c>
      <x:c r="AA201" s="25" t="n">
        <x:v>-82251.57</x:v>
      </x:c>
      <x:c r="AB201" s="25" t="n">
        <x:v>-0.6860014178482069</x:v>
      </x:c>
      <x:c r="AC201" s="25" t="n">
        <x:v>-1.8559572916666671</x:v>
      </x:c>
      <x:c r="AD201" s="25" t="n">
        <x:v>-53451.570000000014</x:v>
      </x:c>
      <x:c r="AE201" s="25" t="n">
        <x:v>109277.1</x:v>
      </x:c>
      <x:c r="AF201" s="25" t="n">
        <x:v>273192.75</x:v>
      </x:c>
      <x:c r="AG201" s="25" t="n">
        <x:v>0.6139785920380391</x:v>
      </x:c>
      <x:c r="AH201" s="25" t="n">
        <x:v>7.506255212677231</x:v>
      </x:c>
      <x:c r="AI201" t="n">
        <x:f>Z201-Y201</x:f>
        <x:v>-82251.57</x:v>
      </x:c>
      <x:c r="AJ201" t="n">
        <x:f>AA201/S201</x:f>
        <x:v>-0.6860014178482069</x:v>
      </x:c>
      <x:c r="AK201" t="n">
        <x:f>Z201/Y201</x:f>
        <x:v>-1.8559572916666671</x:v>
      </x:c>
    </x:row>
    <x:row r="202" ht="15" customHeight="1">
      <x:c r="A202" s="25" t="str">
        <x:v>ONE</x:v>
      </x:c>
      <x:c r="B202" s="25" t="n">
        <x:v>50</x:v>
      </x:c>
      <x:c r="C202" s="25" t="str">
        <x:v>Sénégal</x:v>
      </x:c>
      <x:c r="D202" s="25" t="str">
        <x:v>Disaster</x:v>
      </x:c>
      <x:c r="E202" s="25" t="n">
        <x:v>8</x:v>
      </x:c>
      <x:c r="F202" s="25" t="n">
        <x:v>4</x:v>
      </x:c>
      <x:c r="G202" s="25" t="n">
        <x:v>2</x:v>
      </x:c>
      <x:c r="H202" s="25" t="n">
        <x:v>35</x:v>
      </x:c>
      <x:c r="I202" s="25" t="str">
        <x:v>Équilibré</x:v>
      </x:c>
      <x:c r="J202" s="25" t="n">
        <x:v>1</x:v>
      </x:c>
      <x:c r="K202" s="25" t="n">
        <x:v>119900</x:v>
      </x:c>
      <x:c r="L202" s="25" t="n">
        <x:v>0</x:v>
      </x:c>
      <x:c r="M202" s="25" t="n">
        <x:v>119900</x:v>
      </x:c>
      <x:c r="N202" s="25" t="n">
        <x:v>0.18</x:v>
      </x:c>
      <x:c r="O202" s="25" t="n">
        <x:v>1</x:v>
      </x:c>
      <x:c r="P202" s="25" t="n">
        <x:v>0.18</x:v>
      </x:c>
      <x:c r="Q202" s="25" t="n">
        <x:v>0.45</x:v>
      </x:c>
      <x:c r="R202" s="25" t="n">
        <x:v>2.6</x:v>
      </x:c>
      <x:c r="S202" s="25" t="n">
        <x:v>119900</x:v>
      </x:c>
      <x:c r="T202" s="25" t="n">
        <x:v>9592</x:v>
      </x:c>
      <x:c r="U202" s="25" t="n">
        <x:v>5995</x:v>
      </x:c>
      <x:c r="V202" s="25" t="n">
        <x:v>8419.2</x:v>
      </x:c>
      <x:c r="W202" s="25" t="n">
        <x:v>145702.80000000002</x:v>
      </x:c>
      <x:c r="X202" s="25" t="n">
        <x:v>3642.5700000000006</x:v>
      </x:c>
      <x:c r="Y202" s="25" t="n">
        <x:v>36000</x:v>
      </x:c>
      <x:c r="Z202" s="25" t="n">
        <x:v>-53451.570000000014</x:v>
      </x:c>
      <x:c r="AA202" s="25" t="n">
        <x:v>-89451.57</x:v>
      </x:c>
      <x:c r="AB202" s="25" t="n">
        <x:v>-0.7460514595496247</x:v>
      </x:c>
      <x:c r="AC202" s="25" t="n">
        <x:v>-1.4847658333333338</x:v>
      </x:c>
      <x:c r="AD202" s="25" t="n">
        <x:v>-53451.570000000014</x:v>
      </x:c>
      <x:c r="AE202" s="25" t="n">
        <x:v>109277.1</x:v>
      </x:c>
      <x:c r="AF202" s="25" t="n">
        <x:v>273192.75</x:v>
      </x:c>
      <x:c r="AG202" s="25" t="n">
        <x:v>0.5480910456079087</x:v>
      </x:c>
      <x:c r="AH202" s="25" t="n">
        <x:v>7.506255212677231</x:v>
      </x:c>
      <x:c r="AI202" t="n">
        <x:f>Z202-Y202</x:f>
        <x:v>-89451.57</x:v>
      </x:c>
      <x:c r="AJ202" t="n">
        <x:f>AA202/S202</x:f>
        <x:v>-0.7460514595496247</x:v>
      </x:c>
      <x:c r="AK202" t="n">
        <x:f>Z202/Y202</x:f>
        <x:v>-1.4847658333333338</x:v>
      </x:c>
    </x:row>
    <x:row r="203" ht="15" customHeight="1">
      <x:c r="A203" s="25" t="str">
        <x:v>ONE</x:v>
      </x:c>
      <x:c r="B203" s="25" t="n">
        <x:v>50</x:v>
      </x:c>
      <x:c r="C203" s="25" t="str">
        <x:v>Bénin</x:v>
      </x:c>
      <x:c r="D203" s="25" t="str">
        <x:v>Disaster</x:v>
      </x:c>
      <x:c r="E203" s="25" t="n">
        <x:v>8</x:v>
      </x:c>
      <x:c r="F203" s="25" t="n">
        <x:v>4</x:v>
      </x:c>
      <x:c r="G203" s="25" t="n">
        <x:v>2</x:v>
      </x:c>
      <x:c r="H203" s="25" t="n">
        <x:v>35</x:v>
      </x:c>
      <x:c r="I203" s="25" t="str">
        <x:v>Équilibré</x:v>
      </x:c>
      <x:c r="J203" s="25" t="n">
        <x:v>1</x:v>
      </x:c>
      <x:c r="K203" s="25" t="n">
        <x:v>119900</x:v>
      </x:c>
      <x:c r="L203" s="25" t="n">
        <x:v>0</x:v>
      </x:c>
      <x:c r="M203" s="25" t="n">
        <x:v>119900</x:v>
      </x:c>
      <x:c r="N203" s="25" t="n">
        <x:v>0.18</x:v>
      </x:c>
      <x:c r="O203" s="25" t="n">
        <x:v>1</x:v>
      </x:c>
      <x:c r="P203" s="25" t="n">
        <x:v>0.18</x:v>
      </x:c>
      <x:c r="Q203" s="25" t="n">
        <x:v>0.45</x:v>
      </x:c>
      <x:c r="R203" s="25" t="n">
        <x:v>2.6</x:v>
      </x:c>
      <x:c r="S203" s="25" t="n">
        <x:v>119900</x:v>
      </x:c>
      <x:c r="T203" s="25" t="n">
        <x:v>9592</x:v>
      </x:c>
      <x:c r="U203" s="25" t="n">
        <x:v>5995</x:v>
      </x:c>
      <x:c r="V203" s="25" t="n">
        <x:v>8419.2</x:v>
      </x:c>
      <x:c r="W203" s="25" t="n">
        <x:v>145702.80000000002</x:v>
      </x:c>
      <x:c r="X203" s="25" t="n">
        <x:v>3642.5700000000006</x:v>
      </x:c>
      <x:c r="Y203" s="25" t="n">
        <x:v>24000</x:v>
      </x:c>
      <x:c r="Z203" s="25" t="n">
        <x:v>-53451.570000000014</x:v>
      </x:c>
      <x:c r="AA203" s="25" t="n">
        <x:v>-77451.57</x:v>
      </x:c>
      <x:c r="AB203" s="25" t="n">
        <x:v>-0.6459680567139283</x:v>
      </x:c>
      <x:c r="AC203" s="25" t="n">
        <x:v>-2.2271487500000005</x:v>
      </x:c>
      <x:c r="AD203" s="25" t="n">
        <x:v>-53451.570000000014</x:v>
      </x:c>
      <x:c r="AE203" s="25" t="n">
        <x:v>109277.1</x:v>
      </x:c>
      <x:c r="AF203" s="25" t="n">
        <x:v>273192.75</x:v>
      </x:c>
      <x:c r="AG203" s="25" t="n">
        <x:v>0.6579036229914593</x:v>
      </x:c>
      <x:c r="AH203" s="25" t="n">
        <x:v>7.506255212677231</x:v>
      </x:c>
      <x:c r="AI203" t="n">
        <x:f>Z203-Y203</x:f>
        <x:v>-77451.57</x:v>
      </x:c>
      <x:c r="AJ203" t="n">
        <x:f>AA203/S203</x:f>
        <x:v>-0.6459680567139283</x:v>
      </x:c>
      <x:c r="AK203" t="n">
        <x:f>Z203/Y203</x:f>
        <x:v>-2.2271487500000005</x:v>
      </x:c>
    </x:row>
    <x:row r="204" ht="15" customHeight="1">
      <x:c r="A204" s="25" t="str">
        <x:v>ONE</x:v>
      </x:c>
      <x:c r="B204" s="25" t="n">
        <x:v>50</x:v>
      </x:c>
      <x:c r="C204" s="25" t="str">
        <x:v>Burkina Faso</x:v>
      </x:c>
      <x:c r="D204" s="25" t="str">
        <x:v>Disaster</x:v>
      </x:c>
      <x:c r="E204" s="25" t="n">
        <x:v>8</x:v>
      </x:c>
      <x:c r="F204" s="25" t="n">
        <x:v>4</x:v>
      </x:c>
      <x:c r="G204" s="25" t="n">
        <x:v>2</x:v>
      </x:c>
      <x:c r="H204" s="25" t="n">
        <x:v>35</x:v>
      </x:c>
      <x:c r="I204" s="25" t="str">
        <x:v>Équilibré</x:v>
      </x:c>
      <x:c r="J204" s="25" t="n">
        <x:v>1</x:v>
      </x:c>
      <x:c r="K204" s="25" t="n">
        <x:v>119900</x:v>
      </x:c>
      <x:c r="L204" s="25" t="n">
        <x:v>0</x:v>
      </x:c>
      <x:c r="M204" s="25" t="n">
        <x:v>119900</x:v>
      </x:c>
      <x:c r="N204" s="25" t="n">
        <x:v>0.18</x:v>
      </x:c>
      <x:c r="O204" s="25" t="n">
        <x:v>1</x:v>
      </x:c>
      <x:c r="P204" s="25" t="n">
        <x:v>0.18</x:v>
      </x:c>
      <x:c r="Q204" s="25" t="n">
        <x:v>0.45</x:v>
      </x:c>
      <x:c r="R204" s="25" t="n">
        <x:v>2.6</x:v>
      </x:c>
      <x:c r="S204" s="25" t="n">
        <x:v>119900</x:v>
      </x:c>
      <x:c r="T204" s="25" t="n">
        <x:v>9592</x:v>
      </x:c>
      <x:c r="U204" s="25" t="n">
        <x:v>5995</x:v>
      </x:c>
      <x:c r="V204" s="25" t="n">
        <x:v>8419.2</x:v>
      </x:c>
      <x:c r="W204" s="25" t="n">
        <x:v>145702.80000000002</x:v>
      </x:c>
      <x:c r="X204" s="25" t="n">
        <x:v>3642.5700000000006</x:v>
      </x:c>
      <x:c r="Y204" s="25" t="n">
        <x:v>27600</x:v>
      </x:c>
      <x:c r="Z204" s="25" t="n">
        <x:v>-53451.570000000014</x:v>
      </x:c>
      <x:c r="AA204" s="25" t="n">
        <x:v>-81051.57</x:v>
      </x:c>
      <x:c r="AB204" s="25" t="n">
        <x:v>-0.6759930775646372</x:v>
      </x:c>
      <x:c r="AC204" s="25" t="n">
        <x:v>-1.9366510869565223</x:v>
      </x:c>
      <x:c r="AD204" s="25" t="n">
        <x:v>-53451.570000000014</x:v>
      </x:c>
      <x:c r="AE204" s="25" t="n">
        <x:v>109277.1</x:v>
      </x:c>
      <x:c r="AF204" s="25" t="n">
        <x:v>273192.75</x:v>
      </x:c>
      <x:c r="AG204" s="25" t="n">
        <x:v>0.6249598497763942</x:v>
      </x:c>
      <x:c r="AH204" s="25" t="n">
        <x:v>7.506255212677231</x:v>
      </x:c>
      <x:c r="AI204" t="n">
        <x:f>Z204-Y204</x:f>
        <x:v>-81051.57</x:v>
      </x:c>
      <x:c r="AJ204" t="n">
        <x:f>AA204/S204</x:f>
        <x:v>-0.6759930775646372</x:v>
      </x:c>
      <x:c r="AK204" t="n">
        <x:f>Z204/Y204</x:f>
        <x:v>-1.9366510869565223</x:v>
      </x:c>
    </x:row>
    <x:row r="205" ht="15" customHeight="1">
      <x:c r="A205" s="25" t="str">
        <x:v>ONE</x:v>
      </x:c>
      <x:c r="B205" s="25" t="n">
        <x:v>50</x:v>
      </x:c>
      <x:c r="C205" s="25" t="str">
        <x:v>Togo</x:v>
      </x:c>
      <x:c r="D205" s="25" t="str">
        <x:v>Disaster</x:v>
      </x:c>
      <x:c r="E205" s="25" t="n">
        <x:v>8</x:v>
      </x:c>
      <x:c r="F205" s="25" t="n">
        <x:v>4</x:v>
      </x:c>
      <x:c r="G205" s="25" t="n">
        <x:v>2</x:v>
      </x:c>
      <x:c r="H205" s="25" t="n">
        <x:v>35</x:v>
      </x:c>
      <x:c r="I205" s="25" t="str">
        <x:v>Équilibré</x:v>
      </x:c>
      <x:c r="J205" s="25" t="n">
        <x:v>1</x:v>
      </x:c>
      <x:c r="K205" s="25" t="n">
        <x:v>119900</x:v>
      </x:c>
      <x:c r="L205" s="25" t="n">
        <x:v>0</x:v>
      </x:c>
      <x:c r="M205" s="25" t="n">
        <x:v>119900</x:v>
      </x:c>
      <x:c r="N205" s="25" t="n">
        <x:v>0.18</x:v>
      </x:c>
      <x:c r="O205" s="25" t="n">
        <x:v>1</x:v>
      </x:c>
      <x:c r="P205" s="25" t="n">
        <x:v>0.18</x:v>
      </x:c>
      <x:c r="Q205" s="25" t="n">
        <x:v>0.45</x:v>
      </x:c>
      <x:c r="R205" s="25" t="n">
        <x:v>2.6</x:v>
      </x:c>
      <x:c r="S205" s="25" t="n">
        <x:v>119900</x:v>
      </x:c>
      <x:c r="T205" s="25" t="n">
        <x:v>9592</x:v>
      </x:c>
      <x:c r="U205" s="25" t="n">
        <x:v>5995</x:v>
      </x:c>
      <x:c r="V205" s="25" t="n">
        <x:v>8419.2</x:v>
      </x:c>
      <x:c r="W205" s="25" t="n">
        <x:v>145702.80000000002</x:v>
      </x:c>
      <x:c r="X205" s="25" t="n">
        <x:v>3642.5700000000006</x:v>
      </x:c>
      <x:c r="Y205" s="25" t="n">
        <x:v>33600</x:v>
      </x:c>
      <x:c r="Z205" s="25" t="n">
        <x:v>-53451.570000000014</x:v>
      </x:c>
      <x:c r="AA205" s="25" t="n">
        <x:v>-87051.57</x:v>
      </x:c>
      <x:c r="AB205" s="25" t="n">
        <x:v>-0.7260347789824855</x:v>
      </x:c>
      <x:c r="AC205" s="25" t="n">
        <x:v>-1.5908205357142862</x:v>
      </x:c>
      <x:c r="AD205" s="25" t="n">
        <x:v>-53451.570000000014</x:v>
      </x:c>
      <x:c r="AE205" s="25" t="n">
        <x:v>109277.1</x:v>
      </x:c>
      <x:c r="AF205" s="25" t="n">
        <x:v>273192.75</x:v>
      </x:c>
      <x:c r="AG205" s="25" t="n">
        <x:v>0.5700535610846188</x:v>
      </x:c>
      <x:c r="AH205" s="25" t="n">
        <x:v>7.506255212677231</x:v>
      </x:c>
      <x:c r="AI205" t="n">
        <x:f>Z205-Y205</x:f>
        <x:v>-87051.57</x:v>
      </x:c>
      <x:c r="AJ205" t="n">
        <x:f>AA205/S205</x:f>
        <x:v>-0.7260347789824855</x:v>
      </x:c>
      <x:c r="AK205" t="n">
        <x:f>Z205/Y205</x:f>
        <x:v>-1.5908205357142862</x:v>
      </x:c>
    </x:row>
    <x:row r="206" ht="15" customHeight="1">
      <x:c r="A206" s="25" t="str">
        <x:v>ONE</x:v>
      </x:c>
      <x:c r="B206" s="25" t="n">
        <x:v>100</x:v>
      </x:c>
      <x:c r="C206" s="25" t="str">
        <x:v>Côte d’Ivoire</x:v>
      </x:c>
      <x:c r="D206" s="25" t="str">
        <x:v>Disaster</x:v>
      </x:c>
      <x:c r="E206" s="25" t="n">
        <x:v>8</x:v>
      </x:c>
      <x:c r="F206" s="25" t="n">
        <x:v>4</x:v>
      </x:c>
      <x:c r="G206" s="25" t="n">
        <x:v>2</x:v>
      </x:c>
      <x:c r="H206" s="25" t="n">
        <x:v>35</x:v>
      </x:c>
      <x:c r="I206" s="25" t="str">
        <x:v>Équilibré</x:v>
      </x:c>
      <x:c r="J206" s="25" t="n">
        <x:v>1</x:v>
      </x:c>
      <x:c r="K206" s="25" t="n">
        <x:v>199900</x:v>
      </x:c>
      <x:c r="L206" s="25" t="n">
        <x:v>0</x:v>
      </x:c>
      <x:c r="M206" s="25" t="n">
        <x:v>199900</x:v>
      </x:c>
      <x:c r="N206" s="25" t="n">
        <x:v>0.18</x:v>
      </x:c>
      <x:c r="O206" s="25" t="n">
        <x:v>1</x:v>
      </x:c>
      <x:c r="P206" s="25" t="n">
        <x:v>0.18</x:v>
      </x:c>
      <x:c r="Q206" s="25" t="n">
        <x:v>0.45</x:v>
      </x:c>
      <x:c r="R206" s="25" t="n">
        <x:v>2.6</x:v>
      </x:c>
      <x:c r="S206" s="25" t="n">
        <x:v>199900</x:v>
      </x:c>
      <x:c r="T206" s="25" t="n">
        <x:v>15992</x:v>
      </x:c>
      <x:c r="U206" s="25" t="n">
        <x:v>9995</x:v>
      </x:c>
      <x:c r="V206" s="25" t="n">
        <x:v>8419.2</x:v>
      </x:c>
      <x:c r="W206" s="25" t="n">
        <x:v>272937.60000000003</x:v>
      </x:c>
      <x:c r="X206" s="25" t="n">
        <x:v>6823.440000000001</x:v>
      </x:c>
      <x:c r="Y206" s="25" t="n">
        <x:v>26400</x:v>
      </x:c>
      <x:c r="Z206" s="25" t="n">
        <x:v>-114267.24000000005</x:v>
      </x:c>
      <x:c r="AA206" s="25" t="n">
        <x:v>-140667.24000000005</x:v>
      </x:c>
      <x:c r="AB206" s="25" t="n">
        <x:v>-0.7036880440220112</x:v>
      </x:c>
      <x:c r="AC206" s="25" t="n">
        <x:v>-4.3283045454545475</x:v>
      </x:c>
      <x:c r="AD206" s="25" t="n">
        <x:v>-114267.24000000005</x:v>
      </x:c>
      <x:c r="AE206" s="25" t="n">
        <x:v>204703.2</x:v>
      </x:c>
      <x:c r="AF206" s="25" t="n">
        <x:v>511758</x:v>
      </x:c>
      <x:c r="AG206" s="25" t="n">
        <x:v>0.6794901105600694</x:v>
      </x:c>
      <x:c r="AH206" s="25" t="n">
        <x:v>7.503751875937969</x:v>
      </x:c>
      <x:c r="AI206" t="n">
        <x:f>Z206-Y206</x:f>
        <x:v>-140667.24000000005</x:v>
      </x:c>
      <x:c r="AJ206" t="n">
        <x:f>AA206/S206</x:f>
        <x:v>-0.7036880440220112</x:v>
      </x:c>
      <x:c r="AK206" t="n">
        <x:f>Z206/Y206</x:f>
        <x:v>-4.3283045454545475</x:v>
      </x:c>
    </x:row>
    <x:row r="207" ht="15" customHeight="1">
      <x:c r="A207" s="25" t="str">
        <x:v>ONE</x:v>
      </x:c>
      <x:c r="B207" s="25" t="n">
        <x:v>100</x:v>
      </x:c>
      <x:c r="C207" s="25" t="str">
        <x:v>Cameroun</x:v>
      </x:c>
      <x:c r="D207" s="25" t="str">
        <x:v>Disaster</x:v>
      </x:c>
      <x:c r="E207" s="25" t="n">
        <x:v>8</x:v>
      </x:c>
      <x:c r="F207" s="25" t="n">
        <x:v>4</x:v>
      </x:c>
      <x:c r="G207" s="25" t="n">
        <x:v>2</x:v>
      </x:c>
      <x:c r="H207" s="25" t="n">
        <x:v>35</x:v>
      </x:c>
      <x:c r="I207" s="25" t="str">
        <x:v>Équilibré</x:v>
      </x:c>
      <x:c r="J207" s="25" t="n">
        <x:v>1</x:v>
      </x:c>
      <x:c r="K207" s="25" t="n">
        <x:v>199900</x:v>
      </x:c>
      <x:c r="L207" s="25" t="n">
        <x:v>0</x:v>
      </x:c>
      <x:c r="M207" s="25" t="n">
        <x:v>199900</x:v>
      </x:c>
      <x:c r="N207" s="25" t="n">
        <x:v>0.18</x:v>
      </x:c>
      <x:c r="O207" s="25" t="n">
        <x:v>1</x:v>
      </x:c>
      <x:c r="P207" s="25" t="n">
        <x:v>0.18</x:v>
      </x:c>
      <x:c r="Q207" s="25" t="n">
        <x:v>0.45</x:v>
      </x:c>
      <x:c r="R207" s="25" t="n">
        <x:v>2.6</x:v>
      </x:c>
      <x:c r="S207" s="25" t="n">
        <x:v>199900</x:v>
      </x:c>
      <x:c r="T207" s="25" t="n">
        <x:v>15992</x:v>
      </x:c>
      <x:c r="U207" s="25" t="n">
        <x:v>9995</x:v>
      </x:c>
      <x:c r="V207" s="25" t="n">
        <x:v>8419.2</x:v>
      </x:c>
      <x:c r="W207" s="25" t="n">
        <x:v>272937.60000000003</x:v>
      </x:c>
      <x:c r="X207" s="25" t="n">
        <x:v>6823.440000000001</x:v>
      </x:c>
      <x:c r="Y207" s="25" t="n">
        <x:v>28800</x:v>
      </x:c>
      <x:c r="Z207" s="25" t="n">
        <x:v>-114267.24000000005</x:v>
      </x:c>
      <x:c r="AA207" s="25" t="n">
        <x:v>-143067.24000000005</x:v>
      </x:c>
      <x:c r="AB207" s="25" t="n">
        <x:v>-0.715694047023512</x:v>
      </x:c>
      <x:c r="AC207" s="25" t="n">
        <x:v>-3.9676125000000018</x:v>
      </x:c>
      <x:c r="AD207" s="25" t="n">
        <x:v>-114267.24000000005</x:v>
      </x:c>
      <x:c r="AE207" s="25" t="n">
        <x:v>204703.2</x:v>
      </x:c>
      <x:c r="AF207" s="25" t="n">
        <x:v>511758</x:v>
      </x:c>
      <x:c r="AG207" s="25" t="n">
        <x:v>0.6677658190003868</x:v>
      </x:c>
      <x:c r="AH207" s="25" t="n">
        <x:v>7.503751875937969</x:v>
      </x:c>
      <x:c r="AI207" t="n">
        <x:f>Z207-Y207</x:f>
        <x:v>-143067.24000000005</x:v>
      </x:c>
      <x:c r="AJ207" t="n">
        <x:f>AA207/S207</x:f>
        <x:v>-0.715694047023512</x:v>
      </x:c>
      <x:c r="AK207" t="n">
        <x:f>Z207/Y207</x:f>
        <x:v>-3.9676125000000018</x:v>
      </x:c>
    </x:row>
    <x:row r="208" ht="15" customHeight="1">
      <x:c r="A208" s="25" t="str">
        <x:v>ONE</x:v>
      </x:c>
      <x:c r="B208" s="25" t="n">
        <x:v>100</x:v>
      </x:c>
      <x:c r="C208" s="25" t="str">
        <x:v>Sénégal</x:v>
      </x:c>
      <x:c r="D208" s="25" t="str">
        <x:v>Disaster</x:v>
      </x:c>
      <x:c r="E208" s="25" t="n">
        <x:v>8</x:v>
      </x:c>
      <x:c r="F208" s="25" t="n">
        <x:v>4</x:v>
      </x:c>
      <x:c r="G208" s="25" t="n">
        <x:v>2</x:v>
      </x:c>
      <x:c r="H208" s="25" t="n">
        <x:v>35</x:v>
      </x:c>
      <x:c r="I208" s="25" t="str">
        <x:v>Équilibré</x:v>
      </x:c>
      <x:c r="J208" s="25" t="n">
        <x:v>1</x:v>
      </x:c>
      <x:c r="K208" s="25" t="n">
        <x:v>199900</x:v>
      </x:c>
      <x:c r="L208" s="25" t="n">
        <x:v>0</x:v>
      </x:c>
      <x:c r="M208" s="25" t="n">
        <x:v>199900</x:v>
      </x:c>
      <x:c r="N208" s="25" t="n">
        <x:v>0.18</x:v>
      </x:c>
      <x:c r="O208" s="25" t="n">
        <x:v>1</x:v>
      </x:c>
      <x:c r="P208" s="25" t="n">
        <x:v>0.18</x:v>
      </x:c>
      <x:c r="Q208" s="25" t="n">
        <x:v>0.45</x:v>
      </x:c>
      <x:c r="R208" s="25" t="n">
        <x:v>2.6</x:v>
      </x:c>
      <x:c r="S208" s="25" t="n">
        <x:v>199900</x:v>
      </x:c>
      <x:c r="T208" s="25" t="n">
        <x:v>15992</x:v>
      </x:c>
      <x:c r="U208" s="25" t="n">
        <x:v>9995</x:v>
      </x:c>
      <x:c r="V208" s="25" t="n">
        <x:v>8419.2</x:v>
      </x:c>
      <x:c r="W208" s="25" t="n">
        <x:v>272937.60000000003</x:v>
      </x:c>
      <x:c r="X208" s="25" t="n">
        <x:v>6823.440000000001</x:v>
      </x:c>
      <x:c r="Y208" s="25" t="n">
        <x:v>36000</x:v>
      </x:c>
      <x:c r="Z208" s="25" t="n">
        <x:v>-114267.24000000005</x:v>
      </x:c>
      <x:c r="AA208" s="25" t="n">
        <x:v>-150267.24000000005</x:v>
      </x:c>
      <x:c r="AB208" s="25" t="n">
        <x:v>-0.7517120560280143</x:v>
      </x:c>
      <x:c r="AC208" s="25" t="n">
        <x:v>-3.1740900000000014</x:v>
      </x:c>
      <x:c r="AD208" s="25" t="n">
        <x:v>-114267.24000000005</x:v>
      </x:c>
      <x:c r="AE208" s="25" t="n">
        <x:v>204703.2</x:v>
      </x:c>
      <x:c r="AF208" s="25" t="n">
        <x:v>511758</x:v>
      </x:c>
      <x:c r="AG208" s="25" t="n">
        <x:v>0.6325929443213393</x:v>
      </x:c>
      <x:c r="AH208" s="25" t="n">
        <x:v>7.503751875937969</x:v>
      </x:c>
      <x:c r="AI208" t="n">
        <x:f>Z208-Y208</x:f>
        <x:v>-150267.24000000005</x:v>
      </x:c>
      <x:c r="AJ208" t="n">
        <x:f>AA208/S208</x:f>
        <x:v>-0.7517120560280143</x:v>
      </x:c>
      <x:c r="AK208" t="n">
        <x:f>Z208/Y208</x:f>
        <x:v>-3.1740900000000014</x:v>
      </x:c>
    </x:row>
    <x:row r="209" ht="15" customHeight="1">
      <x:c r="A209" s="25" t="str">
        <x:v>ONE</x:v>
      </x:c>
      <x:c r="B209" s="25" t="n">
        <x:v>100</x:v>
      </x:c>
      <x:c r="C209" s="25" t="str">
        <x:v>Bénin</x:v>
      </x:c>
      <x:c r="D209" s="25" t="str">
        <x:v>Disaster</x:v>
      </x:c>
      <x:c r="E209" s="25" t="n">
        <x:v>8</x:v>
      </x:c>
      <x:c r="F209" s="25" t="n">
        <x:v>4</x:v>
      </x:c>
      <x:c r="G209" s="25" t="n">
        <x:v>2</x:v>
      </x:c>
      <x:c r="H209" s="25" t="n">
        <x:v>35</x:v>
      </x:c>
      <x:c r="I209" s="25" t="str">
        <x:v>Équilibré</x:v>
      </x:c>
      <x:c r="J209" s="25" t="n">
        <x:v>1</x:v>
      </x:c>
      <x:c r="K209" s="25" t="n">
        <x:v>199900</x:v>
      </x:c>
      <x:c r="L209" s="25" t="n">
        <x:v>0</x:v>
      </x:c>
      <x:c r="M209" s="25" t="n">
        <x:v>199900</x:v>
      </x:c>
      <x:c r="N209" s="25" t="n">
        <x:v>0.18</x:v>
      </x:c>
      <x:c r="O209" s="25" t="n">
        <x:v>1</x:v>
      </x:c>
      <x:c r="P209" s="25" t="n">
        <x:v>0.18</x:v>
      </x:c>
      <x:c r="Q209" s="25" t="n">
        <x:v>0.45</x:v>
      </x:c>
      <x:c r="R209" s="25" t="n">
        <x:v>2.6</x:v>
      </x:c>
      <x:c r="S209" s="25" t="n">
        <x:v>199900</x:v>
      </x:c>
      <x:c r="T209" s="25" t="n">
        <x:v>15992</x:v>
      </x:c>
      <x:c r="U209" s="25" t="n">
        <x:v>9995</x:v>
      </x:c>
      <x:c r="V209" s="25" t="n">
        <x:v>8419.2</x:v>
      </x:c>
      <x:c r="W209" s="25" t="n">
        <x:v>272937.60000000003</x:v>
      </x:c>
      <x:c r="X209" s="25" t="n">
        <x:v>6823.440000000001</x:v>
      </x:c>
      <x:c r="Y209" s="25" t="n">
        <x:v>24000</x:v>
      </x:c>
      <x:c r="Z209" s="25" t="n">
        <x:v>-114267.24000000005</x:v>
      </x:c>
      <x:c r="AA209" s="25" t="n">
        <x:v>-138267.24000000005</x:v>
      </x:c>
      <x:c r="AB209" s="25" t="n">
        <x:v>-0.6916820410205105</x:v>
      </x:c>
      <x:c r="AC209" s="25" t="n">
        <x:v>-4.761135000000002</x:v>
      </x:c>
      <x:c r="AD209" s="25" t="n">
        <x:v>-114267.24000000005</x:v>
      </x:c>
      <x:c r="AE209" s="25" t="n">
        <x:v>204703.2</x:v>
      </x:c>
      <x:c r="AF209" s="25" t="n">
        <x:v>511758</x:v>
      </x:c>
      <x:c r="AG209" s="25" t="n">
        <x:v>0.6912144021197518</x:v>
      </x:c>
      <x:c r="AH209" s="25" t="n">
        <x:v>7.503751875937969</x:v>
      </x:c>
      <x:c r="AI209" t="n">
        <x:f>Z209-Y209</x:f>
        <x:v>-138267.24000000005</x:v>
      </x:c>
      <x:c r="AJ209" t="n">
        <x:f>AA209/S209</x:f>
        <x:v>-0.6916820410205105</x:v>
      </x:c>
      <x:c r="AK209" t="n">
        <x:f>Z209/Y209</x:f>
        <x:v>-4.761135000000002</x:v>
      </x:c>
    </x:row>
    <x:row r="210" ht="15" customHeight="1">
      <x:c r="A210" s="25" t="str">
        <x:v>ONE</x:v>
      </x:c>
      <x:c r="B210" s="25" t="n">
        <x:v>100</x:v>
      </x:c>
      <x:c r="C210" s="25" t="str">
        <x:v>Burkina Faso</x:v>
      </x:c>
      <x:c r="D210" s="25" t="str">
        <x:v>Disaster</x:v>
      </x:c>
      <x:c r="E210" s="25" t="n">
        <x:v>8</x:v>
      </x:c>
      <x:c r="F210" s="25" t="n">
        <x:v>4</x:v>
      </x:c>
      <x:c r="G210" s="25" t="n">
        <x:v>2</x:v>
      </x:c>
      <x:c r="H210" s="25" t="n">
        <x:v>35</x:v>
      </x:c>
      <x:c r="I210" s="25" t="str">
        <x:v>Équilibré</x:v>
      </x:c>
      <x:c r="J210" s="25" t="n">
        <x:v>1</x:v>
      </x:c>
      <x:c r="K210" s="25" t="n">
        <x:v>199900</x:v>
      </x:c>
      <x:c r="L210" s="25" t="n">
        <x:v>0</x:v>
      </x:c>
      <x:c r="M210" s="25" t="n">
        <x:v>199900</x:v>
      </x:c>
      <x:c r="N210" s="25" t="n">
        <x:v>0.18</x:v>
      </x:c>
      <x:c r="O210" s="25" t="n">
        <x:v>1</x:v>
      </x:c>
      <x:c r="P210" s="25" t="n">
        <x:v>0.18</x:v>
      </x:c>
      <x:c r="Q210" s="25" t="n">
        <x:v>0.45</x:v>
      </x:c>
      <x:c r="R210" s="25" t="n">
        <x:v>2.6</x:v>
      </x:c>
      <x:c r="S210" s="25" t="n">
        <x:v>199900</x:v>
      </x:c>
      <x:c r="T210" s="25" t="n">
        <x:v>15992</x:v>
      </x:c>
      <x:c r="U210" s="25" t="n">
        <x:v>9995</x:v>
      </x:c>
      <x:c r="V210" s="25" t="n">
        <x:v>8419.2</x:v>
      </x:c>
      <x:c r="W210" s="25" t="n">
        <x:v>272937.60000000003</x:v>
      </x:c>
      <x:c r="X210" s="25" t="n">
        <x:v>6823.440000000001</x:v>
      </x:c>
      <x:c r="Y210" s="25" t="n">
        <x:v>27600</x:v>
      </x:c>
      <x:c r="Z210" s="25" t="n">
        <x:v>-114267.24000000005</x:v>
      </x:c>
      <x:c r="AA210" s="25" t="n">
        <x:v>-141867.24000000005</x:v>
      </x:c>
      <x:c r="AB210" s="25" t="n">
        <x:v>-0.7096910455227616</x:v>
      </x:c>
      <x:c r="AC210" s="25" t="n">
        <x:v>-4.14011739130435</x:v>
      </x:c>
      <x:c r="AD210" s="25" t="n">
        <x:v>-114267.24000000005</x:v>
      </x:c>
      <x:c r="AE210" s="25" t="n">
        <x:v>204703.2</x:v>
      </x:c>
      <x:c r="AF210" s="25" t="n">
        <x:v>511758</x:v>
      </x:c>
      <x:c r="AG210" s="25" t="n">
        <x:v>0.673627964780228</x:v>
      </x:c>
      <x:c r="AH210" s="25" t="n">
        <x:v>7.503751875937969</x:v>
      </x:c>
      <x:c r="AI210" t="n">
        <x:f>Z210-Y210</x:f>
        <x:v>-141867.24000000005</x:v>
      </x:c>
      <x:c r="AJ210" t="n">
        <x:f>AA210/S210</x:f>
        <x:v>-0.7096910455227616</x:v>
      </x:c>
      <x:c r="AK210" t="n">
        <x:f>Z210/Y210</x:f>
        <x:v>-4.14011739130435</x:v>
      </x:c>
    </x:row>
    <x:row r="211" ht="15" customHeight="1">
      <x:c r="A211" s="25" t="str">
        <x:v>ONE</x:v>
      </x:c>
      <x:c r="B211" s="25" t="n">
        <x:v>100</x:v>
      </x:c>
      <x:c r="C211" s="25" t="str">
        <x:v>Togo</x:v>
      </x:c>
      <x:c r="D211" s="25" t="str">
        <x:v>Disaster</x:v>
      </x:c>
      <x:c r="E211" s="25" t="n">
        <x:v>8</x:v>
      </x:c>
      <x:c r="F211" s="25" t="n">
        <x:v>4</x:v>
      </x:c>
      <x:c r="G211" s="25" t="n">
        <x:v>2</x:v>
      </x:c>
      <x:c r="H211" s="25" t="n">
        <x:v>35</x:v>
      </x:c>
      <x:c r="I211" s="25" t="str">
        <x:v>Équilibré</x:v>
      </x:c>
      <x:c r="J211" s="25" t="n">
        <x:v>1</x:v>
      </x:c>
      <x:c r="K211" s="25" t="n">
        <x:v>199900</x:v>
      </x:c>
      <x:c r="L211" s="25" t="n">
        <x:v>0</x:v>
      </x:c>
      <x:c r="M211" s="25" t="n">
        <x:v>199900</x:v>
      </x:c>
      <x:c r="N211" s="25" t="n">
        <x:v>0.18</x:v>
      </x:c>
      <x:c r="O211" s="25" t="n">
        <x:v>1</x:v>
      </x:c>
      <x:c r="P211" s="25" t="n">
        <x:v>0.18</x:v>
      </x:c>
      <x:c r="Q211" s="25" t="n">
        <x:v>0.45</x:v>
      </x:c>
      <x:c r="R211" s="25" t="n">
        <x:v>2.6</x:v>
      </x:c>
      <x:c r="S211" s="25" t="n">
        <x:v>199900</x:v>
      </x:c>
      <x:c r="T211" s="25" t="n">
        <x:v>15992</x:v>
      </x:c>
      <x:c r="U211" s="25" t="n">
        <x:v>9995</x:v>
      </x:c>
      <x:c r="V211" s="25" t="n">
        <x:v>8419.2</x:v>
      </x:c>
      <x:c r="W211" s="25" t="n">
        <x:v>272937.60000000003</x:v>
      </x:c>
      <x:c r="X211" s="25" t="n">
        <x:v>6823.440000000001</x:v>
      </x:c>
      <x:c r="Y211" s="25" t="n">
        <x:v>33600</x:v>
      </x:c>
      <x:c r="Z211" s="25" t="n">
        <x:v>-114267.24000000005</x:v>
      </x:c>
      <x:c r="AA211" s="25" t="n">
        <x:v>-147867.24000000005</x:v>
      </x:c>
      <x:c r="AB211" s="25" t="n">
        <x:v>-0.7397060530265135</x:v>
      </x:c>
      <x:c r="AC211" s="25" t="n">
        <x:v>-3.400810714285716</x:v>
      </x:c>
      <x:c r="AD211" s="25" t="n">
        <x:v>-114267.24000000005</x:v>
      </x:c>
      <x:c r="AE211" s="25" t="n">
        <x:v>204703.2</x:v>
      </x:c>
      <x:c r="AF211" s="25" t="n">
        <x:v>511758</x:v>
      </x:c>
      <x:c r="AG211" s="25" t="n">
        <x:v>0.6443172358810217</x:v>
      </x:c>
      <x:c r="AH211" s="25" t="n">
        <x:v>7.503751875937969</x:v>
      </x:c>
      <x:c r="AI211" t="n">
        <x:f>Z211-Y211</x:f>
        <x:v>-147867.24000000005</x:v>
      </x:c>
      <x:c r="AJ211" t="n">
        <x:f>AA211/S211</x:f>
        <x:v>-0.7397060530265135</x:v>
      </x:c>
      <x:c r="AK211" t="n">
        <x:f>Z211/Y211</x:f>
        <x:v>-3.400810714285716</x:v>
      </x:c>
    </x:row>
    <x:row r="212" ht="15" customHeight="1">
      <x:c r="A212" s="25" t="str">
        <x:v>FLEX</x:v>
      </x:c>
      <x:c r="B212" s="25" t="n">
        <x:v>5</x:v>
      </x:c>
      <x:c r="C212" s="25" t="str">
        <x:v>Côte d’Ivoire</x:v>
      </x:c>
      <x:c r="D212" s="25" t="str">
        <x:v>Disaster</x:v>
      </x:c>
      <x:c r="E212" s="25" t="n">
        <x:v>8</x:v>
      </x:c>
      <x:c r="F212" s="25" t="n">
        <x:v>4</x:v>
      </x:c>
      <x:c r="G212" s="25" t="n">
        <x:v>3</x:v>
      </x:c>
      <x:c r="H212" s="25" t="n">
        <x:v>35</x:v>
      </x:c>
      <x:c r="I212" s="25" t="str">
        <x:v>Équilibré</x:v>
      </x:c>
      <x:c r="J212" s="25" t="n">
        <x:v>1</x:v>
      </x:c>
      <x:c r="K212" s="25" t="n">
        <x:v>9900</x:v>
      </x:c>
      <x:c r="L212" s="25" t="n">
        <x:v>25900</x:v>
      </x:c>
      <x:c r="M212" s="25" t="n">
        <x:v>35800</x:v>
      </x:c>
      <x:c r="N212" s="25" t="n">
        <x:v>0.36</x:v>
      </x:c>
      <x:c r="O212" s="25" t="n">
        <x:v>0.85</x:v>
      </x:c>
      <x:c r="P212" s="25" t="n">
        <x:v>0.306</x:v>
      </x:c>
      <x:c r="Q212" s="25" t="n">
        <x:v>0.45</x:v>
      </x:c>
      <x:c r="R212" s="25" t="n">
        <x:v>2.6</x:v>
      </x:c>
      <x:c r="S212" s="25" t="n">
        <x:v>17825.4</x:v>
      </x:c>
      <x:c r="T212" s="25" t="n">
        <x:v>1426.0320000000002</x:v>
      </x:c>
      <x:c r="U212" s="25" t="n">
        <x:v>891.2700000000001</x:v>
      </x:c>
      <x:c r="V212" s="25" t="n">
        <x:v>10112.64</x:v>
      </x:c>
      <x:c r="W212" s="25" t="n">
        <x:v>21464.676</x:v>
      </x:c>
      <x:c r="X212" s="25" t="n">
        <x:v>536.6169</x:v>
      </x:c>
      <x:c r="Y212" s="25" t="n">
        <x:v>18479.999999999996</x:v>
      </x:c>
      <x:c r="Z212" s="25" t="n">
        <x:v>-16605.834899999998</x:v>
      </x:c>
      <x:c r="AA212" s="25" t="n">
        <x:v>-35085.834899999994</x:v>
      </x:c>
      <x:c r="AB212" s="25" t="n">
        <x:v>-1.9683056144602642</x:v>
      </x:c>
      <x:c r="AC212" s="25" t="n">
        <x:v>-0.8985841396103896</x:v>
      </x:c>
      <x:c r="AD212" s="25" t="n">
        <x:v>-16605.834899999998</x:v>
      </x:c>
      <x:c r="AE212" s="25" t="n">
        <x:v>16098.507</x:v>
      </x:c>
      <x:c r="AF212" s="25" t="n">
        <x:v>40246.2675</x:v>
      </x:c>
      <x:c r="AG212" s="25" t="n">
        <x:v>-0.8127798434972879</x:v>
      </x:c>
      <x:c r="AH212" s="25" t="n">
        <x:v>4.189944134078212</x:v>
      </x:c>
      <x:c r="AI212" t="n">
        <x:f>Z212-Y212</x:f>
        <x:v>-35085.834899999994</x:v>
      </x:c>
      <x:c r="AJ212" t="n">
        <x:f>AA212/S212</x:f>
        <x:v>-1.9683056144602642</x:v>
      </x:c>
      <x:c r="AK212" t="n">
        <x:f>Z212/Y212</x:f>
        <x:v>-0.8985841396103896</x:v>
      </x:c>
    </x:row>
    <x:row r="213" ht="15" customHeight="1">
      <x:c r="A213" s="25" t="str">
        <x:v>FLEX</x:v>
      </x:c>
      <x:c r="B213" s="25" t="n">
        <x:v>5</x:v>
      </x:c>
      <x:c r="C213" s="25" t="str">
        <x:v>Cameroun</x:v>
      </x:c>
      <x:c r="D213" s="25" t="str">
        <x:v>Disaster</x:v>
      </x:c>
      <x:c r="E213" s="25" t="n">
        <x:v>8</x:v>
      </x:c>
      <x:c r="F213" s="25" t="n">
        <x:v>4</x:v>
      </x:c>
      <x:c r="G213" s="25" t="n">
        <x:v>3</x:v>
      </x:c>
      <x:c r="H213" s="25" t="n">
        <x:v>35</x:v>
      </x:c>
      <x:c r="I213" s="25" t="str">
        <x:v>Équilibré</x:v>
      </x:c>
      <x:c r="J213" s="25" t="n">
        <x:v>1</x:v>
      </x:c>
      <x:c r="K213" s="25" t="n">
        <x:v>9900</x:v>
      </x:c>
      <x:c r="L213" s="25" t="n">
        <x:v>25900</x:v>
      </x:c>
      <x:c r="M213" s="25" t="n">
        <x:v>35800</x:v>
      </x:c>
      <x:c r="N213" s="25" t="n">
        <x:v>0.36</x:v>
      </x:c>
      <x:c r="O213" s="25" t="n">
        <x:v>0.85</x:v>
      </x:c>
      <x:c r="P213" s="25" t="n">
        <x:v>0.306</x:v>
      </x:c>
      <x:c r="Q213" s="25" t="n">
        <x:v>0.45</x:v>
      </x:c>
      <x:c r="R213" s="25" t="n">
        <x:v>2.6</x:v>
      </x:c>
      <x:c r="S213" s="25" t="n">
        <x:v>17825.4</x:v>
      </x:c>
      <x:c r="T213" s="25" t="n">
        <x:v>1426.0320000000002</x:v>
      </x:c>
      <x:c r="U213" s="25" t="n">
        <x:v>891.2700000000001</x:v>
      </x:c>
      <x:c r="V213" s="25" t="n">
        <x:v>10112.64</x:v>
      </x:c>
      <x:c r="W213" s="25" t="n">
        <x:v>21464.676</x:v>
      </x:c>
      <x:c r="X213" s="25" t="n">
        <x:v>536.6169</x:v>
      </x:c>
      <x:c r="Y213" s="25" t="n">
        <x:v>20160</x:v>
      </x:c>
      <x:c r="Z213" s="25" t="n">
        <x:v>-16605.834899999998</x:v>
      </x:c>
      <x:c r="AA213" s="25" t="n">
        <x:v>-36765.8349</x:v>
      </x:c>
      <x:c r="AB213" s="25" t="n">
        <x:v>-2.0625531488774445</x:v>
      </x:c>
      <x:c r="AC213" s="25" t="n">
        <x:v>-0.8237021279761904</x:v>
      </x:c>
      <x:c r="AD213" s="25" t="n">
        <x:v>-16605.834899999998</x:v>
      </x:c>
      <x:c r="AE213" s="25" t="n">
        <x:v>16098.507</x:v>
      </x:c>
      <x:c r="AF213" s="25" t="n">
        <x:v>40246.2675</x:v>
      </x:c>
      <x:c r="AG213" s="25" t="n">
        <x:v>-0.9171373469601869</x:v>
      </x:c>
      <x:c r="AH213" s="25" t="n">
        <x:v>4.189944134078212</x:v>
      </x:c>
      <x:c r="AI213" t="n">
        <x:f>Z213-Y213</x:f>
        <x:v>-36765.8349</x:v>
      </x:c>
      <x:c r="AJ213" t="n">
        <x:f>AA213/S213</x:f>
        <x:v>-2.0625531488774445</x:v>
      </x:c>
      <x:c r="AK213" t="n">
        <x:f>Z213/Y213</x:f>
        <x:v>-0.8237021279761904</x:v>
      </x:c>
    </x:row>
    <x:row r="214" ht="15" customHeight="1">
      <x:c r="A214" s="25" t="str">
        <x:v>FLEX</x:v>
      </x:c>
      <x:c r="B214" s="25" t="n">
        <x:v>5</x:v>
      </x:c>
      <x:c r="C214" s="25" t="str">
        <x:v>Sénégal</x:v>
      </x:c>
      <x:c r="D214" s="25" t="str">
        <x:v>Disaster</x:v>
      </x:c>
      <x:c r="E214" s="25" t="n">
        <x:v>8</x:v>
      </x:c>
      <x:c r="F214" s="25" t="n">
        <x:v>4</x:v>
      </x:c>
      <x:c r="G214" s="25" t="n">
        <x:v>3</x:v>
      </x:c>
      <x:c r="H214" s="25" t="n">
        <x:v>35</x:v>
      </x:c>
      <x:c r="I214" s="25" t="str">
        <x:v>Équilibré</x:v>
      </x:c>
      <x:c r="J214" s="25" t="n">
        <x:v>1</x:v>
      </x:c>
      <x:c r="K214" s="25" t="n">
        <x:v>9900</x:v>
      </x:c>
      <x:c r="L214" s="25" t="n">
        <x:v>25900</x:v>
      </x:c>
      <x:c r="M214" s="25" t="n">
        <x:v>35800</x:v>
      </x:c>
      <x:c r="N214" s="25" t="n">
        <x:v>0.36</x:v>
      </x:c>
      <x:c r="O214" s="25" t="n">
        <x:v>0.85</x:v>
      </x:c>
      <x:c r="P214" s="25" t="n">
        <x:v>0.306</x:v>
      </x:c>
      <x:c r="Q214" s="25" t="n">
        <x:v>0.45</x:v>
      </x:c>
      <x:c r="R214" s="25" t="n">
        <x:v>2.6</x:v>
      </x:c>
      <x:c r="S214" s="25" t="n">
        <x:v>17825.4</x:v>
      </x:c>
      <x:c r="T214" s="25" t="n">
        <x:v>1426.0320000000002</x:v>
      </x:c>
      <x:c r="U214" s="25" t="n">
        <x:v>891.2700000000001</x:v>
      </x:c>
      <x:c r="V214" s="25" t="n">
        <x:v>10112.64</x:v>
      </x:c>
      <x:c r="W214" s="25" t="n">
        <x:v>21464.676</x:v>
      </x:c>
      <x:c r="X214" s="25" t="n">
        <x:v>536.6169</x:v>
      </x:c>
      <x:c r="Y214" s="25" t="n">
        <x:v>25200</x:v>
      </x:c>
      <x:c r="Z214" s="25" t="n">
        <x:v>-16605.834899999998</x:v>
      </x:c>
      <x:c r="AA214" s="25" t="n">
        <x:v>-41805.8349</x:v>
      </x:c>
      <x:c r="AB214" s="25" t="n">
        <x:v>-2.3452957521289846</x:v>
      </x:c>
      <x:c r="AC214" s="25" t="n">
        <x:v>-0.6589617023809523</x:v>
      </x:c>
      <x:c r="AD214" s="25" t="n">
        <x:v>-16605.834899999998</x:v>
      </x:c>
      <x:c r="AE214" s="25" t="n">
        <x:v>16098.507</x:v>
      </x:c>
      <x:c r="AF214" s="25" t="n">
        <x:v>40246.2675</x:v>
      </x:c>
      <x:c r="AG214" s="25" t="n">
        <x:v>-1.2302098573488833</x:v>
      </x:c>
      <x:c r="AH214" s="25" t="n">
        <x:v>4.189944134078212</x:v>
      </x:c>
      <x:c r="AI214" t="n">
        <x:f>Z214-Y214</x:f>
        <x:v>-41805.8349</x:v>
      </x:c>
      <x:c r="AJ214" t="n">
        <x:f>AA214/S214</x:f>
        <x:v>-2.3452957521289846</x:v>
      </x:c>
      <x:c r="AK214" t="n">
        <x:f>Z214/Y214</x:f>
        <x:v>-0.6589617023809523</x:v>
      </x:c>
    </x:row>
    <x:row r="215" ht="15" customHeight="1">
      <x:c r="A215" s="25" t="str">
        <x:v>FLEX</x:v>
      </x:c>
      <x:c r="B215" s="25" t="n">
        <x:v>5</x:v>
      </x:c>
      <x:c r="C215" s="25" t="str">
        <x:v>Bénin</x:v>
      </x:c>
      <x:c r="D215" s="25" t="str">
        <x:v>Disaster</x:v>
      </x:c>
      <x:c r="E215" s="25" t="n">
        <x:v>8</x:v>
      </x:c>
      <x:c r="F215" s="25" t="n">
        <x:v>4</x:v>
      </x:c>
      <x:c r="G215" s="25" t="n">
        <x:v>3</x:v>
      </x:c>
      <x:c r="H215" s="25" t="n">
        <x:v>35</x:v>
      </x:c>
      <x:c r="I215" s="25" t="str">
        <x:v>Équilibré</x:v>
      </x:c>
      <x:c r="J215" s="25" t="n">
        <x:v>1</x:v>
      </x:c>
      <x:c r="K215" s="25" t="n">
        <x:v>9900</x:v>
      </x:c>
      <x:c r="L215" s="25" t="n">
        <x:v>25900</x:v>
      </x:c>
      <x:c r="M215" s="25" t="n">
        <x:v>35800</x:v>
      </x:c>
      <x:c r="N215" s="25" t="n">
        <x:v>0.36</x:v>
      </x:c>
      <x:c r="O215" s="25" t="n">
        <x:v>0.85</x:v>
      </x:c>
      <x:c r="P215" s="25" t="n">
        <x:v>0.306</x:v>
      </x:c>
      <x:c r="Q215" s="25" t="n">
        <x:v>0.45</x:v>
      </x:c>
      <x:c r="R215" s="25" t="n">
        <x:v>2.6</x:v>
      </x:c>
      <x:c r="S215" s="25" t="n">
        <x:v>17825.4</x:v>
      </x:c>
      <x:c r="T215" s="25" t="n">
        <x:v>1426.0320000000002</x:v>
      </x:c>
      <x:c r="U215" s="25" t="n">
        <x:v>891.2700000000001</x:v>
      </x:c>
      <x:c r="V215" s="25" t="n">
        <x:v>10112.64</x:v>
      </x:c>
      <x:c r="W215" s="25" t="n">
        <x:v>21464.676</x:v>
      </x:c>
      <x:c r="X215" s="25" t="n">
        <x:v>536.6169</x:v>
      </x:c>
      <x:c r="Y215" s="25" t="n">
        <x:v>16800</x:v>
      </x:c>
      <x:c r="Z215" s="25" t="n">
        <x:v>-16605.834899999998</x:v>
      </x:c>
      <x:c r="AA215" s="25" t="n">
        <x:v>-33405.8349</x:v>
      </x:c>
      <x:c r="AB215" s="25" t="n">
        <x:v>-1.8740580800430846</x:v>
      </x:c>
      <x:c r="AC215" s="25" t="n">
        <x:v>-0.9884425535714284</x:v>
      </x:c>
      <x:c r="AD215" s="25" t="n">
        <x:v>-16605.834899999998</x:v>
      </x:c>
      <x:c r="AE215" s="25" t="n">
        <x:v>16098.507</x:v>
      </x:c>
      <x:c r="AF215" s="25" t="n">
        <x:v>40246.2675</x:v>
      </x:c>
      <x:c r="AG215" s="25" t="n">
        <x:v>-0.7084223400343894</x:v>
      </x:c>
      <x:c r="AH215" s="25" t="n">
        <x:v>4.189944134078212</x:v>
      </x:c>
      <x:c r="AI215" t="n">
        <x:f>Z215-Y215</x:f>
        <x:v>-33405.8349</x:v>
      </x:c>
      <x:c r="AJ215" t="n">
        <x:f>AA215/S215</x:f>
        <x:v>-1.8740580800430846</x:v>
      </x:c>
      <x:c r="AK215" t="n">
        <x:f>Z215/Y215</x:f>
        <x:v>-0.9884425535714284</x:v>
      </x:c>
    </x:row>
    <x:row r="216" ht="15" customHeight="1">
      <x:c r="A216" s="25" t="str">
        <x:v>FLEX</x:v>
      </x:c>
      <x:c r="B216" s="25" t="n">
        <x:v>5</x:v>
      </x:c>
      <x:c r="C216" s="25" t="str">
        <x:v>Burkina Faso</x:v>
      </x:c>
      <x:c r="D216" s="25" t="str">
        <x:v>Disaster</x:v>
      </x:c>
      <x:c r="E216" s="25" t="n">
        <x:v>8</x:v>
      </x:c>
      <x:c r="F216" s="25" t="n">
        <x:v>4</x:v>
      </x:c>
      <x:c r="G216" s="25" t="n">
        <x:v>3</x:v>
      </x:c>
      <x:c r="H216" s="25" t="n">
        <x:v>35</x:v>
      </x:c>
      <x:c r="I216" s="25" t="str">
        <x:v>Équilibré</x:v>
      </x:c>
      <x:c r="J216" s="25" t="n">
        <x:v>1</x:v>
      </x:c>
      <x:c r="K216" s="25" t="n">
        <x:v>9900</x:v>
      </x:c>
      <x:c r="L216" s="25" t="n">
        <x:v>25900</x:v>
      </x:c>
      <x:c r="M216" s="25" t="n">
        <x:v>35800</x:v>
      </x:c>
      <x:c r="N216" s="25" t="n">
        <x:v>0.36</x:v>
      </x:c>
      <x:c r="O216" s="25" t="n">
        <x:v>0.85</x:v>
      </x:c>
      <x:c r="P216" s="25" t="n">
        <x:v>0.306</x:v>
      </x:c>
      <x:c r="Q216" s="25" t="n">
        <x:v>0.45</x:v>
      </x:c>
      <x:c r="R216" s="25" t="n">
        <x:v>2.6</x:v>
      </x:c>
      <x:c r="S216" s="25" t="n">
        <x:v>17825.4</x:v>
      </x:c>
      <x:c r="T216" s="25" t="n">
        <x:v>1426.0320000000002</x:v>
      </x:c>
      <x:c r="U216" s="25" t="n">
        <x:v>891.2700000000001</x:v>
      </x:c>
      <x:c r="V216" s="25" t="n">
        <x:v>10112.64</x:v>
      </x:c>
      <x:c r="W216" s="25" t="n">
        <x:v>21464.676</x:v>
      </x:c>
      <x:c r="X216" s="25" t="n">
        <x:v>536.6169</x:v>
      </x:c>
      <x:c r="Y216" s="25" t="n">
        <x:v>19319.999999999996</x:v>
      </x:c>
      <x:c r="Z216" s="25" t="n">
        <x:v>-16605.834899999998</x:v>
      </x:c>
      <x:c r="AA216" s="25" t="n">
        <x:v>-35925.834899999994</x:v>
      </x:c>
      <x:c r="AB216" s="25" t="n">
        <x:v>-2.015429381668854</x:v>
      </x:c>
      <x:c r="AC216" s="25" t="n">
        <x:v>-0.8595152639751553</x:v>
      </x:c>
      <x:c r="AD216" s="25" t="n">
        <x:v>-16605.834899999998</x:v>
      </x:c>
      <x:c r="AE216" s="25" t="n">
        <x:v>16098.507</x:v>
      </x:c>
      <x:c r="AF216" s="25" t="n">
        <x:v>40246.2675</x:v>
      </x:c>
      <x:c r="AG216" s="25" t="n">
        <x:v>-0.8649585952287373</x:v>
      </x:c>
      <x:c r="AH216" s="25" t="n">
        <x:v>4.189944134078212</x:v>
      </x:c>
      <x:c r="AI216" t="n">
        <x:f>Z216-Y216</x:f>
        <x:v>-35925.834899999994</x:v>
      </x:c>
      <x:c r="AJ216" t="n">
        <x:f>AA216/S216</x:f>
        <x:v>-2.015429381668854</x:v>
      </x:c>
      <x:c r="AK216" t="n">
        <x:f>Z216/Y216</x:f>
        <x:v>-0.8595152639751553</x:v>
      </x:c>
    </x:row>
    <x:row r="217" ht="15" customHeight="1">
      <x:c r="A217" s="25" t="str">
        <x:v>FLEX</x:v>
      </x:c>
      <x:c r="B217" s="25" t="n">
        <x:v>5</x:v>
      </x:c>
      <x:c r="C217" s="25" t="str">
        <x:v>Togo</x:v>
      </x:c>
      <x:c r="D217" s="25" t="str">
        <x:v>Disaster</x:v>
      </x:c>
      <x:c r="E217" s="25" t="n">
        <x:v>8</x:v>
      </x:c>
      <x:c r="F217" s="25" t="n">
        <x:v>4</x:v>
      </x:c>
      <x:c r="G217" s="25" t="n">
        <x:v>3</x:v>
      </x:c>
      <x:c r="H217" s="25" t="n">
        <x:v>35</x:v>
      </x:c>
      <x:c r="I217" s="25" t="str">
        <x:v>Équilibré</x:v>
      </x:c>
      <x:c r="J217" s="25" t="n">
        <x:v>1</x:v>
      </x:c>
      <x:c r="K217" s="25" t="n">
        <x:v>9900</x:v>
      </x:c>
      <x:c r="L217" s="25" t="n">
        <x:v>25900</x:v>
      </x:c>
      <x:c r="M217" s="25" t="n">
        <x:v>35800</x:v>
      </x:c>
      <x:c r="N217" s="25" t="n">
        <x:v>0.36</x:v>
      </x:c>
      <x:c r="O217" s="25" t="n">
        <x:v>0.85</x:v>
      </x:c>
      <x:c r="P217" s="25" t="n">
        <x:v>0.306</x:v>
      </x:c>
      <x:c r="Q217" s="25" t="n">
        <x:v>0.45</x:v>
      </x:c>
      <x:c r="R217" s="25" t="n">
        <x:v>2.6</x:v>
      </x:c>
      <x:c r="S217" s="25" t="n">
        <x:v>17825.4</x:v>
      </x:c>
      <x:c r="T217" s="25" t="n">
        <x:v>1426.0320000000002</x:v>
      </x:c>
      <x:c r="U217" s="25" t="n">
        <x:v>891.2700000000001</x:v>
      </x:c>
      <x:c r="V217" s="25" t="n">
        <x:v>10112.64</x:v>
      </x:c>
      <x:c r="W217" s="25" t="n">
        <x:v>21464.676</x:v>
      </x:c>
      <x:c r="X217" s="25" t="n">
        <x:v>536.6169</x:v>
      </x:c>
      <x:c r="Y217" s="25" t="n">
        <x:v>23520</x:v>
      </x:c>
      <x:c r="Z217" s="25" t="n">
        <x:v>-16605.834899999998</x:v>
      </x:c>
      <x:c r="AA217" s="25" t="n">
        <x:v>-40125.8349</x:v>
      </x:c>
      <x:c r="AB217" s="25" t="n">
        <x:v>-2.2510482177118045</x:v>
      </x:c>
      <x:c r="AC217" s="25" t="n">
        <x:v>-0.7060303954081631</x:v>
      </x:c>
      <x:c r="AD217" s="25" t="n">
        <x:v>-16605.834899999998</x:v>
      </x:c>
      <x:c r="AE217" s="25" t="n">
        <x:v>16098.507</x:v>
      </x:c>
      <x:c r="AF217" s="25" t="n">
        <x:v>40246.2675</x:v>
      </x:c>
      <x:c r="AG217" s="25" t="n">
        <x:v>-1.1258523538859844</x:v>
      </x:c>
      <x:c r="AH217" s="25" t="n">
        <x:v>4.189944134078212</x:v>
      </x:c>
      <x:c r="AI217" t="n">
        <x:f>Z217-Y217</x:f>
        <x:v>-40125.8349</x:v>
      </x:c>
      <x:c r="AJ217" t="n">
        <x:f>AA217/S217</x:f>
        <x:v>-2.2510482177118045</x:v>
      </x:c>
      <x:c r="AK217" t="n">
        <x:f>Z217/Y217</x:f>
        <x:v>-0.7060303954081631</x:v>
      </x:c>
    </x:row>
    <x:row r="218" ht="15" customHeight="1">
      <x:c r="A218" s="25" t="str">
        <x:v>FLEX</x:v>
      </x:c>
      <x:c r="B218" s="25" t="n">
        <x:v>10</x:v>
      </x:c>
      <x:c r="C218" s="25" t="str">
        <x:v>Côte d’Ivoire</x:v>
      </x:c>
      <x:c r="D218" s="25" t="str">
        <x:v>Disaster</x:v>
      </x:c>
      <x:c r="E218" s="25" t="n">
        <x:v>8</x:v>
      </x:c>
      <x:c r="F218" s="25" t="n">
        <x:v>4</x:v>
      </x:c>
      <x:c r="G218" s="25" t="n">
        <x:v>3</x:v>
      </x:c>
      <x:c r="H218" s="25" t="n">
        <x:v>35</x:v>
      </x:c>
      <x:c r="I218" s="25" t="str">
        <x:v>Équilibré</x:v>
      </x:c>
      <x:c r="J218" s="25" t="n">
        <x:v>1</x:v>
      </x:c>
      <x:c r="K218" s="25" t="n">
        <x:v>14900</x:v>
      </x:c>
      <x:c r="L218" s="25" t="n">
        <x:v>39900</x:v>
      </x:c>
      <x:c r="M218" s="25" t="n">
        <x:v>54800</x:v>
      </x:c>
      <x:c r="N218" s="25" t="n">
        <x:v>0.36</x:v>
      </x:c>
      <x:c r="O218" s="25" t="n">
        <x:v>0.85</x:v>
      </x:c>
      <x:c r="P218" s="25" t="n">
        <x:v>0.306</x:v>
      </x:c>
      <x:c r="Q218" s="25" t="n">
        <x:v>0.45</x:v>
      </x:c>
      <x:c r="R218" s="25" t="n">
        <x:v>2.6</x:v>
      </x:c>
      <x:c r="S218" s="25" t="n">
        <x:v>27109.4</x:v>
      </x:c>
      <x:c r="T218" s="25" t="n">
        <x:v>2168.752</x:v>
      </x:c>
      <x:c r="U218" s="25" t="n">
        <x:v>1355.4700000000003</x:v>
      </x:c>
      <x:c r="V218" s="25" t="n">
        <x:v>10112.64</x:v>
      </x:c>
      <x:c r="W218" s="25" t="n">
        <x:v>42929.352</x:v>
      </x:c>
      <x:c r="X218" s="25" t="n">
        <x:v>1073.2338</x:v>
      </x:c>
      <x:c r="Y218" s="25" t="n">
        <x:v>18479.999999999996</x:v>
      </x:c>
      <x:c r="Z218" s="25" t="n">
        <x:v>-30530.0478</x:v>
      </x:c>
      <x:c r="AA218" s="25" t="n">
        <x:v>-49010.0478</x:v>
      </x:c>
      <x:c r="AB218" s="25" t="n">
        <x:v>-1.8078617675049982</x:v>
      </x:c>
      <x:c r="AC218" s="25" t="n">
        <x:v>-1.652058863636364</x:v>
      </x:c>
      <x:c r="AD218" s="25" t="n">
        <x:v>-30530.0478</x:v>
      </x:c>
      <x:c r="AE218" s="25" t="n">
        <x:v>32197.014</x:v>
      </x:c>
      <x:c r="AF218" s="25" t="n">
        <x:v>80492.535</x:v>
      </x:c>
      <x:c r="AG218" s="25" t="n">
        <x:v>-0.1555256645849207</x:v>
      </x:c>
      <x:c r="AH218" s="25" t="n">
        <x:v>4.37956204379562</x:v>
      </x:c>
      <x:c r="AI218" t="n">
        <x:f>Z218-Y218</x:f>
        <x:v>-49010.0478</x:v>
      </x:c>
      <x:c r="AJ218" t="n">
        <x:f>AA218/S218</x:f>
        <x:v>-1.8078617675049982</x:v>
      </x:c>
      <x:c r="AK218" t="n">
        <x:f>Z218/Y218</x:f>
        <x:v>-1.652058863636364</x:v>
      </x:c>
    </x:row>
    <x:row r="219" ht="15" customHeight="1">
      <x:c r="A219" s="25" t="str">
        <x:v>FLEX</x:v>
      </x:c>
      <x:c r="B219" s="25" t="n">
        <x:v>10</x:v>
      </x:c>
      <x:c r="C219" s="25" t="str">
        <x:v>Cameroun</x:v>
      </x:c>
      <x:c r="D219" s="25" t="str">
        <x:v>Disaster</x:v>
      </x:c>
      <x:c r="E219" s="25" t="n">
        <x:v>8</x:v>
      </x:c>
      <x:c r="F219" s="25" t="n">
        <x:v>4</x:v>
      </x:c>
      <x:c r="G219" s="25" t="n">
        <x:v>3</x:v>
      </x:c>
      <x:c r="H219" s="25" t="n">
        <x:v>35</x:v>
      </x:c>
      <x:c r="I219" s="25" t="str">
        <x:v>Équilibré</x:v>
      </x:c>
      <x:c r="J219" s="25" t="n">
        <x:v>1</x:v>
      </x:c>
      <x:c r="K219" s="25" t="n">
        <x:v>14900</x:v>
      </x:c>
      <x:c r="L219" s="25" t="n">
        <x:v>39900</x:v>
      </x:c>
      <x:c r="M219" s="25" t="n">
        <x:v>54800</x:v>
      </x:c>
      <x:c r="N219" s="25" t="n">
        <x:v>0.36</x:v>
      </x:c>
      <x:c r="O219" s="25" t="n">
        <x:v>0.85</x:v>
      </x:c>
      <x:c r="P219" s="25" t="n">
        <x:v>0.306</x:v>
      </x:c>
      <x:c r="Q219" s="25" t="n">
        <x:v>0.45</x:v>
      </x:c>
      <x:c r="R219" s="25" t="n">
        <x:v>2.6</x:v>
      </x:c>
      <x:c r="S219" s="25" t="n">
        <x:v>27109.4</x:v>
      </x:c>
      <x:c r="T219" s="25" t="n">
        <x:v>2168.752</x:v>
      </x:c>
      <x:c r="U219" s="25" t="n">
        <x:v>1355.4700000000003</x:v>
      </x:c>
      <x:c r="V219" s="25" t="n">
        <x:v>10112.64</x:v>
      </x:c>
      <x:c r="W219" s="25" t="n">
        <x:v>42929.352</x:v>
      </x:c>
      <x:c r="X219" s="25" t="n">
        <x:v>1073.2338</x:v>
      </x:c>
      <x:c r="Y219" s="25" t="n">
        <x:v>20160</x:v>
      </x:c>
      <x:c r="Z219" s="25" t="n">
        <x:v>-30530.0478</x:v>
      </x:c>
      <x:c r="AA219" s="25" t="n">
        <x:v>-50690.0478</x:v>
      </x:c>
      <x:c r="AB219" s="25" t="n">
        <x:v>-1.8698328919120304</x:v>
      </x:c>
      <x:c r="AC219" s="25" t="n">
        <x:v>-1.5143872916666667</x:v>
      </x:c>
      <x:c r="AD219" s="25" t="n">
        <x:v>-30530.0478</x:v>
      </x:c>
      <x:c r="AE219" s="25" t="n">
        <x:v>32197.014</x:v>
      </x:c>
      <x:c r="AF219" s="25" t="n">
        <x:v>80492.535</x:v>
      </x:c>
      <x:c r="AG219" s="25" t="n">
        <x:v>-0.2077044163163702</x:v>
      </x:c>
      <x:c r="AH219" s="25" t="n">
        <x:v>4.37956204379562</x:v>
      </x:c>
      <x:c r="AI219" t="n">
        <x:f>Z219-Y219</x:f>
        <x:v>-50690.0478</x:v>
      </x:c>
      <x:c r="AJ219" t="n">
        <x:f>AA219/S219</x:f>
        <x:v>-1.8698328919120304</x:v>
      </x:c>
      <x:c r="AK219" t="n">
        <x:f>Z219/Y219</x:f>
        <x:v>-1.5143872916666667</x:v>
      </x:c>
    </x:row>
    <x:row r="220" ht="15" customHeight="1">
      <x:c r="A220" s="25" t="str">
        <x:v>FLEX</x:v>
      </x:c>
      <x:c r="B220" s="25" t="n">
        <x:v>10</x:v>
      </x:c>
      <x:c r="C220" s="25" t="str">
        <x:v>Sénégal</x:v>
      </x:c>
      <x:c r="D220" s="25" t="str">
        <x:v>Disaster</x:v>
      </x:c>
      <x:c r="E220" s="25" t="n">
        <x:v>8</x:v>
      </x:c>
      <x:c r="F220" s="25" t="n">
        <x:v>4</x:v>
      </x:c>
      <x:c r="G220" s="25" t="n">
        <x:v>3</x:v>
      </x:c>
      <x:c r="H220" s="25" t="n">
        <x:v>35</x:v>
      </x:c>
      <x:c r="I220" s="25" t="str">
        <x:v>Équilibré</x:v>
      </x:c>
      <x:c r="J220" s="25" t="n">
        <x:v>1</x:v>
      </x:c>
      <x:c r="K220" s="25" t="n">
        <x:v>14900</x:v>
      </x:c>
      <x:c r="L220" s="25" t="n">
        <x:v>39900</x:v>
      </x:c>
      <x:c r="M220" s="25" t="n">
        <x:v>54800</x:v>
      </x:c>
      <x:c r="N220" s="25" t="n">
        <x:v>0.36</x:v>
      </x:c>
      <x:c r="O220" s="25" t="n">
        <x:v>0.85</x:v>
      </x:c>
      <x:c r="P220" s="25" t="n">
        <x:v>0.306</x:v>
      </x:c>
      <x:c r="Q220" s="25" t="n">
        <x:v>0.45</x:v>
      </x:c>
      <x:c r="R220" s="25" t="n">
        <x:v>2.6</x:v>
      </x:c>
      <x:c r="S220" s="25" t="n">
        <x:v>27109.4</x:v>
      </x:c>
      <x:c r="T220" s="25" t="n">
        <x:v>2168.752</x:v>
      </x:c>
      <x:c r="U220" s="25" t="n">
        <x:v>1355.4700000000003</x:v>
      </x:c>
      <x:c r="V220" s="25" t="n">
        <x:v>10112.64</x:v>
      </x:c>
      <x:c r="W220" s="25" t="n">
        <x:v>42929.352</x:v>
      </x:c>
      <x:c r="X220" s="25" t="n">
        <x:v>1073.2338</x:v>
      </x:c>
      <x:c r="Y220" s="25" t="n">
        <x:v>25200</x:v>
      </x:c>
      <x:c r="Z220" s="25" t="n">
        <x:v>-30530.0478</x:v>
      </x:c>
      <x:c r="AA220" s="25" t="n">
        <x:v>-55730.0478</x:v>
      </x:c>
      <x:c r="AB220" s="25" t="n">
        <x:v>-2.055746265133127</x:v>
      </x:c>
      <x:c r="AC220" s="25" t="n">
        <x:v>-1.2115098333333334</x:v>
      </x:c>
      <x:c r="AD220" s="25" t="n">
        <x:v>-30530.0478</x:v>
      </x:c>
      <x:c r="AE220" s="25" t="n">
        <x:v>32197.014</x:v>
      </x:c>
      <x:c r="AF220" s="25" t="n">
        <x:v>80492.535</x:v>
      </x:c>
      <x:c r="AG220" s="25" t="n">
        <x:v>-0.3642406715107184</x:v>
      </x:c>
      <x:c r="AH220" s="25" t="n">
        <x:v>4.37956204379562</x:v>
      </x:c>
      <x:c r="AI220" t="n">
        <x:f>Z220-Y220</x:f>
        <x:v>-55730.0478</x:v>
      </x:c>
      <x:c r="AJ220" t="n">
        <x:f>AA220/S220</x:f>
        <x:v>-2.055746265133127</x:v>
      </x:c>
      <x:c r="AK220" t="n">
        <x:f>Z220/Y220</x:f>
        <x:v>-1.2115098333333334</x:v>
      </x:c>
    </x:row>
    <x:row r="221" ht="15" customHeight="1">
      <x:c r="A221" s="25" t="str">
        <x:v>FLEX</x:v>
      </x:c>
      <x:c r="B221" s="25" t="n">
        <x:v>10</x:v>
      </x:c>
      <x:c r="C221" s="25" t="str">
        <x:v>Bénin</x:v>
      </x:c>
      <x:c r="D221" s="25" t="str">
        <x:v>Disaster</x:v>
      </x:c>
      <x:c r="E221" s="25" t="n">
        <x:v>8</x:v>
      </x:c>
      <x:c r="F221" s="25" t="n">
        <x:v>4</x:v>
      </x:c>
      <x:c r="G221" s="25" t="n">
        <x:v>3</x:v>
      </x:c>
      <x:c r="H221" s="25" t="n">
        <x:v>35</x:v>
      </x:c>
      <x:c r="I221" s="25" t="str">
        <x:v>Équilibré</x:v>
      </x:c>
      <x:c r="J221" s="25" t="n">
        <x:v>1</x:v>
      </x:c>
      <x:c r="K221" s="25" t="n">
        <x:v>14900</x:v>
      </x:c>
      <x:c r="L221" s="25" t="n">
        <x:v>39900</x:v>
      </x:c>
      <x:c r="M221" s="25" t="n">
        <x:v>54800</x:v>
      </x:c>
      <x:c r="N221" s="25" t="n">
        <x:v>0.36</x:v>
      </x:c>
      <x:c r="O221" s="25" t="n">
        <x:v>0.85</x:v>
      </x:c>
      <x:c r="P221" s="25" t="n">
        <x:v>0.306</x:v>
      </x:c>
      <x:c r="Q221" s="25" t="n">
        <x:v>0.45</x:v>
      </x:c>
      <x:c r="R221" s="25" t="n">
        <x:v>2.6</x:v>
      </x:c>
      <x:c r="S221" s="25" t="n">
        <x:v>27109.4</x:v>
      </x:c>
      <x:c r="T221" s="25" t="n">
        <x:v>2168.752</x:v>
      </x:c>
      <x:c r="U221" s="25" t="n">
        <x:v>1355.4700000000003</x:v>
      </x:c>
      <x:c r="V221" s="25" t="n">
        <x:v>10112.64</x:v>
      </x:c>
      <x:c r="W221" s="25" t="n">
        <x:v>42929.352</x:v>
      </x:c>
      <x:c r="X221" s="25" t="n">
        <x:v>1073.2338</x:v>
      </x:c>
      <x:c r="Y221" s="25" t="n">
        <x:v>16800</x:v>
      </x:c>
      <x:c r="Z221" s="25" t="n">
        <x:v>-30530.0478</x:v>
      </x:c>
      <x:c r="AA221" s="25" t="n">
        <x:v>-47330.0478</x:v>
      </x:c>
      <x:c r="AB221" s="25" t="n">
        <x:v>-1.745890643097966</x:v>
      </x:c>
      <x:c r="AC221" s="25" t="n">
        <x:v>-1.81726475</x:v>
      </x:c>
      <x:c r="AD221" s="25" t="n">
        <x:v>-30530.0478</x:v>
      </x:c>
      <x:c r="AE221" s="25" t="n">
        <x:v>32197.014</x:v>
      </x:c>
      <x:c r="AF221" s="25" t="n">
        <x:v>80492.535</x:v>
      </x:c>
      <x:c r="AG221" s="25" t="n">
        <x:v>-0.10334691285347143</x:v>
      </x:c>
      <x:c r="AH221" s="25" t="n">
        <x:v>4.37956204379562</x:v>
      </x:c>
      <x:c r="AI221" t="n">
        <x:f>Z221-Y221</x:f>
        <x:v>-47330.0478</x:v>
      </x:c>
      <x:c r="AJ221" t="n">
        <x:f>AA221/S221</x:f>
        <x:v>-1.745890643097966</x:v>
      </x:c>
      <x:c r="AK221" t="n">
        <x:f>Z221/Y221</x:f>
        <x:v>-1.81726475</x:v>
      </x:c>
    </x:row>
    <x:row r="222" ht="15" customHeight="1">
      <x:c r="A222" s="25" t="str">
        <x:v>FLEX</x:v>
      </x:c>
      <x:c r="B222" s="25" t="n">
        <x:v>10</x:v>
      </x:c>
      <x:c r="C222" s="25" t="str">
        <x:v>Burkina Faso</x:v>
      </x:c>
      <x:c r="D222" s="25" t="str">
        <x:v>Disaster</x:v>
      </x:c>
      <x:c r="E222" s="25" t="n">
        <x:v>8</x:v>
      </x:c>
      <x:c r="F222" s="25" t="n">
        <x:v>4</x:v>
      </x:c>
      <x:c r="G222" s="25" t="n">
        <x:v>3</x:v>
      </x:c>
      <x:c r="H222" s="25" t="n">
        <x:v>35</x:v>
      </x:c>
      <x:c r="I222" s="25" t="str">
        <x:v>Équilibré</x:v>
      </x:c>
      <x:c r="J222" s="25" t="n">
        <x:v>1</x:v>
      </x:c>
      <x:c r="K222" s="25" t="n">
        <x:v>14900</x:v>
      </x:c>
      <x:c r="L222" s="25" t="n">
        <x:v>39900</x:v>
      </x:c>
      <x:c r="M222" s="25" t="n">
        <x:v>54800</x:v>
      </x:c>
      <x:c r="N222" s="25" t="n">
        <x:v>0.36</x:v>
      </x:c>
      <x:c r="O222" s="25" t="n">
        <x:v>0.85</x:v>
      </x:c>
      <x:c r="P222" s="25" t="n">
        <x:v>0.306</x:v>
      </x:c>
      <x:c r="Q222" s="25" t="n">
        <x:v>0.45</x:v>
      </x:c>
      <x:c r="R222" s="25" t="n">
        <x:v>2.6</x:v>
      </x:c>
      <x:c r="S222" s="25" t="n">
        <x:v>27109.4</x:v>
      </x:c>
      <x:c r="T222" s="25" t="n">
        <x:v>2168.752</x:v>
      </x:c>
      <x:c r="U222" s="25" t="n">
        <x:v>1355.4700000000003</x:v>
      </x:c>
      <x:c r="V222" s="25" t="n">
        <x:v>10112.64</x:v>
      </x:c>
      <x:c r="W222" s="25" t="n">
        <x:v>42929.352</x:v>
      </x:c>
      <x:c r="X222" s="25" t="n">
        <x:v>1073.2338</x:v>
      </x:c>
      <x:c r="Y222" s="25" t="n">
        <x:v>19319.999999999996</x:v>
      </x:c>
      <x:c r="Z222" s="25" t="n">
        <x:v>-30530.0478</x:v>
      </x:c>
      <x:c r="AA222" s="25" t="n">
        <x:v>-49850.0478</x:v>
      </x:c>
      <x:c r="AB222" s="25" t="n">
        <x:v>-1.8388473297085144</x:v>
      </x:c>
      <x:c r="AC222" s="25" t="n">
        <x:v>-1.5802302173913048</x:v>
      </x:c>
      <x:c r="AD222" s="25" t="n">
        <x:v>-30530.0478</x:v>
      </x:c>
      <x:c r="AE222" s="25" t="n">
        <x:v>32197.014</x:v>
      </x:c>
      <x:c r="AF222" s="25" t="n">
        <x:v>80492.535</x:v>
      </x:c>
      <x:c r="AG222" s="25" t="n">
        <x:v>-0.1816150404506454</x:v>
      </x:c>
      <x:c r="AH222" s="25" t="n">
        <x:v>4.37956204379562</x:v>
      </x:c>
      <x:c r="AI222" t="n">
        <x:f>Z222-Y222</x:f>
        <x:v>-49850.0478</x:v>
      </x:c>
      <x:c r="AJ222" t="n">
        <x:f>AA222/S222</x:f>
        <x:v>-1.8388473297085144</x:v>
      </x:c>
      <x:c r="AK222" t="n">
        <x:f>Z222/Y222</x:f>
        <x:v>-1.5802302173913048</x:v>
      </x:c>
    </x:row>
    <x:row r="223" ht="15" customHeight="1">
      <x:c r="A223" s="25" t="str">
        <x:v>FLEX</x:v>
      </x:c>
      <x:c r="B223" s="25" t="n">
        <x:v>10</x:v>
      </x:c>
      <x:c r="C223" s="25" t="str">
        <x:v>Togo</x:v>
      </x:c>
      <x:c r="D223" s="25" t="str">
        <x:v>Disaster</x:v>
      </x:c>
      <x:c r="E223" s="25" t="n">
        <x:v>8</x:v>
      </x:c>
      <x:c r="F223" s="25" t="n">
        <x:v>4</x:v>
      </x:c>
      <x:c r="G223" s="25" t="n">
        <x:v>3</x:v>
      </x:c>
      <x:c r="H223" s="25" t="n">
        <x:v>35</x:v>
      </x:c>
      <x:c r="I223" s="25" t="str">
        <x:v>Équilibré</x:v>
      </x:c>
      <x:c r="J223" s="25" t="n">
        <x:v>1</x:v>
      </x:c>
      <x:c r="K223" s="25" t="n">
        <x:v>14900</x:v>
      </x:c>
      <x:c r="L223" s="25" t="n">
        <x:v>39900</x:v>
      </x:c>
      <x:c r="M223" s="25" t="n">
        <x:v>54800</x:v>
      </x:c>
      <x:c r="N223" s="25" t="n">
        <x:v>0.36</x:v>
      </x:c>
      <x:c r="O223" s="25" t="n">
        <x:v>0.85</x:v>
      </x:c>
      <x:c r="P223" s="25" t="n">
        <x:v>0.306</x:v>
      </x:c>
      <x:c r="Q223" s="25" t="n">
        <x:v>0.45</x:v>
      </x:c>
      <x:c r="R223" s="25" t="n">
        <x:v>2.6</x:v>
      </x:c>
      <x:c r="S223" s="25" t="n">
        <x:v>27109.4</x:v>
      </x:c>
      <x:c r="T223" s="25" t="n">
        <x:v>2168.752</x:v>
      </x:c>
      <x:c r="U223" s="25" t="n">
        <x:v>1355.4700000000003</x:v>
      </x:c>
      <x:c r="V223" s="25" t="n">
        <x:v>10112.64</x:v>
      </x:c>
      <x:c r="W223" s="25" t="n">
        <x:v>42929.352</x:v>
      </x:c>
      <x:c r="X223" s="25" t="n">
        <x:v>1073.2338</x:v>
      </x:c>
      <x:c r="Y223" s="25" t="n">
        <x:v>23520</x:v>
      </x:c>
      <x:c r="Z223" s="25" t="n">
        <x:v>-30530.0478</x:v>
      </x:c>
      <x:c r="AA223" s="25" t="n">
        <x:v>-54050.0478</x:v>
      </x:c>
      <x:c r="AB223" s="25" t="n">
        <x:v>-1.9937751407260949</x:v>
      </x:c>
      <x:c r="AC223" s="25" t="n">
        <x:v>-1.29804625</x:v>
      </x:c>
      <x:c r="AD223" s="25" t="n">
        <x:v>-30530.0478</x:v>
      </x:c>
      <x:c r="AE223" s="25" t="n">
        <x:v>32197.014</x:v>
      </x:c>
      <x:c r="AF223" s="25" t="n">
        <x:v>80492.535</x:v>
      </x:c>
      <x:c r="AG223" s="25" t="n">
        <x:v>-0.31206191977926895</x:v>
      </x:c>
      <x:c r="AH223" s="25" t="n">
        <x:v>4.37956204379562</x:v>
      </x:c>
      <x:c r="AI223" t="n">
        <x:f>Z223-Y223</x:f>
        <x:v>-54050.0478</x:v>
      </x:c>
      <x:c r="AJ223" t="n">
        <x:f>AA223/S223</x:f>
        <x:v>-1.9937751407260949</x:v>
      </x:c>
      <x:c r="AK223" t="n">
        <x:f>Z223/Y223</x:f>
        <x:v>-1.29804625</x:v>
      </x:c>
    </x:row>
    <x:row r="224" ht="15" customHeight="1">
      <x:c r="A224" s="25" t="str">
        <x:v>FLEX</x:v>
      </x:c>
      <x:c r="B224" s="25" t="n">
        <x:v>25</x:v>
      </x:c>
      <x:c r="C224" s="25" t="str">
        <x:v>Côte d’Ivoire</x:v>
      </x:c>
      <x:c r="D224" s="25" t="str">
        <x:v>Disaster</x:v>
      </x:c>
      <x:c r="E224" s="25" t="n">
        <x:v>8</x:v>
      </x:c>
      <x:c r="F224" s="25" t="n">
        <x:v>4</x:v>
      </x:c>
      <x:c r="G224" s="25" t="n">
        <x:v>3</x:v>
      </x:c>
      <x:c r="H224" s="25" t="n">
        <x:v>35</x:v>
      </x:c>
      <x:c r="I224" s="25" t="str">
        <x:v>Équilibré</x:v>
      </x:c>
      <x:c r="J224" s="25" t="n">
        <x:v>1</x:v>
      </x:c>
      <x:c r="K224" s="25" t="n">
        <x:v>24900</x:v>
      </x:c>
      <x:c r="L224" s="25" t="n">
        <x:v>109900</x:v>
      </x:c>
      <x:c r="M224" s="25" t="n">
        <x:v>134800</x:v>
      </x:c>
      <x:c r="N224" s="25" t="n">
        <x:v>0.36</x:v>
      </x:c>
      <x:c r="O224" s="25" t="n">
        <x:v>0.85</x:v>
      </x:c>
      <x:c r="P224" s="25" t="n">
        <x:v>0.306</x:v>
      </x:c>
      <x:c r="Q224" s="25" t="n">
        <x:v>0.45</x:v>
      </x:c>
      <x:c r="R224" s="25" t="n">
        <x:v>2.6</x:v>
      </x:c>
      <x:c r="S224" s="25" t="n">
        <x:v>58529.4</x:v>
      </x:c>
      <x:c r="T224" s="25" t="n">
        <x:v>4682.352</x:v>
      </x:c>
      <x:c r="U224" s="25" t="n">
        <x:v>2926.4700000000003</x:v>
      </x:c>
      <x:c r="V224" s="25" t="n">
        <x:v>10112.64</x:v>
      </x:c>
      <x:c r="W224" s="25" t="n">
        <x:v>107323.37999999999</x:v>
      </x:c>
      <x:c r="X224" s="25" t="n">
        <x:v>2683.0845</x:v>
      </x:c>
      <x:c r="Y224" s="25" t="n">
        <x:v>18479.999999999996</x:v>
      </x:c>
      <x:c r="Z224" s="25" t="n">
        <x:v>-69198.52649999998</x:v>
      </x:c>
      <x:c r="AA224" s="25" t="n">
        <x:v>-87678.52649999998</x:v>
      </x:c>
      <x:c r="AB224" s="25" t="n">
        <x:v>-1.4980253769900251</x:v>
      </x:c>
      <x:c r="AC224" s="25" t="n">
        <x:v>-3.744509009740259</x:v>
      </x:c>
      <x:c r="AD224" s="25" t="n">
        <x:v>-69198.52649999998</x:v>
      </x:c>
      <x:c r="AE224" s="25" t="n">
        <x:v>80492.53499999999</x:v>
      </x:c>
      <x:c r="AF224" s="25" t="n">
        <x:v>201231.33749999997</x:v>
      </x:c>
      <x:c r="AG224" s="25" t="n">
        <x:v>0.277391412756475</x:v>
      </x:c>
      <x:c r="AH224" s="25" t="n">
        <x:v>4.005934718100891</x:v>
      </x:c>
      <x:c r="AI224" t="n">
        <x:f>Z224-Y224</x:f>
        <x:v>-87678.52649999998</x:v>
      </x:c>
      <x:c r="AJ224" t="n">
        <x:f>AA224/S224</x:f>
        <x:v>-1.4980253769900251</x:v>
      </x:c>
      <x:c r="AK224" t="n">
        <x:f>Z224/Y224</x:f>
        <x:v>-3.744509009740259</x:v>
      </x:c>
    </x:row>
    <x:row r="225" ht="15" customHeight="1">
      <x:c r="A225" s="25" t="str">
        <x:v>FLEX</x:v>
      </x:c>
      <x:c r="B225" s="25" t="n">
        <x:v>25</x:v>
      </x:c>
      <x:c r="C225" s="25" t="str">
        <x:v>Cameroun</x:v>
      </x:c>
      <x:c r="D225" s="25" t="str">
        <x:v>Disaster</x:v>
      </x:c>
      <x:c r="E225" s="25" t="n">
        <x:v>8</x:v>
      </x:c>
      <x:c r="F225" s="25" t="n">
        <x:v>4</x:v>
      </x:c>
      <x:c r="G225" s="25" t="n">
        <x:v>3</x:v>
      </x:c>
      <x:c r="H225" s="25" t="n">
        <x:v>35</x:v>
      </x:c>
      <x:c r="I225" s="25" t="str">
        <x:v>Équilibré</x:v>
      </x:c>
      <x:c r="J225" s="25" t="n">
        <x:v>1</x:v>
      </x:c>
      <x:c r="K225" s="25" t="n">
        <x:v>24900</x:v>
      </x:c>
      <x:c r="L225" s="25" t="n">
        <x:v>109900</x:v>
      </x:c>
      <x:c r="M225" s="25" t="n">
        <x:v>134800</x:v>
      </x:c>
      <x:c r="N225" s="25" t="n">
        <x:v>0.36</x:v>
      </x:c>
      <x:c r="O225" s="25" t="n">
        <x:v>0.85</x:v>
      </x:c>
      <x:c r="P225" s="25" t="n">
        <x:v>0.306</x:v>
      </x:c>
      <x:c r="Q225" s="25" t="n">
        <x:v>0.45</x:v>
      </x:c>
      <x:c r="R225" s="25" t="n">
        <x:v>2.6</x:v>
      </x:c>
      <x:c r="S225" s="25" t="n">
        <x:v>58529.4</x:v>
      </x:c>
      <x:c r="T225" s="25" t="n">
        <x:v>4682.352</x:v>
      </x:c>
      <x:c r="U225" s="25" t="n">
        <x:v>2926.4700000000003</x:v>
      </x:c>
      <x:c r="V225" s="25" t="n">
        <x:v>10112.64</x:v>
      </x:c>
      <x:c r="W225" s="25" t="n">
        <x:v>107323.37999999999</x:v>
      </x:c>
      <x:c r="X225" s="25" t="n">
        <x:v>2683.0845</x:v>
      </x:c>
      <x:c r="Y225" s="25" t="n">
        <x:v>20160</x:v>
      </x:c>
      <x:c r="Z225" s="25" t="n">
        <x:v>-69198.52649999998</x:v>
      </x:c>
      <x:c r="AA225" s="25" t="n">
        <x:v>-89358.52649999998</x:v>
      </x:c>
      <x:c r="AB225" s="25" t="n">
        <x:v>-1.5267289003475173</x:v>
      </x:c>
      <x:c r="AC225" s="25" t="n">
        <x:v>-3.4324665922619038</x:v>
      </x:c>
      <x:c r="AD225" s="25" t="n">
        <x:v>-69198.52649999998</x:v>
      </x:c>
      <x:c r="AE225" s="25" t="n">
        <x:v>80492.53499999999</x:v>
      </x:c>
      <x:c r="AF225" s="25" t="n">
        <x:v>201231.33749999997</x:v>
      </x:c>
      <x:c r="AG225" s="25" t="n">
        <x:v>0.2565199120638952</x:v>
      </x:c>
      <x:c r="AH225" s="25" t="n">
        <x:v>4.005934718100891</x:v>
      </x:c>
      <x:c r="AI225" t="n">
        <x:f>Z225-Y225</x:f>
        <x:v>-89358.52649999998</x:v>
      </x:c>
      <x:c r="AJ225" t="n">
        <x:f>AA225/S225</x:f>
        <x:v>-1.5267289003475173</x:v>
      </x:c>
      <x:c r="AK225" t="n">
        <x:f>Z225/Y225</x:f>
        <x:v>-3.4324665922619038</x:v>
      </x:c>
    </x:row>
    <x:row r="226" ht="15" customHeight="1">
      <x:c r="A226" s="25" t="str">
        <x:v>FLEX</x:v>
      </x:c>
      <x:c r="B226" s="25" t="n">
        <x:v>25</x:v>
      </x:c>
      <x:c r="C226" s="25" t="str">
        <x:v>Sénégal</x:v>
      </x:c>
      <x:c r="D226" s="25" t="str">
        <x:v>Disaster</x:v>
      </x:c>
      <x:c r="E226" s="25" t="n">
        <x:v>8</x:v>
      </x:c>
      <x:c r="F226" s="25" t="n">
        <x:v>4</x:v>
      </x:c>
      <x:c r="G226" s="25" t="n">
        <x:v>3</x:v>
      </x:c>
      <x:c r="H226" s="25" t="n">
        <x:v>35</x:v>
      </x:c>
      <x:c r="I226" s="25" t="str">
        <x:v>Équilibré</x:v>
      </x:c>
      <x:c r="J226" s="25" t="n">
        <x:v>1</x:v>
      </x:c>
      <x:c r="K226" s="25" t="n">
        <x:v>24900</x:v>
      </x:c>
      <x:c r="L226" s="25" t="n">
        <x:v>109900</x:v>
      </x:c>
      <x:c r="M226" s="25" t="n">
        <x:v>134800</x:v>
      </x:c>
      <x:c r="N226" s="25" t="n">
        <x:v>0.36</x:v>
      </x:c>
      <x:c r="O226" s="25" t="n">
        <x:v>0.85</x:v>
      </x:c>
      <x:c r="P226" s="25" t="n">
        <x:v>0.306</x:v>
      </x:c>
      <x:c r="Q226" s="25" t="n">
        <x:v>0.45</x:v>
      </x:c>
      <x:c r="R226" s="25" t="n">
        <x:v>2.6</x:v>
      </x:c>
      <x:c r="S226" s="25" t="n">
        <x:v>58529.4</x:v>
      </x:c>
      <x:c r="T226" s="25" t="n">
        <x:v>4682.352</x:v>
      </x:c>
      <x:c r="U226" s="25" t="n">
        <x:v>2926.4700000000003</x:v>
      </x:c>
      <x:c r="V226" s="25" t="n">
        <x:v>10112.64</x:v>
      </x:c>
      <x:c r="W226" s="25" t="n">
        <x:v>107323.37999999999</x:v>
      </x:c>
      <x:c r="X226" s="25" t="n">
        <x:v>2683.0845</x:v>
      </x:c>
      <x:c r="Y226" s="25" t="n">
        <x:v>25200</x:v>
      </x:c>
      <x:c r="Z226" s="25" t="n">
        <x:v>-69198.52649999998</x:v>
      </x:c>
      <x:c r="AA226" s="25" t="n">
        <x:v>-94398.52649999998</x:v>
      </x:c>
      <x:c r="AB226" s="25" t="n">
        <x:v>-1.6128394704199935</x:v>
      </x:c>
      <x:c r="AC226" s="25" t="n">
        <x:v>-2.745973273809523</x:v>
      </x:c>
      <x:c r="AD226" s="25" t="n">
        <x:v>-69198.52649999998</x:v>
      </x:c>
      <x:c r="AE226" s="25" t="n">
        <x:v>80492.53499999999</x:v>
      </x:c>
      <x:c r="AF226" s="25" t="n">
        <x:v>201231.33749999997</x:v>
      </x:c>
      <x:c r="AG226" s="25" t="n">
        <x:v>0.1939054099861559</x:v>
      </x:c>
      <x:c r="AH226" s="25" t="n">
        <x:v>4.005934718100891</x:v>
      </x:c>
      <x:c r="AI226" t="n">
        <x:f>Z226-Y226</x:f>
        <x:v>-94398.52649999998</x:v>
      </x:c>
      <x:c r="AJ226" t="n">
        <x:f>AA226/S226</x:f>
        <x:v>-1.6128394704199935</x:v>
      </x:c>
      <x:c r="AK226" t="n">
        <x:f>Z226/Y226</x:f>
        <x:v>-2.745973273809523</x:v>
      </x:c>
    </x:row>
    <x:row r="227" ht="15" customHeight="1">
      <x:c r="A227" s="25" t="str">
        <x:v>FLEX</x:v>
      </x:c>
      <x:c r="B227" s="25" t="n">
        <x:v>25</x:v>
      </x:c>
      <x:c r="C227" s="25" t="str">
        <x:v>Bénin</x:v>
      </x:c>
      <x:c r="D227" s="25" t="str">
        <x:v>Disaster</x:v>
      </x:c>
      <x:c r="E227" s="25" t="n">
        <x:v>8</x:v>
      </x:c>
      <x:c r="F227" s="25" t="n">
        <x:v>4</x:v>
      </x:c>
      <x:c r="G227" s="25" t="n">
        <x:v>3</x:v>
      </x:c>
      <x:c r="H227" s="25" t="n">
        <x:v>35</x:v>
      </x:c>
      <x:c r="I227" s="25" t="str">
        <x:v>Équilibré</x:v>
      </x:c>
      <x:c r="J227" s="25" t="n">
        <x:v>1</x:v>
      </x:c>
      <x:c r="K227" s="25" t="n">
        <x:v>24900</x:v>
      </x:c>
      <x:c r="L227" s="25" t="n">
        <x:v>109900</x:v>
      </x:c>
      <x:c r="M227" s="25" t="n">
        <x:v>134800</x:v>
      </x:c>
      <x:c r="N227" s="25" t="n">
        <x:v>0.36</x:v>
      </x:c>
      <x:c r="O227" s="25" t="n">
        <x:v>0.85</x:v>
      </x:c>
      <x:c r="P227" s="25" t="n">
        <x:v>0.306</x:v>
      </x:c>
      <x:c r="Q227" s="25" t="n">
        <x:v>0.45</x:v>
      </x:c>
      <x:c r="R227" s="25" t="n">
        <x:v>2.6</x:v>
      </x:c>
      <x:c r="S227" s="25" t="n">
        <x:v>58529.4</x:v>
      </x:c>
      <x:c r="T227" s="25" t="n">
        <x:v>4682.352</x:v>
      </x:c>
      <x:c r="U227" s="25" t="n">
        <x:v>2926.4700000000003</x:v>
      </x:c>
      <x:c r="V227" s="25" t="n">
        <x:v>10112.64</x:v>
      </x:c>
      <x:c r="W227" s="25" t="n">
        <x:v>107323.37999999999</x:v>
      </x:c>
      <x:c r="X227" s="25" t="n">
        <x:v>2683.0845</x:v>
      </x:c>
      <x:c r="Y227" s="25" t="n">
        <x:v>16800</x:v>
      </x:c>
      <x:c r="Z227" s="25" t="n">
        <x:v>-69198.52649999998</x:v>
      </x:c>
      <x:c r="AA227" s="25" t="n">
        <x:v>-85998.52649999998</x:v>
      </x:c>
      <x:c r="AB227" s="25" t="n">
        <x:v>-1.469321853632533</x:v>
      </x:c>
      <x:c r="AC227" s="25" t="n">
        <x:v>-4.118959910714285</x:v>
      </x:c>
      <x:c r="AD227" s="25" t="n">
        <x:v>-69198.52649999998</x:v>
      </x:c>
      <x:c r="AE227" s="25" t="n">
        <x:v>80492.53499999999</x:v>
      </x:c>
      <x:c r="AF227" s="25" t="n">
        <x:v>201231.33749999997</x:v>
      </x:c>
      <x:c r="AG227" s="25" t="n">
        <x:v>0.2982629134490547</x:v>
      </x:c>
      <x:c r="AH227" s="25" t="n">
        <x:v>4.005934718100891</x:v>
      </x:c>
      <x:c r="AI227" t="n">
        <x:f>Z227-Y227</x:f>
        <x:v>-85998.52649999998</x:v>
      </x:c>
      <x:c r="AJ227" t="n">
        <x:f>AA227/S227</x:f>
        <x:v>-1.469321853632533</x:v>
      </x:c>
      <x:c r="AK227" t="n">
        <x:f>Z227/Y227</x:f>
        <x:v>-4.118959910714285</x:v>
      </x:c>
    </x:row>
    <x:row r="228" ht="15" customHeight="1">
      <x:c r="A228" s="25" t="str">
        <x:v>FLEX</x:v>
      </x:c>
      <x:c r="B228" s="25" t="n">
        <x:v>25</x:v>
      </x:c>
      <x:c r="C228" s="25" t="str">
        <x:v>Burkina Faso</x:v>
      </x:c>
      <x:c r="D228" s="25" t="str">
        <x:v>Disaster</x:v>
      </x:c>
      <x:c r="E228" s="25" t="n">
        <x:v>8</x:v>
      </x:c>
      <x:c r="F228" s="25" t="n">
        <x:v>4</x:v>
      </x:c>
      <x:c r="G228" s="25" t="n">
        <x:v>3</x:v>
      </x:c>
      <x:c r="H228" s="25" t="n">
        <x:v>35</x:v>
      </x:c>
      <x:c r="I228" s="25" t="str">
        <x:v>Équilibré</x:v>
      </x:c>
      <x:c r="J228" s="25" t="n">
        <x:v>1</x:v>
      </x:c>
      <x:c r="K228" s="25" t="n">
        <x:v>24900</x:v>
      </x:c>
      <x:c r="L228" s="25" t="n">
        <x:v>109900</x:v>
      </x:c>
      <x:c r="M228" s="25" t="n">
        <x:v>134800</x:v>
      </x:c>
      <x:c r="N228" s="25" t="n">
        <x:v>0.36</x:v>
      </x:c>
      <x:c r="O228" s="25" t="n">
        <x:v>0.85</x:v>
      </x:c>
      <x:c r="P228" s="25" t="n">
        <x:v>0.306</x:v>
      </x:c>
      <x:c r="Q228" s="25" t="n">
        <x:v>0.45</x:v>
      </x:c>
      <x:c r="R228" s="25" t="n">
        <x:v>2.6</x:v>
      </x:c>
      <x:c r="S228" s="25" t="n">
        <x:v>58529.4</x:v>
      </x:c>
      <x:c r="T228" s="25" t="n">
        <x:v>4682.352</x:v>
      </x:c>
      <x:c r="U228" s="25" t="n">
        <x:v>2926.4700000000003</x:v>
      </x:c>
      <x:c r="V228" s="25" t="n">
        <x:v>10112.64</x:v>
      </x:c>
      <x:c r="W228" s="25" t="n">
        <x:v>107323.37999999999</x:v>
      </x:c>
      <x:c r="X228" s="25" t="n">
        <x:v>2683.0845</x:v>
      </x:c>
      <x:c r="Y228" s="25" t="n">
        <x:v>19319.999999999996</x:v>
      </x:c>
      <x:c r="Z228" s="25" t="n">
        <x:v>-69198.52649999998</x:v>
      </x:c>
      <x:c r="AA228" s="25" t="n">
        <x:v>-88518.52649999998</x:v>
      </x:c>
      <x:c r="AB228" s="25" t="n">
        <x:v>-1.5123771386687712</x:v>
      </x:c>
      <x:c r="AC228" s="25" t="n">
        <x:v>-3.581704270186335</x:v>
      </x:c>
      <x:c r="AD228" s="25" t="n">
        <x:v>-69198.52649999998</x:v>
      </x:c>
      <x:c r="AE228" s="25" t="n">
        <x:v>80492.53499999999</x:v>
      </x:c>
      <x:c r="AF228" s="25" t="n">
        <x:v>201231.33749999997</x:v>
      </x:c>
      <x:c r="AG228" s="25" t="n">
        <x:v>0.2669556624101851</x:v>
      </x:c>
      <x:c r="AH228" s="25" t="n">
        <x:v>4.005934718100891</x:v>
      </x:c>
      <x:c r="AI228" t="n">
        <x:f>Z228-Y228</x:f>
        <x:v>-88518.52649999998</x:v>
      </x:c>
      <x:c r="AJ228" t="n">
        <x:f>AA228/S228</x:f>
        <x:v>-1.5123771386687712</x:v>
      </x:c>
      <x:c r="AK228" t="n">
        <x:f>Z228/Y228</x:f>
        <x:v>-3.581704270186335</x:v>
      </x:c>
    </x:row>
    <x:row r="229" ht="15" customHeight="1">
      <x:c r="A229" s="25" t="str">
        <x:v>FLEX</x:v>
      </x:c>
      <x:c r="B229" s="25" t="n">
        <x:v>25</x:v>
      </x:c>
      <x:c r="C229" s="25" t="str">
        <x:v>Togo</x:v>
      </x:c>
      <x:c r="D229" s="25" t="str">
        <x:v>Disaster</x:v>
      </x:c>
      <x:c r="E229" s="25" t="n">
        <x:v>8</x:v>
      </x:c>
      <x:c r="F229" s="25" t="n">
        <x:v>4</x:v>
      </x:c>
      <x:c r="G229" s="25" t="n">
        <x:v>3</x:v>
      </x:c>
      <x:c r="H229" s="25" t="n">
        <x:v>35</x:v>
      </x:c>
      <x:c r="I229" s="25" t="str">
        <x:v>Équilibré</x:v>
      </x:c>
      <x:c r="J229" s="25" t="n">
        <x:v>1</x:v>
      </x:c>
      <x:c r="K229" s="25" t="n">
        <x:v>24900</x:v>
      </x:c>
      <x:c r="L229" s="25" t="n">
        <x:v>109900</x:v>
      </x:c>
      <x:c r="M229" s="25" t="n">
        <x:v>134800</x:v>
      </x:c>
      <x:c r="N229" s="25" t="n">
        <x:v>0.36</x:v>
      </x:c>
      <x:c r="O229" s="25" t="n">
        <x:v>0.85</x:v>
      </x:c>
      <x:c r="P229" s="25" t="n">
        <x:v>0.306</x:v>
      </x:c>
      <x:c r="Q229" s="25" t="n">
        <x:v>0.45</x:v>
      </x:c>
      <x:c r="R229" s="25" t="n">
        <x:v>2.6</x:v>
      </x:c>
      <x:c r="S229" s="25" t="n">
        <x:v>58529.4</x:v>
      </x:c>
      <x:c r="T229" s="25" t="n">
        <x:v>4682.352</x:v>
      </x:c>
      <x:c r="U229" s="25" t="n">
        <x:v>2926.4700000000003</x:v>
      </x:c>
      <x:c r="V229" s="25" t="n">
        <x:v>10112.64</x:v>
      </x:c>
      <x:c r="W229" s="25" t="n">
        <x:v>107323.37999999999</x:v>
      </x:c>
      <x:c r="X229" s="25" t="n">
        <x:v>2683.0845</x:v>
      </x:c>
      <x:c r="Y229" s="25" t="n">
        <x:v>23520</x:v>
      </x:c>
      <x:c r="Z229" s="25" t="n">
        <x:v>-69198.52649999998</x:v>
      </x:c>
      <x:c r="AA229" s="25" t="n">
        <x:v>-92718.52649999998</x:v>
      </x:c>
      <x:c r="AB229" s="25" t="n">
        <x:v>-1.5841359470625016</x:v>
      </x:c>
      <x:c r="AC229" s="25" t="n">
        <x:v>-2.9421142219387746</x:v>
      </x:c>
      <x:c r="AD229" s="25" t="n">
        <x:v>-69198.52649999998</x:v>
      </x:c>
      <x:c r="AE229" s="25" t="n">
        <x:v>80492.53499999999</x:v>
      </x:c>
      <x:c r="AF229" s="25" t="n">
        <x:v>201231.33749999997</x:v>
      </x:c>
      <x:c r="AG229" s="25" t="n">
        <x:v>0.21477691067873567</x:v>
      </x:c>
      <x:c r="AH229" s="25" t="n">
        <x:v>4.005934718100891</x:v>
      </x:c>
      <x:c r="AI229" t="n">
        <x:f>Z229-Y229</x:f>
        <x:v>-92718.52649999998</x:v>
      </x:c>
      <x:c r="AJ229" t="n">
        <x:f>AA229/S229</x:f>
        <x:v>-1.5841359470625016</x:v>
      </x:c>
      <x:c r="AK229" t="n">
        <x:f>Z229/Y229</x:f>
        <x:v>-2.9421142219387746</x:v>
      </x:c>
    </x:row>
    <x:row r="230" ht="15" customHeight="1">
      <x:c r="A230" s="25" t="str">
        <x:v>FLEX</x:v>
      </x:c>
      <x:c r="B230" s="25" t="n">
        <x:v>50</x:v>
      </x:c>
      <x:c r="C230" s="25" t="str">
        <x:v>Côte d’Ivoire</x:v>
      </x:c>
      <x:c r="D230" s="25" t="str">
        <x:v>Disaster</x:v>
      </x:c>
      <x:c r="E230" s="25" t="n">
        <x:v>8</x:v>
      </x:c>
      <x:c r="F230" s="25" t="n">
        <x:v>4</x:v>
      </x:c>
      <x:c r="G230" s="25" t="n">
        <x:v>3</x:v>
      </x:c>
      <x:c r="H230" s="25" t="n">
        <x:v>35</x:v>
      </x:c>
      <x:c r="I230" s="25" t="str">
        <x:v>Équilibré</x:v>
      </x:c>
      <x:c r="J230" s="25" t="n">
        <x:v>1</x:v>
      </x:c>
      <x:c r="K230" s="25" t="n">
        <x:v>34900</x:v>
      </x:c>
      <x:c r="L230" s="25" t="n">
        <x:v>184900</x:v>
      </x:c>
      <x:c r="M230" s="25" t="n">
        <x:v>219800</x:v>
      </x:c>
      <x:c r="N230" s="25" t="n">
        <x:v>0.36</x:v>
      </x:c>
      <x:c r="O230" s="25" t="n">
        <x:v>0.85</x:v>
      </x:c>
      <x:c r="P230" s="25" t="n">
        <x:v>0.306</x:v>
      </x:c>
      <x:c r="Q230" s="25" t="n">
        <x:v>0.45</x:v>
      </x:c>
      <x:c r="R230" s="25" t="n">
        <x:v>2.6</x:v>
      </x:c>
      <x:c r="S230" s="25" t="n">
        <x:v>91479.4</x:v>
      </x:c>
      <x:c r="T230" s="25" t="n">
        <x:v>7318.352</x:v>
      </x:c>
      <x:c r="U230" s="25" t="n">
        <x:v>4573.97</x:v>
      </x:c>
      <x:c r="V230" s="25" t="n">
        <x:v>10112.64</x:v>
      </x:c>
      <x:c r="W230" s="25" t="n">
        <x:v>214646.75999999998</x:v>
      </x:c>
      <x:c r="X230" s="25" t="n">
        <x:v>5366.169</x:v>
      </x:c>
      <x:c r="Y230" s="25" t="n">
        <x:v>18479.999999999996</x:v>
      </x:c>
      <x:c r="Z230" s="25" t="n">
        <x:v>-150538.49099999998</x:v>
      </x:c>
      <x:c r="AA230" s="25" t="n">
        <x:v>-169018.49099999998</x:v>
      </x:c>
      <x:c r="AB230" s="25" t="n">
        <x:v>-1.8476125881892533</x:v>
      </x:c>
      <x:c r="AC230" s="25" t="n">
        <x:v>-8.146022240259741</x:v>
      </x:c>
      <x:c r="AD230" s="25" t="n">
        <x:v>-150538.49099999998</x:v>
      </x:c>
      <x:c r="AE230" s="25" t="n">
        <x:v>160985.06999999998</x:v>
      </x:c>
      <x:c r="AF230" s="25" t="n">
        <x:v>402462.67499999993</x:v>
      </x:c>
      <x:c r="AG230" s="25" t="n">
        <x:v>0.3167650142960462</x:v>
      </x:c>
      <x:c r="AH230" s="25" t="n">
        <x:v>4.094631483166515</x:v>
      </x:c>
      <x:c r="AI230" t="n">
        <x:f>Z230-Y230</x:f>
        <x:v>-169018.49099999998</x:v>
      </x:c>
      <x:c r="AJ230" t="n">
        <x:f>AA230/S230</x:f>
        <x:v>-1.8476125881892533</x:v>
      </x:c>
      <x:c r="AK230" t="n">
        <x:f>Z230/Y230</x:f>
        <x:v>-8.146022240259741</x:v>
      </x:c>
    </x:row>
    <x:row r="231" ht="15" customHeight="1">
      <x:c r="A231" s="25" t="str">
        <x:v>FLEX</x:v>
      </x:c>
      <x:c r="B231" s="25" t="n">
        <x:v>50</x:v>
      </x:c>
      <x:c r="C231" s="25" t="str">
        <x:v>Cameroun</x:v>
      </x:c>
      <x:c r="D231" s="25" t="str">
        <x:v>Disaster</x:v>
      </x:c>
      <x:c r="E231" s="25" t="n">
        <x:v>8</x:v>
      </x:c>
      <x:c r="F231" s="25" t="n">
        <x:v>4</x:v>
      </x:c>
      <x:c r="G231" s="25" t="n">
        <x:v>3</x:v>
      </x:c>
      <x:c r="H231" s="25" t="n">
        <x:v>35</x:v>
      </x:c>
      <x:c r="I231" s="25" t="str">
        <x:v>Équilibré</x:v>
      </x:c>
      <x:c r="J231" s="25" t="n">
        <x:v>1</x:v>
      </x:c>
      <x:c r="K231" s="25" t="n">
        <x:v>34900</x:v>
      </x:c>
      <x:c r="L231" s="25" t="n">
        <x:v>184900</x:v>
      </x:c>
      <x:c r="M231" s="25" t="n">
        <x:v>219800</x:v>
      </x:c>
      <x:c r="N231" s="25" t="n">
        <x:v>0.36</x:v>
      </x:c>
      <x:c r="O231" s="25" t="n">
        <x:v>0.85</x:v>
      </x:c>
      <x:c r="P231" s="25" t="n">
        <x:v>0.306</x:v>
      </x:c>
      <x:c r="Q231" s="25" t="n">
        <x:v>0.45</x:v>
      </x:c>
      <x:c r="R231" s="25" t="n">
        <x:v>2.6</x:v>
      </x:c>
      <x:c r="S231" s="25" t="n">
        <x:v>91479.4</x:v>
      </x:c>
      <x:c r="T231" s="25" t="n">
        <x:v>7318.352</x:v>
      </x:c>
      <x:c r="U231" s="25" t="n">
        <x:v>4573.97</x:v>
      </x:c>
      <x:c r="V231" s="25" t="n">
        <x:v>10112.64</x:v>
      </x:c>
      <x:c r="W231" s="25" t="n">
        <x:v>214646.75999999998</x:v>
      </x:c>
      <x:c r="X231" s="25" t="n">
        <x:v>5366.169</x:v>
      </x:c>
      <x:c r="Y231" s="25" t="n">
        <x:v>20160</x:v>
      </x:c>
      <x:c r="Z231" s="25" t="n">
        <x:v>-150538.49099999998</x:v>
      </x:c>
      <x:c r="AA231" s="25" t="n">
        <x:v>-170698.49099999998</x:v>
      </x:c>
      <x:c r="AB231" s="25" t="n">
        <x:v>-1.8659773785136324</x:v>
      </x:c>
      <x:c r="AC231" s="25" t="n">
        <x:v>-7.467187053571427</x:v>
      </x:c>
      <x:c r="AD231" s="25" t="n">
        <x:v>-150538.49099999998</x:v>
      </x:c>
      <x:c r="AE231" s="25" t="n">
        <x:v>160985.06999999998</x:v>
      </x:c>
      <x:c r="AF231" s="25" t="n">
        <x:v>402462.67499999993</x:v>
      </x:c>
      <x:c r="AG231" s="25" t="n">
        <x:v>0.30632926394975635</x:v>
      </x:c>
      <x:c r="AH231" s="25" t="n">
        <x:v>4.094631483166515</x:v>
      </x:c>
      <x:c r="AI231" t="n">
        <x:f>Z231-Y231</x:f>
        <x:v>-170698.49099999998</x:v>
      </x:c>
      <x:c r="AJ231" t="n">
        <x:f>AA231/S231</x:f>
        <x:v>-1.8659773785136324</x:v>
      </x:c>
      <x:c r="AK231" t="n">
        <x:f>Z231/Y231</x:f>
        <x:v>-7.467187053571427</x:v>
      </x:c>
    </x:row>
    <x:row r="232" ht="15" customHeight="1">
      <x:c r="A232" s="25" t="str">
        <x:v>FLEX</x:v>
      </x:c>
      <x:c r="B232" s="25" t="n">
        <x:v>50</x:v>
      </x:c>
      <x:c r="C232" s="25" t="str">
        <x:v>Sénégal</x:v>
      </x:c>
      <x:c r="D232" s="25" t="str">
        <x:v>Disaster</x:v>
      </x:c>
      <x:c r="E232" s="25" t="n">
        <x:v>8</x:v>
      </x:c>
      <x:c r="F232" s="25" t="n">
        <x:v>4</x:v>
      </x:c>
      <x:c r="G232" s="25" t="n">
        <x:v>3</x:v>
      </x:c>
      <x:c r="H232" s="25" t="n">
        <x:v>35</x:v>
      </x:c>
      <x:c r="I232" s="25" t="str">
        <x:v>Équilibré</x:v>
      </x:c>
      <x:c r="J232" s="25" t="n">
        <x:v>1</x:v>
      </x:c>
      <x:c r="K232" s="25" t="n">
        <x:v>34900</x:v>
      </x:c>
      <x:c r="L232" s="25" t="n">
        <x:v>184900</x:v>
      </x:c>
      <x:c r="M232" s="25" t="n">
        <x:v>219800</x:v>
      </x:c>
      <x:c r="N232" s="25" t="n">
        <x:v>0.36</x:v>
      </x:c>
      <x:c r="O232" s="25" t="n">
        <x:v>0.85</x:v>
      </x:c>
      <x:c r="P232" s="25" t="n">
        <x:v>0.306</x:v>
      </x:c>
      <x:c r="Q232" s="25" t="n">
        <x:v>0.45</x:v>
      </x:c>
      <x:c r="R232" s="25" t="n">
        <x:v>2.6</x:v>
      </x:c>
      <x:c r="S232" s="25" t="n">
        <x:v>91479.4</x:v>
      </x:c>
      <x:c r="T232" s="25" t="n">
        <x:v>7318.352</x:v>
      </x:c>
      <x:c r="U232" s="25" t="n">
        <x:v>4573.97</x:v>
      </x:c>
      <x:c r="V232" s="25" t="n">
        <x:v>10112.64</x:v>
      </x:c>
      <x:c r="W232" s="25" t="n">
        <x:v>214646.75999999998</x:v>
      </x:c>
      <x:c r="X232" s="25" t="n">
        <x:v>5366.169</x:v>
      </x:c>
      <x:c r="Y232" s="25" t="n">
        <x:v>25200</x:v>
      </x:c>
      <x:c r="Z232" s="25" t="n">
        <x:v>-150538.49099999998</x:v>
      </x:c>
      <x:c r="AA232" s="25" t="n">
        <x:v>-175738.49099999998</x:v>
      </x:c>
      <x:c r="AB232" s="25" t="n">
        <x:v>-1.9210717494867695</x:v>
      </x:c>
      <x:c r="AC232" s="25" t="n">
        <x:v>-5.973749642857142</x:v>
      </x:c>
      <x:c r="AD232" s="25" t="n">
        <x:v>-150538.49099999998</x:v>
      </x:c>
      <x:c r="AE232" s="25" t="n">
        <x:v>160985.06999999998</x:v>
      </x:c>
      <x:c r="AF232" s="25" t="n">
        <x:v>402462.67499999993</x:v>
      </x:c>
      <x:c r="AG232" s="25" t="n">
        <x:v>0.27502201291088674</x:v>
      </x:c>
      <x:c r="AH232" s="25" t="n">
        <x:v>4.094631483166515</x:v>
      </x:c>
      <x:c r="AI232" t="n">
        <x:f>Z232-Y232</x:f>
        <x:v>-175738.49099999998</x:v>
      </x:c>
      <x:c r="AJ232" t="n">
        <x:f>AA232/S232</x:f>
        <x:v>-1.9210717494867695</x:v>
      </x:c>
      <x:c r="AK232" t="n">
        <x:f>Z232/Y232</x:f>
        <x:v>-5.973749642857142</x:v>
      </x:c>
    </x:row>
    <x:row r="233" ht="15" customHeight="1">
      <x:c r="A233" s="25" t="str">
        <x:v>FLEX</x:v>
      </x:c>
      <x:c r="B233" s="25" t="n">
        <x:v>50</x:v>
      </x:c>
      <x:c r="C233" s="25" t="str">
        <x:v>Bénin</x:v>
      </x:c>
      <x:c r="D233" s="25" t="str">
        <x:v>Disaster</x:v>
      </x:c>
      <x:c r="E233" s="25" t="n">
        <x:v>8</x:v>
      </x:c>
      <x:c r="F233" s="25" t="n">
        <x:v>4</x:v>
      </x:c>
      <x:c r="G233" s="25" t="n">
        <x:v>3</x:v>
      </x:c>
      <x:c r="H233" s="25" t="n">
        <x:v>35</x:v>
      </x:c>
      <x:c r="I233" s="25" t="str">
        <x:v>Équilibré</x:v>
      </x:c>
      <x:c r="J233" s="25" t="n">
        <x:v>1</x:v>
      </x:c>
      <x:c r="K233" s="25" t="n">
        <x:v>34900</x:v>
      </x:c>
      <x:c r="L233" s="25" t="n">
        <x:v>184900</x:v>
      </x:c>
      <x:c r="M233" s="25" t="n">
        <x:v>219800</x:v>
      </x:c>
      <x:c r="N233" s="25" t="n">
        <x:v>0.36</x:v>
      </x:c>
      <x:c r="O233" s="25" t="n">
        <x:v>0.85</x:v>
      </x:c>
      <x:c r="P233" s="25" t="n">
        <x:v>0.306</x:v>
      </x:c>
      <x:c r="Q233" s="25" t="n">
        <x:v>0.45</x:v>
      </x:c>
      <x:c r="R233" s="25" t="n">
        <x:v>2.6</x:v>
      </x:c>
      <x:c r="S233" s="25" t="n">
        <x:v>91479.4</x:v>
      </x:c>
      <x:c r="T233" s="25" t="n">
        <x:v>7318.352</x:v>
      </x:c>
      <x:c r="U233" s="25" t="n">
        <x:v>4573.97</x:v>
      </x:c>
      <x:c r="V233" s="25" t="n">
        <x:v>10112.64</x:v>
      </x:c>
      <x:c r="W233" s="25" t="n">
        <x:v>214646.75999999998</x:v>
      </x:c>
      <x:c r="X233" s="25" t="n">
        <x:v>5366.169</x:v>
      </x:c>
      <x:c r="Y233" s="25" t="n">
        <x:v>16800</x:v>
      </x:c>
      <x:c r="Z233" s="25" t="n">
        <x:v>-150538.49099999998</x:v>
      </x:c>
      <x:c r="AA233" s="25" t="n">
        <x:v>-167338.49099999998</x:v>
      </x:c>
      <x:c r="AB233" s="25" t="n">
        <x:v>-1.8292477978648745</x:v>
      </x:c>
      <x:c r="AC233" s="25" t="n">
        <x:v>-8.960624464285713</x:v>
      </x:c>
      <x:c r="AD233" s="25" t="n">
        <x:v>-150538.49099999998</x:v>
      </x:c>
      <x:c r="AE233" s="25" t="n">
        <x:v>160985.06999999998</x:v>
      </x:c>
      <x:c r="AF233" s="25" t="n">
        <x:v>402462.67499999993</x:v>
      </x:c>
      <x:c r="AG233" s="25" t="n">
        <x:v>0.3272007646423361</x:v>
      </x:c>
      <x:c r="AH233" s="25" t="n">
        <x:v>4.094631483166515</x:v>
      </x:c>
      <x:c r="AI233" t="n">
        <x:f>Z233-Y233</x:f>
        <x:v>-167338.49099999998</x:v>
      </x:c>
      <x:c r="AJ233" t="n">
        <x:f>AA233/S233</x:f>
        <x:v>-1.8292477978648745</x:v>
      </x:c>
      <x:c r="AK233" t="n">
        <x:f>Z233/Y233</x:f>
        <x:v>-8.960624464285713</x:v>
      </x:c>
    </x:row>
    <x:row r="234" ht="15" customHeight="1">
      <x:c r="A234" s="25" t="str">
        <x:v>FLEX</x:v>
      </x:c>
      <x:c r="B234" s="25" t="n">
        <x:v>50</x:v>
      </x:c>
      <x:c r="C234" s="25" t="str">
        <x:v>Burkina Faso</x:v>
      </x:c>
      <x:c r="D234" s="25" t="str">
        <x:v>Disaster</x:v>
      </x:c>
      <x:c r="E234" s="25" t="n">
        <x:v>8</x:v>
      </x:c>
      <x:c r="F234" s="25" t="n">
        <x:v>4</x:v>
      </x:c>
      <x:c r="G234" s="25" t="n">
        <x:v>3</x:v>
      </x:c>
      <x:c r="H234" s="25" t="n">
        <x:v>35</x:v>
      </x:c>
      <x:c r="I234" s="25" t="str">
        <x:v>Équilibré</x:v>
      </x:c>
      <x:c r="J234" s="25" t="n">
        <x:v>1</x:v>
      </x:c>
      <x:c r="K234" s="25" t="n">
        <x:v>34900</x:v>
      </x:c>
      <x:c r="L234" s="25" t="n">
        <x:v>184900</x:v>
      </x:c>
      <x:c r="M234" s="25" t="n">
        <x:v>219800</x:v>
      </x:c>
      <x:c r="N234" s="25" t="n">
        <x:v>0.36</x:v>
      </x:c>
      <x:c r="O234" s="25" t="n">
        <x:v>0.85</x:v>
      </x:c>
      <x:c r="P234" s="25" t="n">
        <x:v>0.306</x:v>
      </x:c>
      <x:c r="Q234" s="25" t="n">
        <x:v>0.45</x:v>
      </x:c>
      <x:c r="R234" s="25" t="n">
        <x:v>2.6</x:v>
      </x:c>
      <x:c r="S234" s="25" t="n">
        <x:v>91479.4</x:v>
      </x:c>
      <x:c r="T234" s="25" t="n">
        <x:v>7318.352</x:v>
      </x:c>
      <x:c r="U234" s="25" t="n">
        <x:v>4573.97</x:v>
      </x:c>
      <x:c r="V234" s="25" t="n">
        <x:v>10112.64</x:v>
      </x:c>
      <x:c r="W234" s="25" t="n">
        <x:v>214646.75999999998</x:v>
      </x:c>
      <x:c r="X234" s="25" t="n">
        <x:v>5366.169</x:v>
      </x:c>
      <x:c r="Y234" s="25" t="n">
        <x:v>19319.999999999996</x:v>
      </x:c>
      <x:c r="Z234" s="25" t="n">
        <x:v>-150538.49099999998</x:v>
      </x:c>
      <x:c r="AA234" s="25" t="n">
        <x:v>-169858.49099999998</x:v>
      </x:c>
      <x:c r="AB234" s="25" t="n">
        <x:v>-1.856794983351443</x:v>
      </x:c>
      <x:c r="AC234" s="25" t="n">
        <x:v>-7.791847360248448</x:v>
      </x:c>
      <x:c r="AD234" s="25" t="n">
        <x:v>-150538.49099999998</x:v>
      </x:c>
      <x:c r="AE234" s="25" t="n">
        <x:v>160985.06999999998</x:v>
      </x:c>
      <x:c r="AF234" s="25" t="n">
        <x:v>402462.67499999993</x:v>
      </x:c>
      <x:c r="AG234" s="25" t="n">
        <x:v>0.3115471391229013</x:v>
      </x:c>
      <x:c r="AH234" s="25" t="n">
        <x:v>4.094631483166515</x:v>
      </x:c>
      <x:c r="AI234" t="n">
        <x:f>Z234-Y234</x:f>
        <x:v>-169858.49099999998</x:v>
      </x:c>
      <x:c r="AJ234" t="n">
        <x:f>AA234/S234</x:f>
        <x:v>-1.856794983351443</x:v>
      </x:c>
      <x:c r="AK234" t="n">
        <x:f>Z234/Y234</x:f>
        <x:v>-7.791847360248448</x:v>
      </x:c>
    </x:row>
    <x:row r="235" ht="15" customHeight="1">
      <x:c r="A235" s="25" t="str">
        <x:v>FLEX</x:v>
      </x:c>
      <x:c r="B235" s="25" t="n">
        <x:v>50</x:v>
      </x:c>
      <x:c r="C235" s="25" t="str">
        <x:v>Togo</x:v>
      </x:c>
      <x:c r="D235" s="25" t="str">
        <x:v>Disaster</x:v>
      </x:c>
      <x:c r="E235" s="25" t="n">
        <x:v>8</x:v>
      </x:c>
      <x:c r="F235" s="25" t="n">
        <x:v>4</x:v>
      </x:c>
      <x:c r="G235" s="25" t="n">
        <x:v>3</x:v>
      </x:c>
      <x:c r="H235" s="25" t="n">
        <x:v>35</x:v>
      </x:c>
      <x:c r="I235" s="25" t="str">
        <x:v>Équilibré</x:v>
      </x:c>
      <x:c r="J235" s="25" t="n">
        <x:v>1</x:v>
      </x:c>
      <x:c r="K235" s="25" t="n">
        <x:v>34900</x:v>
      </x:c>
      <x:c r="L235" s="25" t="n">
        <x:v>184900</x:v>
      </x:c>
      <x:c r="M235" s="25" t="n">
        <x:v>219800</x:v>
      </x:c>
      <x:c r="N235" s="25" t="n">
        <x:v>0.36</x:v>
      </x:c>
      <x:c r="O235" s="25" t="n">
        <x:v>0.85</x:v>
      </x:c>
      <x:c r="P235" s="25" t="n">
        <x:v>0.306</x:v>
      </x:c>
      <x:c r="Q235" s="25" t="n">
        <x:v>0.45</x:v>
      </x:c>
      <x:c r="R235" s="25" t="n">
        <x:v>2.6</x:v>
      </x:c>
      <x:c r="S235" s="25" t="n">
        <x:v>91479.4</x:v>
      </x:c>
      <x:c r="T235" s="25" t="n">
        <x:v>7318.352</x:v>
      </x:c>
      <x:c r="U235" s="25" t="n">
        <x:v>4573.97</x:v>
      </x:c>
      <x:c r="V235" s="25" t="n">
        <x:v>10112.64</x:v>
      </x:c>
      <x:c r="W235" s="25" t="n">
        <x:v>214646.75999999998</x:v>
      </x:c>
      <x:c r="X235" s="25" t="n">
        <x:v>5366.169</x:v>
      </x:c>
      <x:c r="Y235" s="25" t="n">
        <x:v>23520</x:v>
      </x:c>
      <x:c r="Z235" s="25" t="n">
        <x:v>-150538.49099999998</x:v>
      </x:c>
      <x:c r="AA235" s="25" t="n">
        <x:v>-174058.49099999998</x:v>
      </x:c>
      <x:c r="AB235" s="25" t="n">
        <x:v>-1.9027069591623906</x:v>
      </x:c>
      <x:c r="AC235" s="25" t="n">
        <x:v>-6.4004460459183665</x:v>
      </x:c>
      <x:c r="AD235" s="25" t="n">
        <x:v>-150538.49099999998</x:v>
      </x:c>
      <x:c r="AE235" s="25" t="n">
        <x:v>160985.06999999998</x:v>
      </x:c>
      <x:c r="AF235" s="25" t="n">
        <x:v>402462.67499999993</x:v>
      </x:c>
      <x:c r="AG235" s="25" t="n">
        <x:v>0.2854577632571766</x:v>
      </x:c>
      <x:c r="AH235" s="25" t="n">
        <x:v>4.094631483166515</x:v>
      </x:c>
      <x:c r="AI235" t="n">
        <x:f>Z235-Y235</x:f>
        <x:v>-174058.49099999998</x:v>
      </x:c>
      <x:c r="AJ235" t="n">
        <x:f>AA235/S235</x:f>
        <x:v>-1.9027069591623906</x:v>
      </x:c>
      <x:c r="AK235" t="n">
        <x:f>Z235/Y235</x:f>
        <x:v>-6.4004460459183665</x:v>
      </x:c>
    </x:row>
    <x:row r="236" ht="15" customHeight="1">
      <x:c r="A236" s="25" t="str">
        <x:v>FLEX</x:v>
      </x:c>
      <x:c r="B236" s="25" t="n">
        <x:v>100</x:v>
      </x:c>
      <x:c r="C236" s="25" t="str">
        <x:v>Côte d’Ivoire</x:v>
      </x:c>
      <x:c r="D236" s="25" t="str">
        <x:v>Disaster</x:v>
      </x:c>
      <x:c r="E236" s="25" t="n">
        <x:v>8</x:v>
      </x:c>
      <x:c r="F236" s="25" t="n">
        <x:v>4</x:v>
      </x:c>
      <x:c r="G236" s="25" t="n">
        <x:v>3</x:v>
      </x:c>
      <x:c r="H236" s="25" t="n">
        <x:v>35</x:v>
      </x:c>
      <x:c r="I236" s="25" t="str">
        <x:v>Équilibré</x:v>
      </x:c>
      <x:c r="J236" s="25" t="n">
        <x:v>1</x:v>
      </x:c>
      <x:c r="K236" s="25" t="n">
        <x:v>44900</x:v>
      </x:c>
      <x:c r="L236" s="25" t="n">
        <x:v>269900</x:v>
      </x:c>
      <x:c r="M236" s="25" t="n">
        <x:v>314800</x:v>
      </x:c>
      <x:c r="N236" s="25" t="n">
        <x:v>0.36</x:v>
      </x:c>
      <x:c r="O236" s="25" t="n">
        <x:v>0.85</x:v>
      </x:c>
      <x:c r="P236" s="25" t="n">
        <x:v>0.306</x:v>
      </x:c>
      <x:c r="Q236" s="25" t="n">
        <x:v>0.45</x:v>
      </x:c>
      <x:c r="R236" s="25" t="n">
        <x:v>2.6</x:v>
      </x:c>
      <x:c r="S236" s="25" t="n">
        <x:v>127489.4</x:v>
      </x:c>
      <x:c r="T236" s="25" t="n">
        <x:v>10199.152</x:v>
      </x:c>
      <x:c r="U236" s="25" t="n">
        <x:v>6374.47</x:v>
      </x:c>
      <x:c r="V236" s="25" t="n">
        <x:v>10112.64</x:v>
      </x:c>
      <x:c r="W236" s="25" t="n">
        <x:v>397897.92</x:v>
      </x:c>
      <x:c r="X236" s="25" t="n">
        <x:v>9947.448</x:v>
      </x:c>
      <x:c r="Y236" s="25" t="n">
        <x:v>18479.999999999996</x:v>
      </x:c>
      <x:c r="Z236" s="25" t="n">
        <x:v>-307042.23</x:v>
      </x:c>
      <x:c r="AA236" s="25" t="n">
        <x:v>-325522.23</x:v>
      </x:c>
      <x:c r="AB236" s="25" t="n">
        <x:v>-2.553327806076427</x:v>
      </x:c>
      <x:c r="AC236" s="25" t="n">
        <x:v>-16.61483928571429</x:v>
      </x:c>
      <x:c r="AD236" s="25" t="n">
        <x:v>-307042.23</x:v>
      </x:c>
      <x:c r="AE236" s="25" t="n">
        <x:v>298423.44</x:v>
      </x:c>
      <x:c r="AF236" s="25" t="n">
        <x:v>746058.6</x:v>
      </x:c>
      <x:c r="AG236" s="25" t="n">
        <x:v>0.2758601603144846</x:v>
      </x:c>
      <x:c r="AH236" s="25" t="n">
        <x:v>4.7649301143583225</x:v>
      </x:c>
      <x:c r="AI236" t="n">
        <x:f>Z236-Y236</x:f>
        <x:v>-325522.23</x:v>
      </x:c>
      <x:c r="AJ236" t="n">
        <x:f>AA236/S236</x:f>
        <x:v>-2.553327806076427</x:v>
      </x:c>
      <x:c r="AK236" t="n">
        <x:f>Z236/Y236</x:f>
        <x:v>-16.61483928571429</x:v>
      </x:c>
    </x:row>
    <x:row r="237" ht="15" customHeight="1">
      <x:c r="A237" s="25" t="str">
        <x:v>FLEX</x:v>
      </x:c>
      <x:c r="B237" s="25" t="n">
        <x:v>100</x:v>
      </x:c>
      <x:c r="C237" s="25" t="str">
        <x:v>Cameroun</x:v>
      </x:c>
      <x:c r="D237" s="25" t="str">
        <x:v>Disaster</x:v>
      </x:c>
      <x:c r="E237" s="25" t="n">
        <x:v>8</x:v>
      </x:c>
      <x:c r="F237" s="25" t="n">
        <x:v>4</x:v>
      </x:c>
      <x:c r="G237" s="25" t="n">
        <x:v>3</x:v>
      </x:c>
      <x:c r="H237" s="25" t="n">
        <x:v>35</x:v>
      </x:c>
      <x:c r="I237" s="25" t="str">
        <x:v>Équilibré</x:v>
      </x:c>
      <x:c r="J237" s="25" t="n">
        <x:v>1</x:v>
      </x:c>
      <x:c r="K237" s="25" t="n">
        <x:v>44900</x:v>
      </x:c>
      <x:c r="L237" s="25" t="n">
        <x:v>269900</x:v>
      </x:c>
      <x:c r="M237" s="25" t="n">
        <x:v>314800</x:v>
      </x:c>
      <x:c r="N237" s="25" t="n">
        <x:v>0.36</x:v>
      </x:c>
      <x:c r="O237" s="25" t="n">
        <x:v>0.85</x:v>
      </x:c>
      <x:c r="P237" s="25" t="n">
        <x:v>0.306</x:v>
      </x:c>
      <x:c r="Q237" s="25" t="n">
        <x:v>0.45</x:v>
      </x:c>
      <x:c r="R237" s="25" t="n">
        <x:v>2.6</x:v>
      </x:c>
      <x:c r="S237" s="25" t="n">
        <x:v>127489.4</x:v>
      </x:c>
      <x:c r="T237" s="25" t="n">
        <x:v>10199.152</x:v>
      </x:c>
      <x:c r="U237" s="25" t="n">
        <x:v>6374.47</x:v>
      </x:c>
      <x:c r="V237" s="25" t="n">
        <x:v>10112.64</x:v>
      </x:c>
      <x:c r="W237" s="25" t="n">
        <x:v>397897.92</x:v>
      </x:c>
      <x:c r="X237" s="25" t="n">
        <x:v>9947.448</x:v>
      </x:c>
      <x:c r="Y237" s="25" t="n">
        <x:v>20160</x:v>
      </x:c>
      <x:c r="Z237" s="25" t="n">
        <x:v>-307042.23</x:v>
      </x:c>
      <x:c r="AA237" s="25" t="n">
        <x:v>-327202.23</x:v>
      </x:c>
      <x:c r="AB237" s="25" t="n">
        <x:v>-2.5665053722113367</x:v>
      </x:c>
      <x:c r="AC237" s="25" t="n">
        <x:v>-15.230269345238094</x:v>
      </x:c>
      <x:c r="AD237" s="25" t="n">
        <x:v>-307042.23</x:v>
      </x:c>
      <x:c r="AE237" s="25" t="n">
        <x:v>298423.44</x:v>
      </x:c>
      <x:c r="AF237" s="25" t="n">
        <x:v>746058.6</x:v>
      </x:c>
      <x:c r="AG237" s="25" t="n">
        <x:v>0.27023057572153175</x:v>
      </x:c>
      <x:c r="AH237" s="25" t="n">
        <x:v>4.7649301143583225</x:v>
      </x:c>
      <x:c r="AI237" t="n">
        <x:f>Z237-Y237</x:f>
        <x:v>-327202.23</x:v>
      </x:c>
      <x:c r="AJ237" t="n">
        <x:f>AA237/S237</x:f>
        <x:v>-2.5665053722113367</x:v>
      </x:c>
      <x:c r="AK237" t="n">
        <x:f>Z237/Y237</x:f>
        <x:v>-15.230269345238094</x:v>
      </x:c>
    </x:row>
    <x:row r="238" ht="15" customHeight="1">
      <x:c r="A238" s="25" t="str">
        <x:v>FLEX</x:v>
      </x:c>
      <x:c r="B238" s="25" t="n">
        <x:v>100</x:v>
      </x:c>
      <x:c r="C238" s="25" t="str">
        <x:v>Sénégal</x:v>
      </x:c>
      <x:c r="D238" s="25" t="str">
        <x:v>Disaster</x:v>
      </x:c>
      <x:c r="E238" s="25" t="n">
        <x:v>8</x:v>
      </x:c>
      <x:c r="F238" s="25" t="n">
        <x:v>4</x:v>
      </x:c>
      <x:c r="G238" s="25" t="n">
        <x:v>3</x:v>
      </x:c>
      <x:c r="H238" s="25" t="n">
        <x:v>35</x:v>
      </x:c>
      <x:c r="I238" s="25" t="str">
        <x:v>Équilibré</x:v>
      </x:c>
      <x:c r="J238" s="25" t="n">
        <x:v>1</x:v>
      </x:c>
      <x:c r="K238" s="25" t="n">
        <x:v>44900</x:v>
      </x:c>
      <x:c r="L238" s="25" t="n">
        <x:v>269900</x:v>
      </x:c>
      <x:c r="M238" s="25" t="n">
        <x:v>314800</x:v>
      </x:c>
      <x:c r="N238" s="25" t="n">
        <x:v>0.36</x:v>
      </x:c>
      <x:c r="O238" s="25" t="n">
        <x:v>0.85</x:v>
      </x:c>
      <x:c r="P238" s="25" t="n">
        <x:v>0.306</x:v>
      </x:c>
      <x:c r="Q238" s="25" t="n">
        <x:v>0.45</x:v>
      </x:c>
      <x:c r="R238" s="25" t="n">
        <x:v>2.6</x:v>
      </x:c>
      <x:c r="S238" s="25" t="n">
        <x:v>127489.4</x:v>
      </x:c>
      <x:c r="T238" s="25" t="n">
        <x:v>10199.152</x:v>
      </x:c>
      <x:c r="U238" s="25" t="n">
        <x:v>6374.47</x:v>
      </x:c>
      <x:c r="V238" s="25" t="n">
        <x:v>10112.64</x:v>
      </x:c>
      <x:c r="W238" s="25" t="n">
        <x:v>397897.92</x:v>
      </x:c>
      <x:c r="X238" s="25" t="n">
        <x:v>9947.448</x:v>
      </x:c>
      <x:c r="Y238" s="25" t="n">
        <x:v>25200</x:v>
      </x:c>
      <x:c r="Z238" s="25" t="n">
        <x:v>-307042.23</x:v>
      </x:c>
      <x:c r="AA238" s="25" t="n">
        <x:v>-332242.23</x:v>
      </x:c>
      <x:c r="AB238" s="25" t="n">
        <x:v>-2.606038070616067</x:v>
      </x:c>
      <x:c r="AC238" s="25" t="n">
        <x:v>-12.184215476190476</x:v>
      </x:c>
      <x:c r="AD238" s="25" t="n">
        <x:v>-307042.23</x:v>
      </x:c>
      <x:c r="AE238" s="25" t="n">
        <x:v>298423.44</x:v>
      </x:c>
      <x:c r="AF238" s="25" t="n">
        <x:v>746058.6</x:v>
      </x:c>
      <x:c r="AG238" s="25" t="n">
        <x:v>0.25334182194267313</x:v>
      </x:c>
      <x:c r="AH238" s="25" t="n">
        <x:v>4.7649301143583225</x:v>
      </x:c>
      <x:c r="AI238" t="n">
        <x:f>Z238-Y238</x:f>
        <x:v>-332242.23</x:v>
      </x:c>
      <x:c r="AJ238" t="n">
        <x:f>AA238/S238</x:f>
        <x:v>-2.606038070616067</x:v>
      </x:c>
      <x:c r="AK238" t="n">
        <x:f>Z238/Y238</x:f>
        <x:v>-12.184215476190476</x:v>
      </x:c>
    </x:row>
    <x:row r="239" ht="15" customHeight="1">
      <x:c r="A239" s="25" t="str">
        <x:v>FLEX</x:v>
      </x:c>
      <x:c r="B239" s="25" t="n">
        <x:v>100</x:v>
      </x:c>
      <x:c r="C239" s="25" t="str">
        <x:v>Bénin</x:v>
      </x:c>
      <x:c r="D239" s="25" t="str">
        <x:v>Disaster</x:v>
      </x:c>
      <x:c r="E239" s="25" t="n">
        <x:v>8</x:v>
      </x:c>
      <x:c r="F239" s="25" t="n">
        <x:v>4</x:v>
      </x:c>
      <x:c r="G239" s="25" t="n">
        <x:v>3</x:v>
      </x:c>
      <x:c r="H239" s="25" t="n">
        <x:v>35</x:v>
      </x:c>
      <x:c r="I239" s="25" t="str">
        <x:v>Équilibré</x:v>
      </x:c>
      <x:c r="J239" s="25" t="n">
        <x:v>1</x:v>
      </x:c>
      <x:c r="K239" s="25" t="n">
        <x:v>44900</x:v>
      </x:c>
      <x:c r="L239" s="25" t="n">
        <x:v>269900</x:v>
      </x:c>
      <x:c r="M239" s="25" t="n">
        <x:v>314800</x:v>
      </x:c>
      <x:c r="N239" s="25" t="n">
        <x:v>0.36</x:v>
      </x:c>
      <x:c r="O239" s="25" t="n">
        <x:v>0.85</x:v>
      </x:c>
      <x:c r="P239" s="25" t="n">
        <x:v>0.306</x:v>
      </x:c>
      <x:c r="Q239" s="25" t="n">
        <x:v>0.45</x:v>
      </x:c>
      <x:c r="R239" s="25" t="n">
        <x:v>2.6</x:v>
      </x:c>
      <x:c r="S239" s="25" t="n">
        <x:v>127489.4</x:v>
      </x:c>
      <x:c r="T239" s="25" t="n">
        <x:v>10199.152</x:v>
      </x:c>
      <x:c r="U239" s="25" t="n">
        <x:v>6374.47</x:v>
      </x:c>
      <x:c r="V239" s="25" t="n">
        <x:v>10112.64</x:v>
      </x:c>
      <x:c r="W239" s="25" t="n">
        <x:v>397897.92</x:v>
      </x:c>
      <x:c r="X239" s="25" t="n">
        <x:v>9947.448</x:v>
      </x:c>
      <x:c r="Y239" s="25" t="n">
        <x:v>16800</x:v>
      </x:c>
      <x:c r="Z239" s="25" t="n">
        <x:v>-307042.23</x:v>
      </x:c>
      <x:c r="AA239" s="25" t="n">
        <x:v>-323842.23</x:v>
      </x:c>
      <x:c r="AB239" s="25" t="n">
        <x:v>-2.5401502399415166</x:v>
      </x:c>
      <x:c r="AC239" s="25" t="n">
        <x:v>-18.276323214285714</x:v>
      </x:c>
      <x:c r="AD239" s="25" t="n">
        <x:v>-307042.23</x:v>
      </x:c>
      <x:c r="AE239" s="25" t="n">
        <x:v>298423.44</x:v>
      </x:c>
      <x:c r="AF239" s="25" t="n">
        <x:v>746058.6</x:v>
      </x:c>
      <x:c r="AG239" s="25" t="n">
        <x:v>0.28148974490743756</x:v>
      </x:c>
      <x:c r="AH239" s="25" t="n">
        <x:v>4.7649301143583225</x:v>
      </x:c>
      <x:c r="AI239" t="n">
        <x:f>Z239-Y239</x:f>
        <x:v>-323842.23</x:v>
      </x:c>
      <x:c r="AJ239" t="n">
        <x:f>AA239/S239</x:f>
        <x:v>-2.5401502399415166</x:v>
      </x:c>
      <x:c r="AK239" t="n">
        <x:f>Z239/Y239</x:f>
        <x:v>-18.276323214285714</x:v>
      </x:c>
    </x:row>
    <x:row r="240" ht="15" customHeight="1">
      <x:c r="A240" s="25" t="str">
        <x:v>FLEX</x:v>
      </x:c>
      <x:c r="B240" s="25" t="n">
        <x:v>100</x:v>
      </x:c>
      <x:c r="C240" s="25" t="str">
        <x:v>Burkina Faso</x:v>
      </x:c>
      <x:c r="D240" s="25" t="str">
        <x:v>Disaster</x:v>
      </x:c>
      <x:c r="E240" s="25" t="n">
        <x:v>8</x:v>
      </x:c>
      <x:c r="F240" s="25" t="n">
        <x:v>4</x:v>
      </x:c>
      <x:c r="G240" s="25" t="n">
        <x:v>3</x:v>
      </x:c>
      <x:c r="H240" s="25" t="n">
        <x:v>35</x:v>
      </x:c>
      <x:c r="I240" s="25" t="str">
        <x:v>Équilibré</x:v>
      </x:c>
      <x:c r="J240" s="25" t="n">
        <x:v>1</x:v>
      </x:c>
      <x:c r="K240" s="25" t="n">
        <x:v>44900</x:v>
      </x:c>
      <x:c r="L240" s="25" t="n">
        <x:v>269900</x:v>
      </x:c>
      <x:c r="M240" s="25" t="n">
        <x:v>314800</x:v>
      </x:c>
      <x:c r="N240" s="25" t="n">
        <x:v>0.36</x:v>
      </x:c>
      <x:c r="O240" s="25" t="n">
        <x:v>0.85</x:v>
      </x:c>
      <x:c r="P240" s="25" t="n">
        <x:v>0.306</x:v>
      </x:c>
      <x:c r="Q240" s="25" t="n">
        <x:v>0.45</x:v>
      </x:c>
      <x:c r="R240" s="25" t="n">
        <x:v>2.6</x:v>
      </x:c>
      <x:c r="S240" s="25" t="n">
        <x:v>127489.4</x:v>
      </x:c>
      <x:c r="T240" s="25" t="n">
        <x:v>10199.152</x:v>
      </x:c>
      <x:c r="U240" s="25" t="n">
        <x:v>6374.47</x:v>
      </x:c>
      <x:c r="V240" s="25" t="n">
        <x:v>10112.64</x:v>
      </x:c>
      <x:c r="W240" s="25" t="n">
        <x:v>397897.92</x:v>
      </x:c>
      <x:c r="X240" s="25" t="n">
        <x:v>9947.448</x:v>
      </x:c>
      <x:c r="Y240" s="25" t="n">
        <x:v>19319.999999999996</x:v>
      </x:c>
      <x:c r="Z240" s="25" t="n">
        <x:v>-307042.23</x:v>
      </x:c>
      <x:c r="AA240" s="25" t="n">
        <x:v>-326362.23</x:v>
      </x:c>
      <x:c r="AB240" s="25" t="n">
        <x:v>-2.5599165891438815</x:v>
      </x:c>
      <x:c r="AC240" s="25" t="n">
        <x:v>-15.8924549689441</x:v>
      </x:c>
      <x:c r="AD240" s="25" t="n">
        <x:v>-307042.23</x:v>
      </x:c>
      <x:c r="AE240" s="25" t="n">
        <x:v>298423.44</x:v>
      </x:c>
      <x:c r="AF240" s="25" t="n">
        <x:v>746058.6</x:v>
      </x:c>
      <x:c r="AG240" s="25" t="n">
        <x:v>0.2730453680180082</x:v>
      </x:c>
      <x:c r="AH240" s="25" t="n">
        <x:v>4.7649301143583225</x:v>
      </x:c>
      <x:c r="AI240" t="n">
        <x:f>Z240-Y240</x:f>
        <x:v>-326362.23</x:v>
      </x:c>
      <x:c r="AJ240" t="n">
        <x:f>AA240/S240</x:f>
        <x:v>-2.5599165891438815</x:v>
      </x:c>
      <x:c r="AK240" t="n">
        <x:f>Z240/Y240</x:f>
        <x:v>-15.8924549689441</x:v>
      </x:c>
    </x:row>
    <x:row r="241" ht="15" customHeight="1">
      <x:c r="A241" s="25" t="str">
        <x:v>FLEX</x:v>
      </x:c>
      <x:c r="B241" s="25" t="n">
        <x:v>100</x:v>
      </x:c>
      <x:c r="C241" s="25" t="str">
        <x:v>Togo</x:v>
      </x:c>
      <x:c r="D241" s="25" t="str">
        <x:v>Disaster</x:v>
      </x:c>
      <x:c r="E241" s="25" t="n">
        <x:v>8</x:v>
      </x:c>
      <x:c r="F241" s="25" t="n">
        <x:v>4</x:v>
      </x:c>
      <x:c r="G241" s="25" t="n">
        <x:v>3</x:v>
      </x:c>
      <x:c r="H241" s="25" t="n">
        <x:v>35</x:v>
      </x:c>
      <x:c r="I241" s="25" t="str">
        <x:v>Équilibré</x:v>
      </x:c>
      <x:c r="J241" s="25" t="n">
        <x:v>1</x:v>
      </x:c>
      <x:c r="K241" s="25" t="n">
        <x:v>44900</x:v>
      </x:c>
      <x:c r="L241" s="25" t="n">
        <x:v>269900</x:v>
      </x:c>
      <x:c r="M241" s="25" t="n">
        <x:v>314800</x:v>
      </x:c>
      <x:c r="N241" s="25" t="n">
        <x:v>0.36</x:v>
      </x:c>
      <x:c r="O241" s="25" t="n">
        <x:v>0.85</x:v>
      </x:c>
      <x:c r="P241" s="25" t="n">
        <x:v>0.306</x:v>
      </x:c>
      <x:c r="Q241" s="25" t="n">
        <x:v>0.45</x:v>
      </x:c>
      <x:c r="R241" s="25" t="n">
        <x:v>2.6</x:v>
      </x:c>
      <x:c r="S241" s="25" t="n">
        <x:v>127489.4</x:v>
      </x:c>
      <x:c r="T241" s="25" t="n">
        <x:v>10199.152</x:v>
      </x:c>
      <x:c r="U241" s="25" t="n">
        <x:v>6374.47</x:v>
      </x:c>
      <x:c r="V241" s="25" t="n">
        <x:v>10112.64</x:v>
      </x:c>
      <x:c r="W241" s="25" t="n">
        <x:v>397897.92</x:v>
      </x:c>
      <x:c r="X241" s="25" t="n">
        <x:v>9947.448</x:v>
      </x:c>
      <x:c r="Y241" s="25" t="n">
        <x:v>23520</x:v>
      </x:c>
      <x:c r="Z241" s="25" t="n">
        <x:v>-307042.23</x:v>
      </x:c>
      <x:c r="AA241" s="25" t="n">
        <x:v>-330562.23</x:v>
      </x:c>
      <x:c r="AB241" s="25" t="n">
        <x:v>-2.592860504481157</x:v>
      </x:c>
      <x:c r="AC241" s="25" t="n">
        <x:v>-13.054516581632653</x:v>
      </x:c>
      <x:c r="AD241" s="25" t="n">
        <x:v>-307042.23</x:v>
      </x:c>
      <x:c r="AE241" s="25" t="n">
        <x:v>298423.44</x:v>
      </x:c>
      <x:c r="AF241" s="25" t="n">
        <x:v>746058.6</x:v>
      </x:c>
      <x:c r="AG241" s="25" t="n">
        <x:v>0.258971406535626</x:v>
      </x:c>
      <x:c r="AH241" s="25" t="n">
        <x:v>4.7649301143583225</x:v>
      </x:c>
      <x:c r="AI241" t="n">
        <x:f>Z241-Y241</x:f>
        <x:v>-330562.23</x:v>
      </x:c>
      <x:c r="AJ241" t="n">
        <x:f>AA241/S241</x:f>
        <x:v>-2.592860504481157</x:v>
      </x:c>
      <x:c r="AK241" t="n">
        <x:f>Z241/Y241</x:f>
        <x:v>-13.054516581632653</x:v>
      </x:c>
    </x:row>
    <x:row r="242" ht="15" customHeight="1">
      <x:c r="A242" s="25" t="str">
        <x:v>INSTANT</x:v>
      </x:c>
      <x:c r="B242" s="25" t="n">
        <x:v>5</x:v>
      </x:c>
      <x:c r="C242" s="25" t="str">
        <x:v>Côte d’Ivoire</x:v>
      </x:c>
      <x:c r="D242" s="25" t="str">
        <x:v>Disaster</x:v>
      </x:c>
      <x:c r="E242" s="25" t="n">
        <x:v>8</x:v>
      </x:c>
      <x:c r="F242" s="25" t="n">
        <x:v>4</x:v>
      </x:c>
      <x:c r="G242" s="25" t="n">
        <x:v>3</x:v>
      </x:c>
      <x:c r="H242" s="25" t="n">
        <x:v>30</x:v>
      </x:c>
      <x:c r="I242" s="25" t="str">
        <x:v>Conservateur</x:v>
      </x:c>
      <x:c r="J242" s="25" t="n">
        <x:v>1</x:v>
      </x:c>
      <x:c r="K242" s="25" t="n">
        <x:v>39900</x:v>
      </x:c>
      <x:c r="L242" s="25" t="n">
        <x:v>0</x:v>
      </x:c>
      <x:c r="M242" s="25" t="n">
        <x:v>39900</x:v>
      </x:c>
      <x:c r="N242" s="25" t="n">
        <x:v>1</x:v>
      </x:c>
      <x:c r="O242" s="25" t="n">
        <x:v>1</x:v>
      </x:c>
      <x:c r="P242" s="25" t="n">
        <x:v>1</x:v>
      </x:c>
      <x:c r="Q242" s="25" t="n">
        <x:v>0.24569999999999997</x:v>
      </x:c>
      <x:c r="R242" s="25" t="n">
        <x:v>2.2</x:v>
      </x:c>
      <x:c r="S242" s="25" t="n">
        <x:v>39900</x:v>
      </x:c>
      <x:c r="T242" s="25" t="n">
        <x:v>3192</x:v>
      </x:c>
      <x:c r="U242" s="25" t="n">
        <x:v>1995</x:v>
      </x:c>
      <x:c r="V242" s="25" t="n">
        <x:v>18160</x:v>
      </x:c>
      <x:c r="W242" s="25" t="n">
        <x:v>27972.945000000007</x:v>
      </x:c>
      <x:c r="X242" s="25" t="n">
        <x:v>699.3236250000002</x:v>
      </x:c>
      <x:c r="Y242" s="25" t="n">
        <x:v>40920</x:v>
      </x:c>
      <x:c r="Z242" s="25" t="n">
        <x:v>-12119.268625000008</x:v>
      </x:c>
      <x:c r="AA242" s="25" t="n">
        <x:v>-53039.26862500001</x:v>
      </x:c>
      <x:c r="AB242" s="25" t="n">
        <x:v>-1.3293049780701758</x:v>
      </x:c>
      <x:c r="AC242" s="25" t="n">
        <x:v>-0.2961698099951126</x:v>
      </x:c>
      <x:c r="AD242" s="25" t="n">
        <x:v>-12119.268625000008</x:v>
      </x:c>
      <x:c r="AE242" s="25" t="n">
        <x:v>20979.708750000005</x:v>
      </x:c>
      <x:c r="AF242" s="25" t="n">
        <x:v>52449.27187500001</x:v>
      </x:c>
      <x:c r="AG242" s="25" t="n">
        <x:v>-1.1614555897969743</x:v>
      </x:c>
      <x:c r="AH242" s="25" t="n">
        <x:v>3.7593984962406015</x:v>
      </x:c>
      <x:c r="AI242" t="n">
        <x:f>Z242-Y242</x:f>
        <x:v>-53039.26862500001</x:v>
      </x:c>
      <x:c r="AJ242" t="n">
        <x:f>AA242/S242</x:f>
        <x:v>-1.3293049780701758</x:v>
      </x:c>
      <x:c r="AK242" t="n">
        <x:f>Z242/Y242</x:f>
        <x:v>-0.2961698099951126</x:v>
      </x:c>
    </x:row>
    <x:row r="243" ht="15" customHeight="1">
      <x:c r="A243" s="25" t="str">
        <x:v>INSTANT</x:v>
      </x:c>
      <x:c r="B243" s="25" t="n">
        <x:v>5</x:v>
      </x:c>
      <x:c r="C243" s="25" t="str">
        <x:v>Cameroun</x:v>
      </x:c>
      <x:c r="D243" s="25" t="str">
        <x:v>Disaster</x:v>
      </x:c>
      <x:c r="E243" s="25" t="n">
        <x:v>8</x:v>
      </x:c>
      <x:c r="F243" s="25" t="n">
        <x:v>4</x:v>
      </x:c>
      <x:c r="G243" s="25" t="n">
        <x:v>3</x:v>
      </x:c>
      <x:c r="H243" s="25" t="n">
        <x:v>30</x:v>
      </x:c>
      <x:c r="I243" s="25" t="str">
        <x:v>Conservateur</x:v>
      </x:c>
      <x:c r="J243" s="25" t="n">
        <x:v>1</x:v>
      </x:c>
      <x:c r="K243" s="25" t="n">
        <x:v>39900</x:v>
      </x:c>
      <x:c r="L243" s="25" t="n">
        <x:v>0</x:v>
      </x:c>
      <x:c r="M243" s="25" t="n">
        <x:v>39900</x:v>
      </x:c>
      <x:c r="N243" s="25" t="n">
        <x:v>1</x:v>
      </x:c>
      <x:c r="O243" s="25" t="n">
        <x:v>1</x:v>
      </x:c>
      <x:c r="P243" s="25" t="n">
        <x:v>1</x:v>
      </x:c>
      <x:c r="Q243" s="25" t="n">
        <x:v>0.24569999999999997</x:v>
      </x:c>
      <x:c r="R243" s="25" t="n">
        <x:v>2.2</x:v>
      </x:c>
      <x:c r="S243" s="25" t="n">
        <x:v>39900</x:v>
      </x:c>
      <x:c r="T243" s="25" t="n">
        <x:v>3192</x:v>
      </x:c>
      <x:c r="U243" s="25" t="n">
        <x:v>1995</x:v>
      </x:c>
      <x:c r="V243" s="25" t="n">
        <x:v>18160</x:v>
      </x:c>
      <x:c r="W243" s="25" t="n">
        <x:v>27972.945000000007</x:v>
      </x:c>
      <x:c r="X243" s="25" t="n">
        <x:v>699.3236250000002</x:v>
      </x:c>
      <x:c r="Y243" s="25" t="n">
        <x:v>44640</x:v>
      </x:c>
      <x:c r="Z243" s="25" t="n">
        <x:v>-12119.268625000008</x:v>
      </x:c>
      <x:c r="AA243" s="25" t="n">
        <x:v>-56759.26862500001</x:v>
      </x:c>
      <x:c r="AB243" s="25" t="n">
        <x:v>-1.4225380607769427</x:v>
      </x:c>
      <x:c r="AC243" s="25" t="n">
        <x:v>-0.2714889924955199</x:v>
      </x:c>
      <x:c r="AD243" s="25" t="n">
        <x:v>-12119.268625000008</x:v>
      </x:c>
      <x:c r="AE243" s="25" t="n">
        <x:v>20979.708750000005</x:v>
      </x:c>
      <x:c r="AF243" s="25" t="n">
        <x:v>52449.27187500001</x:v>
      </x:c>
      <x:c r="AG243" s="25" t="n">
        <x:v>-1.3387697767729971</x:v>
      </x:c>
      <x:c r="AH243" s="25" t="n">
        <x:v>3.7593984962406015</x:v>
      </x:c>
      <x:c r="AI243" t="n">
        <x:f>Z243-Y243</x:f>
        <x:v>-56759.26862500001</x:v>
      </x:c>
      <x:c r="AJ243" t="n">
        <x:f>AA243/S243</x:f>
        <x:v>-1.4225380607769427</x:v>
      </x:c>
      <x:c r="AK243" t="n">
        <x:f>Z243/Y243</x:f>
        <x:v>-0.2714889924955199</x:v>
      </x:c>
    </x:row>
    <x:row r="244" ht="15" customHeight="1">
      <x:c r="A244" s="25" t="str">
        <x:v>INSTANT</x:v>
      </x:c>
      <x:c r="B244" s="25" t="n">
        <x:v>5</x:v>
      </x:c>
      <x:c r="C244" s="25" t="str">
        <x:v>Sénégal</x:v>
      </x:c>
      <x:c r="D244" s="25" t="str">
        <x:v>Disaster</x:v>
      </x:c>
      <x:c r="E244" s="25" t="n">
        <x:v>8</x:v>
      </x:c>
      <x:c r="F244" s="25" t="n">
        <x:v>4</x:v>
      </x:c>
      <x:c r="G244" s="25" t="n">
        <x:v>3</x:v>
      </x:c>
      <x:c r="H244" s="25" t="n">
        <x:v>30</x:v>
      </x:c>
      <x:c r="I244" s="25" t="str">
        <x:v>Conservateur</x:v>
      </x:c>
      <x:c r="J244" s="25" t="n">
        <x:v>1</x:v>
      </x:c>
      <x:c r="K244" s="25" t="n">
        <x:v>39900</x:v>
      </x:c>
      <x:c r="L244" s="25" t="n">
        <x:v>0</x:v>
      </x:c>
      <x:c r="M244" s="25" t="n">
        <x:v>39900</x:v>
      </x:c>
      <x:c r="N244" s="25" t="n">
        <x:v>1</x:v>
      </x:c>
      <x:c r="O244" s="25" t="n">
        <x:v>1</x:v>
      </x:c>
      <x:c r="P244" s="25" t="n">
        <x:v>1</x:v>
      </x:c>
      <x:c r="Q244" s="25" t="n">
        <x:v>0.24569999999999997</x:v>
      </x:c>
      <x:c r="R244" s="25" t="n">
        <x:v>2.2</x:v>
      </x:c>
      <x:c r="S244" s="25" t="n">
        <x:v>39900</x:v>
      </x:c>
      <x:c r="T244" s="25" t="n">
        <x:v>3192</x:v>
      </x:c>
      <x:c r="U244" s="25" t="n">
        <x:v>1995</x:v>
      </x:c>
      <x:c r="V244" s="25" t="n">
        <x:v>18160</x:v>
      </x:c>
      <x:c r="W244" s="25" t="n">
        <x:v>27972.945000000007</x:v>
      </x:c>
      <x:c r="X244" s="25" t="n">
        <x:v>699.3236250000002</x:v>
      </x:c>
      <x:c r="Y244" s="25" t="n">
        <x:v>55800</x:v>
      </x:c>
      <x:c r="Z244" s="25" t="n">
        <x:v>-12119.268625000008</x:v>
      </x:c>
      <x:c r="AA244" s="25" t="n">
        <x:v>-67919.26862500001</x:v>
      </x:c>
      <x:c r="AB244" s="25" t="n">
        <x:v>-1.7022373088972433</x:v>
      </x:c>
      <x:c r="AC244" s="25" t="n">
        <x:v>-0.2171911939964159</x:v>
      </x:c>
      <x:c r="AD244" s="25" t="n">
        <x:v>-12119.268625000008</x:v>
      </x:c>
      <x:c r="AE244" s="25" t="n">
        <x:v>20979.708750000005</x:v>
      </x:c>
      <x:c r="AF244" s="25" t="n">
        <x:v>52449.27187500001</x:v>
      </x:c>
      <x:c r="AG244" s="25" t="n">
        <x:v>-1.870712337701065</x:v>
      </x:c>
      <x:c r="AH244" s="25" t="n">
        <x:v>3.7593984962406015</x:v>
      </x:c>
      <x:c r="AI244" t="n">
        <x:f>Z244-Y244</x:f>
        <x:v>-67919.26862500001</x:v>
      </x:c>
      <x:c r="AJ244" t="n">
        <x:f>AA244/S244</x:f>
        <x:v>-1.7022373088972433</x:v>
      </x:c>
      <x:c r="AK244" t="n">
        <x:f>Z244/Y244</x:f>
        <x:v>-0.2171911939964159</x:v>
      </x:c>
    </x:row>
    <x:row r="245" ht="15" customHeight="1">
      <x:c r="A245" s="25" t="str">
        <x:v>INSTANT</x:v>
      </x:c>
      <x:c r="B245" s="25" t="n">
        <x:v>5</x:v>
      </x:c>
      <x:c r="C245" s="25" t="str">
        <x:v>Bénin</x:v>
      </x:c>
      <x:c r="D245" s="25" t="str">
        <x:v>Disaster</x:v>
      </x:c>
      <x:c r="E245" s="25" t="n">
        <x:v>8</x:v>
      </x:c>
      <x:c r="F245" s="25" t="n">
        <x:v>4</x:v>
      </x:c>
      <x:c r="G245" s="25" t="n">
        <x:v>3</x:v>
      </x:c>
      <x:c r="H245" s="25" t="n">
        <x:v>30</x:v>
      </x:c>
      <x:c r="I245" s="25" t="str">
        <x:v>Conservateur</x:v>
      </x:c>
      <x:c r="J245" s="25" t="n">
        <x:v>1</x:v>
      </x:c>
      <x:c r="K245" s="25" t="n">
        <x:v>39900</x:v>
      </x:c>
      <x:c r="L245" s="25" t="n">
        <x:v>0</x:v>
      </x:c>
      <x:c r="M245" s="25" t="n">
        <x:v>39900</x:v>
      </x:c>
      <x:c r="N245" s="25" t="n">
        <x:v>1</x:v>
      </x:c>
      <x:c r="O245" s="25" t="n">
        <x:v>1</x:v>
      </x:c>
      <x:c r="P245" s="25" t="n">
        <x:v>1</x:v>
      </x:c>
      <x:c r="Q245" s="25" t="n">
        <x:v>0.24569999999999997</x:v>
      </x:c>
      <x:c r="R245" s="25" t="n">
        <x:v>2.2</x:v>
      </x:c>
      <x:c r="S245" s="25" t="n">
        <x:v>39900</x:v>
      </x:c>
      <x:c r="T245" s="25" t="n">
        <x:v>3192</x:v>
      </x:c>
      <x:c r="U245" s="25" t="n">
        <x:v>1995</x:v>
      </x:c>
      <x:c r="V245" s="25" t="n">
        <x:v>18160</x:v>
      </x:c>
      <x:c r="W245" s="25" t="n">
        <x:v>27972.945000000007</x:v>
      </x:c>
      <x:c r="X245" s="25" t="n">
        <x:v>699.3236250000002</x:v>
      </x:c>
      <x:c r="Y245" s="25" t="n">
        <x:v>37200</x:v>
      </x:c>
      <x:c r="Z245" s="25" t="n">
        <x:v>-12119.268625000008</x:v>
      </x:c>
      <x:c r="AA245" s="25" t="n">
        <x:v>-49319.26862500001</x:v>
      </x:c>
      <x:c r="AB245" s="25" t="n">
        <x:v>-1.236071895363409</x:v>
      </x:c>
      <x:c r="AC245" s="25" t="n">
        <x:v>-0.3257867909946239</x:v>
      </x:c>
      <x:c r="AD245" s="25" t="n">
        <x:v>-12119.268625000008</x:v>
      </x:c>
      <x:c r="AE245" s="25" t="n">
        <x:v>20979.708750000005</x:v>
      </x:c>
      <x:c r="AF245" s="25" t="n">
        <x:v>52449.27187500001</x:v>
      </x:c>
      <x:c r="AG245" s="25" t="n">
        <x:v>-0.9841414028209516</x:v>
      </x:c>
      <x:c r="AH245" s="25" t="n">
        <x:v>3.7593984962406015</x:v>
      </x:c>
      <x:c r="AI245" t="n">
        <x:f>Z245-Y245</x:f>
        <x:v>-49319.26862500001</x:v>
      </x:c>
      <x:c r="AJ245" t="n">
        <x:f>AA245/S245</x:f>
        <x:v>-1.236071895363409</x:v>
      </x:c>
      <x:c r="AK245" t="n">
        <x:f>Z245/Y245</x:f>
        <x:v>-0.3257867909946239</x:v>
      </x:c>
    </x:row>
    <x:row r="246" ht="15" customHeight="1">
      <x:c r="A246" s="25" t="str">
        <x:v>INSTANT</x:v>
      </x:c>
      <x:c r="B246" s="25" t="n">
        <x:v>5</x:v>
      </x:c>
      <x:c r="C246" s="25" t="str">
        <x:v>Burkina Faso</x:v>
      </x:c>
      <x:c r="D246" s="25" t="str">
        <x:v>Disaster</x:v>
      </x:c>
      <x:c r="E246" s="25" t="n">
        <x:v>8</x:v>
      </x:c>
      <x:c r="F246" s="25" t="n">
        <x:v>4</x:v>
      </x:c>
      <x:c r="G246" s="25" t="n">
        <x:v>3</x:v>
      </x:c>
      <x:c r="H246" s="25" t="n">
        <x:v>30</x:v>
      </x:c>
      <x:c r="I246" s="25" t="str">
        <x:v>Conservateur</x:v>
      </x:c>
      <x:c r="J246" s="25" t="n">
        <x:v>1</x:v>
      </x:c>
      <x:c r="K246" s="25" t="n">
        <x:v>39900</x:v>
      </x:c>
      <x:c r="L246" s="25" t="n">
        <x:v>0</x:v>
      </x:c>
      <x:c r="M246" s="25" t="n">
        <x:v>39900</x:v>
      </x:c>
      <x:c r="N246" s="25" t="n">
        <x:v>1</x:v>
      </x:c>
      <x:c r="O246" s="25" t="n">
        <x:v>1</x:v>
      </x:c>
      <x:c r="P246" s="25" t="n">
        <x:v>1</x:v>
      </x:c>
      <x:c r="Q246" s="25" t="n">
        <x:v>0.24569999999999997</x:v>
      </x:c>
      <x:c r="R246" s="25" t="n">
        <x:v>2.2</x:v>
      </x:c>
      <x:c r="S246" s="25" t="n">
        <x:v>39900</x:v>
      </x:c>
      <x:c r="T246" s="25" t="n">
        <x:v>3192</x:v>
      </x:c>
      <x:c r="U246" s="25" t="n">
        <x:v>1995</x:v>
      </x:c>
      <x:c r="V246" s="25" t="n">
        <x:v>18160</x:v>
      </x:c>
      <x:c r="W246" s="25" t="n">
        <x:v>27972.945000000007</x:v>
      </x:c>
      <x:c r="X246" s="25" t="n">
        <x:v>699.3236250000002</x:v>
      </x:c>
      <x:c r="Y246" s="25" t="n">
        <x:v>42780</x:v>
      </x:c>
      <x:c r="Z246" s="25" t="n">
        <x:v>-12119.268625000008</x:v>
      </x:c>
      <x:c r="AA246" s="25" t="n">
        <x:v>-54899.26862500001</x:v>
      </x:c>
      <x:c r="AB246" s="25" t="n">
        <x:v>-1.3759215194235592</x:v>
      </x:c>
      <x:c r="AC246" s="25" t="n">
        <x:v>-0.28329286173445556</x:v>
      </x:c>
      <x:c r="AD246" s="25" t="n">
        <x:v>-12119.268625000008</x:v>
      </x:c>
      <x:c r="AE246" s="25" t="n">
        <x:v>20979.708750000005</x:v>
      </x:c>
      <x:c r="AF246" s="25" t="n">
        <x:v>52449.27187500001</x:v>
      </x:c>
      <x:c r="AG246" s="25" t="n">
        <x:v>-1.2501126832849858</x:v>
      </x:c>
      <x:c r="AH246" s="25" t="n">
        <x:v>3.7593984962406015</x:v>
      </x:c>
      <x:c r="AI246" t="n">
        <x:f>Z246-Y246</x:f>
        <x:v>-54899.26862500001</x:v>
      </x:c>
      <x:c r="AJ246" t="n">
        <x:f>AA246/S246</x:f>
        <x:v>-1.3759215194235592</x:v>
      </x:c>
      <x:c r="AK246" t="n">
        <x:f>Z246/Y246</x:f>
        <x:v>-0.28329286173445556</x:v>
      </x:c>
    </x:row>
    <x:row r="247" ht="15" customHeight="1">
      <x:c r="A247" s="25" t="str">
        <x:v>INSTANT</x:v>
      </x:c>
      <x:c r="B247" s="25" t="n">
        <x:v>5</x:v>
      </x:c>
      <x:c r="C247" s="25" t="str">
        <x:v>Togo</x:v>
      </x:c>
      <x:c r="D247" s="25" t="str">
        <x:v>Disaster</x:v>
      </x:c>
      <x:c r="E247" s="25" t="n">
        <x:v>8</x:v>
      </x:c>
      <x:c r="F247" s="25" t="n">
        <x:v>4</x:v>
      </x:c>
      <x:c r="G247" s="25" t="n">
        <x:v>3</x:v>
      </x:c>
      <x:c r="H247" s="25" t="n">
        <x:v>30</x:v>
      </x:c>
      <x:c r="I247" s="25" t="str">
        <x:v>Conservateur</x:v>
      </x:c>
      <x:c r="J247" s="25" t="n">
        <x:v>1</x:v>
      </x:c>
      <x:c r="K247" s="25" t="n">
        <x:v>39900</x:v>
      </x:c>
      <x:c r="L247" s="25" t="n">
        <x:v>0</x:v>
      </x:c>
      <x:c r="M247" s="25" t="n">
        <x:v>39900</x:v>
      </x:c>
      <x:c r="N247" s="25" t="n">
        <x:v>1</x:v>
      </x:c>
      <x:c r="O247" s="25" t="n">
        <x:v>1</x:v>
      </x:c>
      <x:c r="P247" s="25" t="n">
        <x:v>1</x:v>
      </x:c>
      <x:c r="Q247" s="25" t="n">
        <x:v>0.24569999999999997</x:v>
      </x:c>
      <x:c r="R247" s="25" t="n">
        <x:v>2.2</x:v>
      </x:c>
      <x:c r="S247" s="25" t="n">
        <x:v>39900</x:v>
      </x:c>
      <x:c r="T247" s="25" t="n">
        <x:v>3192</x:v>
      </x:c>
      <x:c r="U247" s="25" t="n">
        <x:v>1995</x:v>
      </x:c>
      <x:c r="V247" s="25" t="n">
        <x:v>18160</x:v>
      </x:c>
      <x:c r="W247" s="25" t="n">
        <x:v>27972.945000000007</x:v>
      </x:c>
      <x:c r="X247" s="25" t="n">
        <x:v>699.3236250000002</x:v>
      </x:c>
      <x:c r="Y247" s="25" t="n">
        <x:v>52080</x:v>
      </x:c>
      <x:c r="Z247" s="25" t="n">
        <x:v>-12119.268625000008</x:v>
      </x:c>
      <x:c r="AA247" s="25" t="n">
        <x:v>-64199.26862500001</x:v>
      </x:c>
      <x:c r="AB247" s="25" t="n">
        <x:v>-1.6090042261904764</x:v>
      </x:c>
      <x:c r="AC247" s="25" t="n">
        <x:v>-0.2327048507104456</x:v>
      </x:c>
      <x:c r="AD247" s="25" t="n">
        <x:v>-12119.268625000008</x:v>
      </x:c>
      <x:c r="AE247" s="25" t="n">
        <x:v>20979.708750000005</x:v>
      </x:c>
      <x:c r="AF247" s="25" t="n">
        <x:v>52449.27187500001</x:v>
      </x:c>
      <x:c r="AG247" s="25" t="n">
        <x:v>-1.6933981507250424</x:v>
      </x:c>
      <x:c r="AH247" s="25" t="n">
        <x:v>3.7593984962406015</x:v>
      </x:c>
      <x:c r="AI247" t="n">
        <x:f>Z247-Y247</x:f>
        <x:v>-64199.26862500001</x:v>
      </x:c>
      <x:c r="AJ247" t="n">
        <x:f>AA247/S247</x:f>
        <x:v>-1.6090042261904764</x:v>
      </x:c>
      <x:c r="AK247" t="n">
        <x:f>Z247/Y247</x:f>
        <x:v>-0.2327048507104456</x:v>
      </x:c>
    </x:row>
    <x:row r="248" ht="15" customHeight="1">
      <x:c r="A248" s="25" t="str">
        <x:v>INSTANT</x:v>
      </x:c>
      <x:c r="B248" s="25" t="n">
        <x:v>10</x:v>
      </x:c>
      <x:c r="C248" s="25" t="str">
        <x:v>Côte d’Ivoire</x:v>
      </x:c>
      <x:c r="D248" s="25" t="str">
        <x:v>Disaster</x:v>
      </x:c>
      <x:c r="E248" s="25" t="n">
        <x:v>8</x:v>
      </x:c>
      <x:c r="F248" s="25" t="n">
        <x:v>4</x:v>
      </x:c>
      <x:c r="G248" s="25" t="n">
        <x:v>3</x:v>
      </x:c>
      <x:c r="H248" s="25" t="n">
        <x:v>30</x:v>
      </x:c>
      <x:c r="I248" s="25" t="str">
        <x:v>Conservateur</x:v>
      </x:c>
      <x:c r="J248" s="25" t="n">
        <x:v>1</x:v>
      </x:c>
      <x:c r="K248" s="25" t="n">
        <x:v>59900</x:v>
      </x:c>
      <x:c r="L248" s="25" t="n">
        <x:v>0</x:v>
      </x:c>
      <x:c r="M248" s="25" t="n">
        <x:v>59900</x:v>
      </x:c>
      <x:c r="N248" s="25" t="n">
        <x:v>1</x:v>
      </x:c>
      <x:c r="O248" s="25" t="n">
        <x:v>1</x:v>
      </x:c>
      <x:c r="P248" s="25" t="n">
        <x:v>1</x:v>
      </x:c>
      <x:c r="Q248" s="25" t="n">
        <x:v>0.24569999999999997</x:v>
      </x:c>
      <x:c r="R248" s="25" t="n">
        <x:v>2.2</x:v>
      </x:c>
      <x:c r="S248" s="25" t="n">
        <x:v>59900</x:v>
      </x:c>
      <x:c r="T248" s="25" t="n">
        <x:v>4792</x:v>
      </x:c>
      <x:c r="U248" s="25" t="n">
        <x:v>2995</x:v>
      </x:c>
      <x:c r="V248" s="25" t="n">
        <x:v>18160</x:v>
      </x:c>
      <x:c r="W248" s="25" t="n">
        <x:v>55945.890000000014</x:v>
      </x:c>
      <x:c r="X248" s="25" t="n">
        <x:v>1398.6472500000004</x:v>
      </x:c>
      <x:c r="Y248" s="25" t="n">
        <x:v>40920</x:v>
      </x:c>
      <x:c r="Z248" s="25" t="n">
        <x:v>-23391.537250000016</x:v>
      </x:c>
      <x:c r="AA248" s="25" t="n">
        <x:v>-64311.537250000016</x:v>
      </x:c>
      <x:c r="AB248" s="25" t="n">
        <x:v>-1.0736483681135227</x:v>
      </x:c>
      <x:c r="AC248" s="25" t="n">
        <x:v>-0.5716406952590424</x:v>
      </x:c>
      <x:c r="AD248" s="25" t="n">
        <x:v>-23391.537250000016</x:v>
      </x:c>
      <x:c r="AE248" s="25" t="n">
        <x:v>41959.41750000001</x:v>
      </x:c>
      <x:c r="AF248" s="25" t="n">
        <x:v>104898.54375000003</x:v>
      </x:c>
      <x:c r="AG248" s="25" t="n">
        <x:v>-0.166041389873918</x:v>
      </x:c>
      <x:c r="AH248" s="25" t="n">
        <x:v>4.006677796327212</x:v>
      </x:c>
      <x:c r="AI248" t="n">
        <x:f>Z248-Y248</x:f>
        <x:v>-64311.537250000016</x:v>
      </x:c>
      <x:c r="AJ248" t="n">
        <x:f>AA248/S248</x:f>
        <x:v>-1.0736483681135227</x:v>
      </x:c>
      <x:c r="AK248" t="n">
        <x:f>Z248/Y248</x:f>
        <x:v>-0.5716406952590424</x:v>
      </x:c>
    </x:row>
    <x:row r="249" ht="15" customHeight="1">
      <x:c r="A249" s="25" t="str">
        <x:v>INSTANT</x:v>
      </x:c>
      <x:c r="B249" s="25" t="n">
        <x:v>10</x:v>
      </x:c>
      <x:c r="C249" s="25" t="str">
        <x:v>Cameroun</x:v>
      </x:c>
      <x:c r="D249" s="25" t="str">
        <x:v>Disaster</x:v>
      </x:c>
      <x:c r="E249" s="25" t="n">
        <x:v>8</x:v>
      </x:c>
      <x:c r="F249" s="25" t="n">
        <x:v>4</x:v>
      </x:c>
      <x:c r="G249" s="25" t="n">
        <x:v>3</x:v>
      </x:c>
      <x:c r="H249" s="25" t="n">
        <x:v>30</x:v>
      </x:c>
      <x:c r="I249" s="25" t="str">
        <x:v>Conservateur</x:v>
      </x:c>
      <x:c r="J249" s="25" t="n">
        <x:v>1</x:v>
      </x:c>
      <x:c r="K249" s="25" t="n">
        <x:v>59900</x:v>
      </x:c>
      <x:c r="L249" s="25" t="n">
        <x:v>0</x:v>
      </x:c>
      <x:c r="M249" s="25" t="n">
        <x:v>59900</x:v>
      </x:c>
      <x:c r="N249" s="25" t="n">
        <x:v>1</x:v>
      </x:c>
      <x:c r="O249" s="25" t="n">
        <x:v>1</x:v>
      </x:c>
      <x:c r="P249" s="25" t="n">
        <x:v>1</x:v>
      </x:c>
      <x:c r="Q249" s="25" t="n">
        <x:v>0.24569999999999997</x:v>
      </x:c>
      <x:c r="R249" s="25" t="n">
        <x:v>2.2</x:v>
      </x:c>
      <x:c r="S249" s="25" t="n">
        <x:v>59900</x:v>
      </x:c>
      <x:c r="T249" s="25" t="n">
        <x:v>4792</x:v>
      </x:c>
      <x:c r="U249" s="25" t="n">
        <x:v>2995</x:v>
      </x:c>
      <x:c r="V249" s="25" t="n">
        <x:v>18160</x:v>
      </x:c>
      <x:c r="W249" s="25" t="n">
        <x:v>55945.890000000014</x:v>
      </x:c>
      <x:c r="X249" s="25" t="n">
        <x:v>1398.6472500000004</x:v>
      </x:c>
      <x:c r="Y249" s="25" t="n">
        <x:v>44640</x:v>
      </x:c>
      <x:c r="Z249" s="25" t="n">
        <x:v>-23391.537250000016</x:v>
      </x:c>
      <x:c r="AA249" s="25" t="n">
        <x:v>-68031.53725000002</x:v>
      </x:c>
      <x:c r="AB249" s="25" t="n">
        <x:v>-1.1357518739565946</x:v>
      </x:c>
      <x:c r="AC249" s="25" t="n">
        <x:v>-0.5240039706541222</x:v>
      </x:c>
      <x:c r="AD249" s="25" t="n">
        <x:v>-23391.537250000016</x:v>
      </x:c>
      <x:c r="AE249" s="25" t="n">
        <x:v>41959.41750000001</x:v>
      </x:c>
      <x:c r="AF249" s="25" t="n">
        <x:v>104898.54375000003</x:v>
      </x:c>
      <x:c r="AG249" s="25" t="n">
        <x:v>-0.25469848336192935</x:v>
      </x:c>
      <x:c r="AH249" s="25" t="n">
        <x:v>4.006677796327212</x:v>
      </x:c>
      <x:c r="AI249" t="n">
        <x:f>Z249-Y249</x:f>
        <x:v>-68031.53725000002</x:v>
      </x:c>
      <x:c r="AJ249" t="n">
        <x:f>AA249/S249</x:f>
        <x:v>-1.1357518739565946</x:v>
      </x:c>
      <x:c r="AK249" t="n">
        <x:f>Z249/Y249</x:f>
        <x:v>-0.5240039706541222</x:v>
      </x:c>
    </x:row>
    <x:row r="250" ht="15" customHeight="1">
      <x:c r="A250" s="25" t="str">
        <x:v>INSTANT</x:v>
      </x:c>
      <x:c r="B250" s="25" t="n">
        <x:v>10</x:v>
      </x:c>
      <x:c r="C250" s="25" t="str">
        <x:v>Sénégal</x:v>
      </x:c>
      <x:c r="D250" s="25" t="str">
        <x:v>Disaster</x:v>
      </x:c>
      <x:c r="E250" s="25" t="n">
        <x:v>8</x:v>
      </x:c>
      <x:c r="F250" s="25" t="n">
        <x:v>4</x:v>
      </x:c>
      <x:c r="G250" s="25" t="n">
        <x:v>3</x:v>
      </x:c>
      <x:c r="H250" s="25" t="n">
        <x:v>30</x:v>
      </x:c>
      <x:c r="I250" s="25" t="str">
        <x:v>Conservateur</x:v>
      </x:c>
      <x:c r="J250" s="25" t="n">
        <x:v>1</x:v>
      </x:c>
      <x:c r="K250" s="25" t="n">
        <x:v>59900</x:v>
      </x:c>
      <x:c r="L250" s="25" t="n">
        <x:v>0</x:v>
      </x:c>
      <x:c r="M250" s="25" t="n">
        <x:v>59900</x:v>
      </x:c>
      <x:c r="N250" s="25" t="n">
        <x:v>1</x:v>
      </x:c>
      <x:c r="O250" s="25" t="n">
        <x:v>1</x:v>
      </x:c>
      <x:c r="P250" s="25" t="n">
        <x:v>1</x:v>
      </x:c>
      <x:c r="Q250" s="25" t="n">
        <x:v>0.24569999999999997</x:v>
      </x:c>
      <x:c r="R250" s="25" t="n">
        <x:v>2.2</x:v>
      </x:c>
      <x:c r="S250" s="25" t="n">
        <x:v>59900</x:v>
      </x:c>
      <x:c r="T250" s="25" t="n">
        <x:v>4792</x:v>
      </x:c>
      <x:c r="U250" s="25" t="n">
        <x:v>2995</x:v>
      </x:c>
      <x:c r="V250" s="25" t="n">
        <x:v>18160</x:v>
      </x:c>
      <x:c r="W250" s="25" t="n">
        <x:v>55945.890000000014</x:v>
      </x:c>
      <x:c r="X250" s="25" t="n">
        <x:v>1398.6472500000004</x:v>
      </x:c>
      <x:c r="Y250" s="25" t="n">
        <x:v>55800</x:v>
      </x:c>
      <x:c r="Z250" s="25" t="n">
        <x:v>-23391.537250000016</x:v>
      </x:c>
      <x:c r="AA250" s="25" t="n">
        <x:v>-79191.53725000002</x:v>
      </x:c>
      <x:c r="AB250" s="25" t="n">
        <x:v>-1.32206239148581</x:v>
      </x:c>
      <x:c r="AC250" s="25" t="n">
        <x:v>-0.41920317652329775</x:v>
      </x:c>
      <x:c r="AD250" s="25" t="n">
        <x:v>-23391.537250000016</x:v>
      </x:c>
      <x:c r="AE250" s="25" t="n">
        <x:v>41959.41750000001</x:v>
      </x:c>
      <x:c r="AF250" s="25" t="n">
        <x:v>104898.54375000003</x:v>
      </x:c>
      <x:c r="AG250" s="25" t="n">
        <x:v>-0.5206697638259634</x:v>
      </x:c>
      <x:c r="AH250" s="25" t="n">
        <x:v>4.006677796327212</x:v>
      </x:c>
      <x:c r="AI250" t="n">
        <x:f>Z250-Y250</x:f>
        <x:v>-79191.53725000002</x:v>
      </x:c>
      <x:c r="AJ250" t="n">
        <x:f>AA250/S250</x:f>
        <x:v>-1.32206239148581</x:v>
      </x:c>
      <x:c r="AK250" t="n">
        <x:f>Z250/Y250</x:f>
        <x:v>-0.41920317652329775</x:v>
      </x:c>
    </x:row>
    <x:row r="251" ht="15" customHeight="1">
      <x:c r="A251" s="25" t="str">
        <x:v>INSTANT</x:v>
      </x:c>
      <x:c r="B251" s="25" t="n">
        <x:v>10</x:v>
      </x:c>
      <x:c r="C251" s="25" t="str">
        <x:v>Bénin</x:v>
      </x:c>
      <x:c r="D251" s="25" t="str">
        <x:v>Disaster</x:v>
      </x:c>
      <x:c r="E251" s="25" t="n">
        <x:v>8</x:v>
      </x:c>
      <x:c r="F251" s="25" t="n">
        <x:v>4</x:v>
      </x:c>
      <x:c r="G251" s="25" t="n">
        <x:v>3</x:v>
      </x:c>
      <x:c r="H251" s="25" t="n">
        <x:v>30</x:v>
      </x:c>
      <x:c r="I251" s="25" t="str">
        <x:v>Conservateur</x:v>
      </x:c>
      <x:c r="J251" s="25" t="n">
        <x:v>1</x:v>
      </x:c>
      <x:c r="K251" s="25" t="n">
        <x:v>59900</x:v>
      </x:c>
      <x:c r="L251" s="25" t="n">
        <x:v>0</x:v>
      </x:c>
      <x:c r="M251" s="25" t="n">
        <x:v>59900</x:v>
      </x:c>
      <x:c r="N251" s="25" t="n">
        <x:v>1</x:v>
      </x:c>
      <x:c r="O251" s="25" t="n">
        <x:v>1</x:v>
      </x:c>
      <x:c r="P251" s="25" t="n">
        <x:v>1</x:v>
      </x:c>
      <x:c r="Q251" s="25" t="n">
        <x:v>0.24569999999999997</x:v>
      </x:c>
      <x:c r="R251" s="25" t="n">
        <x:v>2.2</x:v>
      </x:c>
      <x:c r="S251" s="25" t="n">
        <x:v>59900</x:v>
      </x:c>
      <x:c r="T251" s="25" t="n">
        <x:v>4792</x:v>
      </x:c>
      <x:c r="U251" s="25" t="n">
        <x:v>2995</x:v>
      </x:c>
      <x:c r="V251" s="25" t="n">
        <x:v>18160</x:v>
      </x:c>
      <x:c r="W251" s="25" t="n">
        <x:v>55945.890000000014</x:v>
      </x:c>
      <x:c r="X251" s="25" t="n">
        <x:v>1398.6472500000004</x:v>
      </x:c>
      <x:c r="Y251" s="25" t="n">
        <x:v>37200</x:v>
      </x:c>
      <x:c r="Z251" s="25" t="n">
        <x:v>-23391.537250000016</x:v>
      </x:c>
      <x:c r="AA251" s="25" t="n">
        <x:v>-60591.537250000016</x:v>
      </x:c>
      <x:c r="AB251" s="25" t="n">
        <x:v>-1.011544862270451</x:v>
      </x:c>
      <x:c r="AC251" s="25" t="n">
        <x:v>-0.6288047647849466</x:v>
      </x:c>
      <x:c r="AD251" s="25" t="n">
        <x:v>-23391.537250000016</x:v>
      </x:c>
      <x:c r="AE251" s="25" t="n">
        <x:v>41959.41750000001</x:v>
      </x:c>
      <x:c r="AF251" s="25" t="n">
        <x:v>104898.54375000003</x:v>
      </x:c>
      <x:c r="AG251" s="25" t="n">
        <x:v>-0.07738429638590667</x:v>
      </x:c>
      <x:c r="AH251" s="25" t="n">
        <x:v>4.006677796327212</x:v>
      </x:c>
      <x:c r="AI251" t="n">
        <x:f>Z251-Y251</x:f>
        <x:v>-60591.537250000016</x:v>
      </x:c>
      <x:c r="AJ251" t="n">
        <x:f>AA251/S251</x:f>
        <x:v>-1.011544862270451</x:v>
      </x:c>
      <x:c r="AK251" t="n">
        <x:f>Z251/Y251</x:f>
        <x:v>-0.6288047647849466</x:v>
      </x:c>
    </x:row>
    <x:row r="252" ht="15" customHeight="1">
      <x:c r="A252" s="25" t="str">
        <x:v>INSTANT</x:v>
      </x:c>
      <x:c r="B252" s="25" t="n">
        <x:v>10</x:v>
      </x:c>
      <x:c r="C252" s="25" t="str">
        <x:v>Burkina Faso</x:v>
      </x:c>
      <x:c r="D252" s="25" t="str">
        <x:v>Disaster</x:v>
      </x:c>
      <x:c r="E252" s="25" t="n">
        <x:v>8</x:v>
      </x:c>
      <x:c r="F252" s="25" t="n">
        <x:v>4</x:v>
      </x:c>
      <x:c r="G252" s="25" t="n">
        <x:v>3</x:v>
      </x:c>
      <x:c r="H252" s="25" t="n">
        <x:v>30</x:v>
      </x:c>
      <x:c r="I252" s="25" t="str">
        <x:v>Conservateur</x:v>
      </x:c>
      <x:c r="J252" s="25" t="n">
        <x:v>1</x:v>
      </x:c>
      <x:c r="K252" s="25" t="n">
        <x:v>59900</x:v>
      </x:c>
      <x:c r="L252" s="25" t="n">
        <x:v>0</x:v>
      </x:c>
      <x:c r="M252" s="25" t="n">
        <x:v>59900</x:v>
      </x:c>
      <x:c r="N252" s="25" t="n">
        <x:v>1</x:v>
      </x:c>
      <x:c r="O252" s="25" t="n">
        <x:v>1</x:v>
      </x:c>
      <x:c r="P252" s="25" t="n">
        <x:v>1</x:v>
      </x:c>
      <x:c r="Q252" s="25" t="n">
        <x:v>0.24569999999999997</x:v>
      </x:c>
      <x:c r="R252" s="25" t="n">
        <x:v>2.2</x:v>
      </x:c>
      <x:c r="S252" s="25" t="n">
        <x:v>59900</x:v>
      </x:c>
      <x:c r="T252" s="25" t="n">
        <x:v>4792</x:v>
      </x:c>
      <x:c r="U252" s="25" t="n">
        <x:v>2995</x:v>
      </x:c>
      <x:c r="V252" s="25" t="n">
        <x:v>18160</x:v>
      </x:c>
      <x:c r="W252" s="25" t="n">
        <x:v>55945.890000000014</x:v>
      </x:c>
      <x:c r="X252" s="25" t="n">
        <x:v>1398.6472500000004</x:v>
      </x:c>
      <x:c r="Y252" s="25" t="n">
        <x:v>42780</x:v>
      </x:c>
      <x:c r="Z252" s="25" t="n">
        <x:v>-23391.537250000016</x:v>
      </x:c>
      <x:c r="AA252" s="25" t="n">
        <x:v>-66171.53725000002</x:v>
      </x:c>
      <x:c r="AB252" s="25" t="n">
        <x:v>-1.1047001210350589</x:v>
      </x:c>
      <x:c r="AC252" s="25" t="n">
        <x:v>-0.5467867519869102</x:v>
      </x:c>
      <x:c r="AD252" s="25" t="n">
        <x:v>-23391.537250000016</x:v>
      </x:c>
      <x:c r="AE252" s="25" t="n">
        <x:v>41959.41750000001</x:v>
      </x:c>
      <x:c r="AF252" s="25" t="n">
        <x:v>104898.54375000003</x:v>
      </x:c>
      <x:c r="AG252" s="25" t="n">
        <x:v>-0.2103699366179237</x:v>
      </x:c>
      <x:c r="AH252" s="25" t="n">
        <x:v>4.006677796327212</x:v>
      </x:c>
      <x:c r="AI252" t="n">
        <x:f>Z252-Y252</x:f>
        <x:v>-66171.53725000002</x:v>
      </x:c>
      <x:c r="AJ252" t="n">
        <x:f>AA252/S252</x:f>
        <x:v>-1.1047001210350589</x:v>
      </x:c>
      <x:c r="AK252" t="n">
        <x:f>Z252/Y252</x:f>
        <x:v>-0.5467867519869102</x:v>
      </x:c>
    </x:row>
    <x:row r="253" ht="15" customHeight="1">
      <x:c r="A253" s="25" t="str">
        <x:v>INSTANT</x:v>
      </x:c>
      <x:c r="B253" s="25" t="n">
        <x:v>10</x:v>
      </x:c>
      <x:c r="C253" s="25" t="str">
        <x:v>Togo</x:v>
      </x:c>
      <x:c r="D253" s="25" t="str">
        <x:v>Disaster</x:v>
      </x:c>
      <x:c r="E253" s="25" t="n">
        <x:v>8</x:v>
      </x:c>
      <x:c r="F253" s="25" t="n">
        <x:v>4</x:v>
      </x:c>
      <x:c r="G253" s="25" t="n">
        <x:v>3</x:v>
      </x:c>
      <x:c r="H253" s="25" t="n">
        <x:v>30</x:v>
      </x:c>
      <x:c r="I253" s="25" t="str">
        <x:v>Conservateur</x:v>
      </x:c>
      <x:c r="J253" s="25" t="n">
        <x:v>1</x:v>
      </x:c>
      <x:c r="K253" s="25" t="n">
        <x:v>59900</x:v>
      </x:c>
      <x:c r="L253" s="25" t="n">
        <x:v>0</x:v>
      </x:c>
      <x:c r="M253" s="25" t="n">
        <x:v>59900</x:v>
      </x:c>
      <x:c r="N253" s="25" t="n">
        <x:v>1</x:v>
      </x:c>
      <x:c r="O253" s="25" t="n">
        <x:v>1</x:v>
      </x:c>
      <x:c r="P253" s="25" t="n">
        <x:v>1</x:v>
      </x:c>
      <x:c r="Q253" s="25" t="n">
        <x:v>0.24569999999999997</x:v>
      </x:c>
      <x:c r="R253" s="25" t="n">
        <x:v>2.2</x:v>
      </x:c>
      <x:c r="S253" s="25" t="n">
        <x:v>59900</x:v>
      </x:c>
      <x:c r="T253" s="25" t="n">
        <x:v>4792</x:v>
      </x:c>
      <x:c r="U253" s="25" t="n">
        <x:v>2995</x:v>
      </x:c>
      <x:c r="V253" s="25" t="n">
        <x:v>18160</x:v>
      </x:c>
      <x:c r="W253" s="25" t="n">
        <x:v>55945.890000000014</x:v>
      </x:c>
      <x:c r="X253" s="25" t="n">
        <x:v>1398.6472500000004</x:v>
      </x:c>
      <x:c r="Y253" s="25" t="n">
        <x:v>52080</x:v>
      </x:c>
      <x:c r="Z253" s="25" t="n">
        <x:v>-23391.537250000016</x:v>
      </x:c>
      <x:c r="AA253" s="25" t="n">
        <x:v>-75471.53725000002</x:v>
      </x:c>
      <x:c r="AB253" s="25" t="n">
        <x:v>-1.2599588856427384</x:v>
      </x:c>
      <x:c r="AC253" s="25" t="n">
        <x:v>-0.4491462605606762</x:v>
      </x:c>
      <x:c r="AD253" s="25" t="n">
        <x:v>-23391.537250000016</x:v>
      </x:c>
      <x:c r="AE253" s="25" t="n">
        <x:v>41959.41750000001</x:v>
      </x:c>
      <x:c r="AF253" s="25" t="n">
        <x:v>104898.54375000003</x:v>
      </x:c>
      <x:c r="AG253" s="25" t="n">
        <x:v>-0.43201267033795204</x:v>
      </x:c>
      <x:c r="AH253" s="25" t="n">
        <x:v>4.006677796327212</x:v>
      </x:c>
      <x:c r="AI253" t="n">
        <x:f>Z253-Y253</x:f>
        <x:v>-75471.53725000002</x:v>
      </x:c>
      <x:c r="AJ253" t="n">
        <x:f>AA253/S253</x:f>
        <x:v>-1.2599588856427384</x:v>
      </x:c>
      <x:c r="AK253" t="n">
        <x:f>Z253/Y253</x:f>
        <x:v>-0.4491462605606762</x:v>
      </x:c>
    </x:row>
    <x:row r="254" ht="15" customHeight="1">
      <x:c r="A254" s="25" t="str">
        <x:v>INSTANT</x:v>
      </x:c>
      <x:c r="B254" s="25" t="n">
        <x:v>25</x:v>
      </x:c>
      <x:c r="C254" s="25" t="str">
        <x:v>Côte d’Ivoire</x:v>
      </x:c>
      <x:c r="D254" s="25" t="str">
        <x:v>Disaster</x:v>
      </x:c>
      <x:c r="E254" s="25" t="n">
        <x:v>8</x:v>
      </x:c>
      <x:c r="F254" s="25" t="n">
        <x:v>4</x:v>
      </x:c>
      <x:c r="G254" s="25" t="n">
        <x:v>3</x:v>
      </x:c>
      <x:c r="H254" s="25" t="n">
        <x:v>30</x:v>
      </x:c>
      <x:c r="I254" s="25" t="str">
        <x:v>Conservateur</x:v>
      </x:c>
      <x:c r="J254" s="25" t="n">
        <x:v>1</x:v>
      </x:c>
      <x:c r="K254" s="25" t="n">
        <x:v>99900</x:v>
      </x:c>
      <x:c r="L254" s="25" t="n">
        <x:v>0</x:v>
      </x:c>
      <x:c r="M254" s="25" t="n">
        <x:v>99900</x:v>
      </x:c>
      <x:c r="N254" s="25" t="n">
        <x:v>1</x:v>
      </x:c>
      <x:c r="O254" s="25" t="n">
        <x:v>1</x:v>
      </x:c>
      <x:c r="P254" s="25" t="n">
        <x:v>1</x:v>
      </x:c>
      <x:c r="Q254" s="25" t="n">
        <x:v>0.24569999999999997</x:v>
      </x:c>
      <x:c r="R254" s="25" t="n">
        <x:v>2.2</x:v>
      </x:c>
      <x:c r="S254" s="25" t="n">
        <x:v>99900</x:v>
      </x:c>
      <x:c r="T254" s="25" t="n">
        <x:v>7992</x:v>
      </x:c>
      <x:c r="U254" s="25" t="n">
        <x:v>4995</x:v>
      </x:c>
      <x:c r="V254" s="25" t="n">
        <x:v>18160</x:v>
      </x:c>
      <x:c r="W254" s="25" t="n">
        <x:v>139864.725</x:v>
      </x:c>
      <x:c r="X254" s="25" t="n">
        <x:v>3496.6181250000004</x:v>
      </x:c>
      <x:c r="Y254" s="25" t="n">
        <x:v>40920</x:v>
      </x:c>
      <x:c r="Z254" s="25" t="n">
        <x:v>-74608.343125</x:v>
      </x:c>
      <x:c r="AA254" s="25" t="n">
        <x:v>-115528.343125</x:v>
      </x:c>
      <x:c r="AB254" s="25" t="n">
        <x:v>-1.156439871121121</x:v>
      </x:c>
      <x:c r="AC254" s="25" t="n">
        <x:v>-1.8232732923998045</x:v>
      </x:c>
      <x:c r="AD254" s="25" t="n">
        <x:v>-74608.343125</x:v>
      </x:c>
      <x:c r="AE254" s="25" t="n">
        <x:v>104898.54375000001</x:v>
      </x:c>
      <x:c r="AF254" s="25" t="n">
        <x:v>262246.359375</x:v>
      </x:c>
      <x:c r="AG254" s="25" t="n">
        <x:v>0.26533256807008815</x:v>
      </x:c>
      <x:c r="AH254" s="25" t="n">
        <x:v>5.405405405405405</x:v>
      </x:c>
      <x:c r="AI254" t="n">
        <x:f>Z254-Y254</x:f>
        <x:v>-115528.343125</x:v>
      </x:c>
      <x:c r="AJ254" t="n">
        <x:f>AA254/S254</x:f>
        <x:v>-1.156439871121121</x:v>
      </x:c>
      <x:c r="AK254" t="n">
        <x:f>Z254/Y254</x:f>
        <x:v>-1.8232732923998045</x:v>
      </x:c>
    </x:row>
    <x:row r="255" ht="15" customHeight="1">
      <x:c r="A255" s="25" t="str">
        <x:v>INSTANT</x:v>
      </x:c>
      <x:c r="B255" s="25" t="n">
        <x:v>25</x:v>
      </x:c>
      <x:c r="C255" s="25" t="str">
        <x:v>Cameroun</x:v>
      </x:c>
      <x:c r="D255" s="25" t="str">
        <x:v>Disaster</x:v>
      </x:c>
      <x:c r="E255" s="25" t="n">
        <x:v>8</x:v>
      </x:c>
      <x:c r="F255" s="25" t="n">
        <x:v>4</x:v>
      </x:c>
      <x:c r="G255" s="25" t="n">
        <x:v>3</x:v>
      </x:c>
      <x:c r="H255" s="25" t="n">
        <x:v>30</x:v>
      </x:c>
      <x:c r="I255" s="25" t="str">
        <x:v>Conservateur</x:v>
      </x:c>
      <x:c r="J255" s="25" t="n">
        <x:v>1</x:v>
      </x:c>
      <x:c r="K255" s="25" t="n">
        <x:v>99900</x:v>
      </x:c>
      <x:c r="L255" s="25" t="n">
        <x:v>0</x:v>
      </x:c>
      <x:c r="M255" s="25" t="n">
        <x:v>99900</x:v>
      </x:c>
      <x:c r="N255" s="25" t="n">
        <x:v>1</x:v>
      </x:c>
      <x:c r="O255" s="25" t="n">
        <x:v>1</x:v>
      </x:c>
      <x:c r="P255" s="25" t="n">
        <x:v>1</x:v>
      </x:c>
      <x:c r="Q255" s="25" t="n">
        <x:v>0.24569999999999997</x:v>
      </x:c>
      <x:c r="R255" s="25" t="n">
        <x:v>2.2</x:v>
      </x:c>
      <x:c r="S255" s="25" t="n">
        <x:v>99900</x:v>
      </x:c>
      <x:c r="T255" s="25" t="n">
        <x:v>7992</x:v>
      </x:c>
      <x:c r="U255" s="25" t="n">
        <x:v>4995</x:v>
      </x:c>
      <x:c r="V255" s="25" t="n">
        <x:v>18160</x:v>
      </x:c>
      <x:c r="W255" s="25" t="n">
        <x:v>139864.725</x:v>
      </x:c>
      <x:c r="X255" s="25" t="n">
        <x:v>3496.6181250000004</x:v>
      </x:c>
      <x:c r="Y255" s="25" t="n">
        <x:v>44640</x:v>
      </x:c>
      <x:c r="Z255" s="25" t="n">
        <x:v>-74608.343125</x:v>
      </x:c>
      <x:c r="AA255" s="25" t="n">
        <x:v>-119248.343125</x:v>
      </x:c>
      <x:c r="AB255" s="25" t="n">
        <x:v>-1.1936771083583584</x:v>
      </x:c>
      <x:c r="AC255" s="25" t="n">
        <x:v>-1.6713338513664875</x:v>
      </x:c>
      <x:c r="AD255" s="25" t="n">
        <x:v>-74608.343125</x:v>
      </x:c>
      <x:c r="AE255" s="25" t="n">
        <x:v>104898.54375000001</x:v>
      </x:c>
      <x:c r="AF255" s="25" t="n">
        <x:v>262246.359375</x:v>
      </x:c>
      <x:c r="AG255" s="25" t="n">
        <x:v>0.22986973067488362</x:v>
      </x:c>
      <x:c r="AH255" s="25" t="n">
        <x:v>5.405405405405405</x:v>
      </x:c>
      <x:c r="AI255" t="n">
        <x:f>Z255-Y255</x:f>
        <x:v>-119248.343125</x:v>
      </x:c>
      <x:c r="AJ255" t="n">
        <x:f>AA255/S255</x:f>
        <x:v>-1.1936771083583584</x:v>
      </x:c>
      <x:c r="AK255" t="n">
        <x:f>Z255/Y255</x:f>
        <x:v>-1.6713338513664875</x:v>
      </x:c>
    </x:row>
    <x:row r="256" ht="15" customHeight="1">
      <x:c r="A256" s="25" t="str">
        <x:v>INSTANT</x:v>
      </x:c>
      <x:c r="B256" s="25" t="n">
        <x:v>25</x:v>
      </x:c>
      <x:c r="C256" s="25" t="str">
        <x:v>Sénégal</x:v>
      </x:c>
      <x:c r="D256" s="25" t="str">
        <x:v>Disaster</x:v>
      </x:c>
      <x:c r="E256" s="25" t="n">
        <x:v>8</x:v>
      </x:c>
      <x:c r="F256" s="25" t="n">
        <x:v>4</x:v>
      </x:c>
      <x:c r="G256" s="25" t="n">
        <x:v>3</x:v>
      </x:c>
      <x:c r="H256" s="25" t="n">
        <x:v>30</x:v>
      </x:c>
      <x:c r="I256" s="25" t="str">
        <x:v>Conservateur</x:v>
      </x:c>
      <x:c r="J256" s="25" t="n">
        <x:v>1</x:v>
      </x:c>
      <x:c r="K256" s="25" t="n">
        <x:v>99900</x:v>
      </x:c>
      <x:c r="L256" s="25" t="n">
        <x:v>0</x:v>
      </x:c>
      <x:c r="M256" s="25" t="n">
        <x:v>99900</x:v>
      </x:c>
      <x:c r="N256" s="25" t="n">
        <x:v>1</x:v>
      </x:c>
      <x:c r="O256" s="25" t="n">
        <x:v>1</x:v>
      </x:c>
      <x:c r="P256" s="25" t="n">
        <x:v>1</x:v>
      </x:c>
      <x:c r="Q256" s="25" t="n">
        <x:v>0.24569999999999997</x:v>
      </x:c>
      <x:c r="R256" s="25" t="n">
        <x:v>2.2</x:v>
      </x:c>
      <x:c r="S256" s="25" t="n">
        <x:v>99900</x:v>
      </x:c>
      <x:c r="T256" s="25" t="n">
        <x:v>7992</x:v>
      </x:c>
      <x:c r="U256" s="25" t="n">
        <x:v>4995</x:v>
      </x:c>
      <x:c r="V256" s="25" t="n">
        <x:v>18160</x:v>
      </x:c>
      <x:c r="W256" s="25" t="n">
        <x:v>139864.725</x:v>
      </x:c>
      <x:c r="X256" s="25" t="n">
        <x:v>3496.6181250000004</x:v>
      </x:c>
      <x:c r="Y256" s="25" t="n">
        <x:v>55800</x:v>
      </x:c>
      <x:c r="Z256" s="25" t="n">
        <x:v>-74608.343125</x:v>
      </x:c>
      <x:c r="AA256" s="25" t="n">
        <x:v>-130408.343125</x:v>
      </x:c>
      <x:c r="AB256" s="25" t="n">
        <x:v>-1.30538882007007</x:v>
      </x:c>
      <x:c r="AC256" s="25" t="n">
        <x:v>-1.33706708109319</x:v>
      </x:c>
      <x:c r="AD256" s="25" t="n">
        <x:v>-74608.343125</x:v>
      </x:c>
      <x:c r="AE256" s="25" t="n">
        <x:v>104898.54375000001</x:v>
      </x:c>
      <x:c r="AF256" s="25" t="n">
        <x:v>262246.359375</x:v>
      </x:c>
      <x:c r="AG256" s="25" t="n">
        <x:v>0.12348121848927</x:v>
      </x:c>
      <x:c r="AH256" s="25" t="n">
        <x:v>5.405405405405405</x:v>
      </x:c>
      <x:c r="AI256" t="n">
        <x:f>Z256-Y256</x:f>
        <x:v>-130408.343125</x:v>
      </x:c>
      <x:c r="AJ256" t="n">
        <x:f>AA256/S256</x:f>
        <x:v>-1.30538882007007</x:v>
      </x:c>
      <x:c r="AK256" t="n">
        <x:f>Z256/Y256</x:f>
        <x:v>-1.33706708109319</x:v>
      </x:c>
    </x:row>
    <x:row r="257" ht="15" customHeight="1">
      <x:c r="A257" s="25" t="str">
        <x:v>INSTANT</x:v>
      </x:c>
      <x:c r="B257" s="25" t="n">
        <x:v>25</x:v>
      </x:c>
      <x:c r="C257" s="25" t="str">
        <x:v>Bénin</x:v>
      </x:c>
      <x:c r="D257" s="25" t="str">
        <x:v>Disaster</x:v>
      </x:c>
      <x:c r="E257" s="25" t="n">
        <x:v>8</x:v>
      </x:c>
      <x:c r="F257" s="25" t="n">
        <x:v>4</x:v>
      </x:c>
      <x:c r="G257" s="25" t="n">
        <x:v>3</x:v>
      </x:c>
      <x:c r="H257" s="25" t="n">
        <x:v>30</x:v>
      </x:c>
      <x:c r="I257" s="25" t="str">
        <x:v>Conservateur</x:v>
      </x:c>
      <x:c r="J257" s="25" t="n">
        <x:v>1</x:v>
      </x:c>
      <x:c r="K257" s="25" t="n">
        <x:v>99900</x:v>
      </x:c>
      <x:c r="L257" s="25" t="n">
        <x:v>0</x:v>
      </x:c>
      <x:c r="M257" s="25" t="n">
        <x:v>99900</x:v>
      </x:c>
      <x:c r="N257" s="25" t="n">
        <x:v>1</x:v>
      </x:c>
      <x:c r="O257" s="25" t="n">
        <x:v>1</x:v>
      </x:c>
      <x:c r="P257" s="25" t="n">
        <x:v>1</x:v>
      </x:c>
      <x:c r="Q257" s="25" t="n">
        <x:v>0.24569999999999997</x:v>
      </x:c>
      <x:c r="R257" s="25" t="n">
        <x:v>2.2</x:v>
      </x:c>
      <x:c r="S257" s="25" t="n">
        <x:v>99900</x:v>
      </x:c>
      <x:c r="T257" s="25" t="n">
        <x:v>7992</x:v>
      </x:c>
      <x:c r="U257" s="25" t="n">
        <x:v>4995</x:v>
      </x:c>
      <x:c r="V257" s="25" t="n">
        <x:v>18160</x:v>
      </x:c>
      <x:c r="W257" s="25" t="n">
        <x:v>139864.725</x:v>
      </x:c>
      <x:c r="X257" s="25" t="n">
        <x:v>3496.6181250000004</x:v>
      </x:c>
      <x:c r="Y257" s="25" t="n">
        <x:v>37200</x:v>
      </x:c>
      <x:c r="Z257" s="25" t="n">
        <x:v>-74608.343125</x:v>
      </x:c>
      <x:c r="AA257" s="25" t="n">
        <x:v>-111808.343125</x:v>
      </x:c>
      <x:c r="AB257" s="25" t="n">
        <x:v>-1.1192026338838839</x:v>
      </x:c>
      <x:c r="AC257" s="25" t="n">
        <x:v>-2.005600621639785</x:v>
      </x:c>
      <x:c r="AD257" s="25" t="n">
        <x:v>-74608.343125</x:v>
      </x:c>
      <x:c r="AE257" s="25" t="n">
        <x:v>104898.54375000001</x:v>
      </x:c>
      <x:c r="AF257" s="25" t="n">
        <x:v>262246.359375</x:v>
      </x:c>
      <x:c r="AG257" s="25" t="n">
        <x:v>0.3007954054652927</x:v>
      </x:c>
      <x:c r="AH257" s="25" t="n">
        <x:v>5.405405405405405</x:v>
      </x:c>
      <x:c r="AI257" t="n">
        <x:f>Z257-Y257</x:f>
        <x:v>-111808.343125</x:v>
      </x:c>
      <x:c r="AJ257" t="n">
        <x:f>AA257/S257</x:f>
        <x:v>-1.1192026338838839</x:v>
      </x:c>
      <x:c r="AK257" t="n">
        <x:f>Z257/Y257</x:f>
        <x:v>-2.005600621639785</x:v>
      </x:c>
    </x:row>
    <x:row r="258" ht="15" customHeight="1">
      <x:c r="A258" s="25" t="str">
        <x:v>INSTANT</x:v>
      </x:c>
      <x:c r="B258" s="25" t="n">
        <x:v>25</x:v>
      </x:c>
      <x:c r="C258" s="25" t="str">
        <x:v>Burkina Faso</x:v>
      </x:c>
      <x:c r="D258" s="25" t="str">
        <x:v>Disaster</x:v>
      </x:c>
      <x:c r="E258" s="25" t="n">
        <x:v>8</x:v>
      </x:c>
      <x:c r="F258" s="25" t="n">
        <x:v>4</x:v>
      </x:c>
      <x:c r="G258" s="25" t="n">
        <x:v>3</x:v>
      </x:c>
      <x:c r="H258" s="25" t="n">
        <x:v>30</x:v>
      </x:c>
      <x:c r="I258" s="25" t="str">
        <x:v>Conservateur</x:v>
      </x:c>
      <x:c r="J258" s="25" t="n">
        <x:v>1</x:v>
      </x:c>
      <x:c r="K258" s="25" t="n">
        <x:v>99900</x:v>
      </x:c>
      <x:c r="L258" s="25" t="n">
        <x:v>0</x:v>
      </x:c>
      <x:c r="M258" s="25" t="n">
        <x:v>99900</x:v>
      </x:c>
      <x:c r="N258" s="25" t="n">
        <x:v>1</x:v>
      </x:c>
      <x:c r="O258" s="25" t="n">
        <x:v>1</x:v>
      </x:c>
      <x:c r="P258" s="25" t="n">
        <x:v>1</x:v>
      </x:c>
      <x:c r="Q258" s="25" t="n">
        <x:v>0.24569999999999997</x:v>
      </x:c>
      <x:c r="R258" s="25" t="n">
        <x:v>2.2</x:v>
      </x:c>
      <x:c r="S258" s="25" t="n">
        <x:v>99900</x:v>
      </x:c>
      <x:c r="T258" s="25" t="n">
        <x:v>7992</x:v>
      </x:c>
      <x:c r="U258" s="25" t="n">
        <x:v>4995</x:v>
      </x:c>
      <x:c r="V258" s="25" t="n">
        <x:v>18160</x:v>
      </x:c>
      <x:c r="W258" s="25" t="n">
        <x:v>139864.725</x:v>
      </x:c>
      <x:c r="X258" s="25" t="n">
        <x:v>3496.6181250000004</x:v>
      </x:c>
      <x:c r="Y258" s="25" t="n">
        <x:v>42780</x:v>
      </x:c>
      <x:c r="Z258" s="25" t="n">
        <x:v>-74608.343125</x:v>
      </x:c>
      <x:c r="AA258" s="25" t="n">
        <x:v>-117388.343125</x:v>
      </x:c>
      <x:c r="AB258" s="25" t="n">
        <x:v>-1.1750584897397398</x:v>
      </x:c>
      <x:c r="AC258" s="25" t="n">
        <x:v>-1.7440005405563348</x:v>
      </x:c>
      <x:c r="AD258" s="25" t="n">
        <x:v>-74608.343125</x:v>
      </x:c>
      <x:c r="AE258" s="25" t="n">
        <x:v>104898.54375000001</x:v>
      </x:c>
      <x:c r="AF258" s="25" t="n">
        <x:v>262246.359375</x:v>
      </x:c>
      <x:c r="AG258" s="25" t="n">
        <x:v>0.2476011493724859</x:v>
      </x:c>
      <x:c r="AH258" s="25" t="n">
        <x:v>5.405405405405405</x:v>
      </x:c>
      <x:c r="AI258" t="n">
        <x:f>Z258-Y258</x:f>
        <x:v>-117388.343125</x:v>
      </x:c>
      <x:c r="AJ258" t="n">
        <x:f>AA258/S258</x:f>
        <x:v>-1.1750584897397398</x:v>
      </x:c>
      <x:c r="AK258" t="n">
        <x:f>Z258/Y258</x:f>
        <x:v>-1.7440005405563348</x:v>
      </x:c>
    </x:row>
    <x:row r="259" ht="15" customHeight="1">
      <x:c r="A259" s="25" t="str">
        <x:v>INSTANT</x:v>
      </x:c>
      <x:c r="B259" s="25" t="n">
        <x:v>25</x:v>
      </x:c>
      <x:c r="C259" s="25" t="str">
        <x:v>Togo</x:v>
      </x:c>
      <x:c r="D259" s="25" t="str">
        <x:v>Disaster</x:v>
      </x:c>
      <x:c r="E259" s="25" t="n">
        <x:v>8</x:v>
      </x:c>
      <x:c r="F259" s="25" t="n">
        <x:v>4</x:v>
      </x:c>
      <x:c r="G259" s="25" t="n">
        <x:v>3</x:v>
      </x:c>
      <x:c r="H259" s="25" t="n">
        <x:v>30</x:v>
      </x:c>
      <x:c r="I259" s="25" t="str">
        <x:v>Conservateur</x:v>
      </x:c>
      <x:c r="J259" s="25" t="n">
        <x:v>1</x:v>
      </x:c>
      <x:c r="K259" s="25" t="n">
        <x:v>99900</x:v>
      </x:c>
      <x:c r="L259" s="25" t="n">
        <x:v>0</x:v>
      </x:c>
      <x:c r="M259" s="25" t="n">
        <x:v>99900</x:v>
      </x:c>
      <x:c r="N259" s="25" t="n">
        <x:v>1</x:v>
      </x:c>
      <x:c r="O259" s="25" t="n">
        <x:v>1</x:v>
      </x:c>
      <x:c r="P259" s="25" t="n">
        <x:v>1</x:v>
      </x:c>
      <x:c r="Q259" s="25" t="n">
        <x:v>0.24569999999999997</x:v>
      </x:c>
      <x:c r="R259" s="25" t="n">
        <x:v>2.2</x:v>
      </x:c>
      <x:c r="S259" s="25" t="n">
        <x:v>99900</x:v>
      </x:c>
      <x:c r="T259" s="25" t="n">
        <x:v>7992</x:v>
      </x:c>
      <x:c r="U259" s="25" t="n">
        <x:v>4995</x:v>
      </x:c>
      <x:c r="V259" s="25" t="n">
        <x:v>18160</x:v>
      </x:c>
      <x:c r="W259" s="25" t="n">
        <x:v>139864.725</x:v>
      </x:c>
      <x:c r="X259" s="25" t="n">
        <x:v>3496.6181250000004</x:v>
      </x:c>
      <x:c r="Y259" s="25" t="n">
        <x:v>52080</x:v>
      </x:c>
      <x:c r="Z259" s="25" t="n">
        <x:v>-74608.343125</x:v>
      </x:c>
      <x:c r="AA259" s="25" t="n">
        <x:v>-126688.343125</x:v>
      </x:c>
      <x:c r="AB259" s="25" t="n">
        <x:v>-1.268151582832833</x:v>
      </x:c>
      <x:c r="AC259" s="25" t="n">
        <x:v>-1.4325718725998464</x:v>
      </x:c>
      <x:c r="AD259" s="25" t="n">
        <x:v>-74608.343125</x:v>
      </x:c>
      <x:c r="AE259" s="25" t="n">
        <x:v>104898.54375000001</x:v>
      </x:c>
      <x:c r="AF259" s="25" t="n">
        <x:v>262246.359375</x:v>
      </x:c>
      <x:c r="AG259" s="25" t="n">
        <x:v>0.15894405588447455</x:v>
      </x:c>
      <x:c r="AH259" s="25" t="n">
        <x:v>5.405405405405405</x:v>
      </x:c>
      <x:c r="AI259" t="n">
        <x:f>Z259-Y259</x:f>
        <x:v>-126688.343125</x:v>
      </x:c>
      <x:c r="AJ259" t="n">
        <x:f>AA259/S259</x:f>
        <x:v>-1.268151582832833</x:v>
      </x:c>
      <x:c r="AK259" t="n">
        <x:f>Z259/Y259</x:f>
        <x:v>-1.4325718725998464</x:v>
      </x:c>
    </x:row>
    <x:row r="260" ht="15" customHeight="1">
      <x:c r="A260" s="25" t="str">
        <x:v>INSTANT</x:v>
      </x:c>
      <x:c r="B260" s="25" t="n">
        <x:v>50</x:v>
      </x:c>
      <x:c r="C260" s="25" t="str">
        <x:v>Côte d’Ivoire</x:v>
      </x:c>
      <x:c r="D260" s="25" t="str">
        <x:v>Disaster</x:v>
      </x:c>
      <x:c r="E260" s="25" t="n">
        <x:v>8</x:v>
      </x:c>
      <x:c r="F260" s="25" t="n">
        <x:v>4</x:v>
      </x:c>
      <x:c r="G260" s="25" t="n">
        <x:v>3</x:v>
      </x:c>
      <x:c r="H260" s="25" t="n">
        <x:v>30</x:v>
      </x:c>
      <x:c r="I260" s="25" t="str">
        <x:v>Conservateur</x:v>
      </x:c>
      <x:c r="J260" s="25" t="n">
        <x:v>1</x:v>
      </x:c>
      <x:c r="K260" s="25" t="n">
        <x:v>169900</x:v>
      </x:c>
      <x:c r="L260" s="25" t="n">
        <x:v>0</x:v>
      </x:c>
      <x:c r="M260" s="25" t="n">
        <x:v>169900</x:v>
      </x:c>
      <x:c r="N260" s="25" t="n">
        <x:v>1</x:v>
      </x:c>
      <x:c r="O260" s="25" t="n">
        <x:v>1</x:v>
      </x:c>
      <x:c r="P260" s="25" t="n">
        <x:v>1</x:v>
      </x:c>
      <x:c r="Q260" s="25" t="n">
        <x:v>0.24569999999999997</x:v>
      </x:c>
      <x:c r="R260" s="25" t="n">
        <x:v>2.2</x:v>
      </x:c>
      <x:c r="S260" s="25" t="n">
        <x:v>169900</x:v>
      </x:c>
      <x:c r="T260" s="25" t="n">
        <x:v>13592</x:v>
      </x:c>
      <x:c r="U260" s="25" t="n">
        <x:v>8495</x:v>
      </x:c>
      <x:c r="V260" s="25" t="n">
        <x:v>18160</x:v>
      </x:c>
      <x:c r="W260" s="25" t="n">
        <x:v>279729.45</x:v>
      </x:c>
      <x:c r="X260" s="25" t="n">
        <x:v>6993.236250000001</x:v>
      </x:c>
      <x:c r="Y260" s="25" t="n">
        <x:v>40920</x:v>
      </x:c>
      <x:c r="Z260" s="25" t="n">
        <x:v>-157069.68625</x:v>
      </x:c>
      <x:c r="AA260" s="25" t="n">
        <x:v>-197989.68625</x:v>
      </x:c>
      <x:c r="AB260" s="25" t="n">
        <x:v>-1.1653307018834609</x:v>
      </x:c>
      <x:c r="AC260" s="25" t="n">
        <x:v>-3.838457630742913</x:v>
      </x:c>
      <x:c r="AD260" s="25" t="n">
        <x:v>-157069.68625</x:v>
      </x:c>
      <x:c r="AE260" s="25" t="n">
        <x:v>209797.08750000002</x:v>
      </x:c>
      <x:c r="AF260" s="25" t="n">
        <x:v>524492.71875</x:v>
      </x:c>
      <x:c r="AG260" s="25" t="n">
        <x:v>0.42294676755224253</x:v>
      </x:c>
      <x:c r="AH260" s="25" t="n">
        <x:v>5.29723366686286</x:v>
      </x:c>
      <x:c r="AI260" t="n">
        <x:f>Z260-Y260</x:f>
        <x:v>-197989.68625</x:v>
      </x:c>
      <x:c r="AJ260" t="n">
        <x:f>AA260/S260</x:f>
        <x:v>-1.1653307018834609</x:v>
      </x:c>
      <x:c r="AK260" t="n">
        <x:f>Z260/Y260</x:f>
        <x:v>-3.838457630742913</x:v>
      </x:c>
    </x:row>
    <x:row r="261" ht="15" customHeight="1">
      <x:c r="A261" s="25" t="str">
        <x:v>INSTANT</x:v>
      </x:c>
      <x:c r="B261" s="25" t="n">
        <x:v>50</x:v>
      </x:c>
      <x:c r="C261" s="25" t="str">
        <x:v>Cameroun</x:v>
      </x:c>
      <x:c r="D261" s="25" t="str">
        <x:v>Disaster</x:v>
      </x:c>
      <x:c r="E261" s="25" t="n">
        <x:v>8</x:v>
      </x:c>
      <x:c r="F261" s="25" t="n">
        <x:v>4</x:v>
      </x:c>
      <x:c r="G261" s="25" t="n">
        <x:v>3</x:v>
      </x:c>
      <x:c r="H261" s="25" t="n">
        <x:v>30</x:v>
      </x:c>
      <x:c r="I261" s="25" t="str">
        <x:v>Conservateur</x:v>
      </x:c>
      <x:c r="J261" s="25" t="n">
        <x:v>1</x:v>
      </x:c>
      <x:c r="K261" s="25" t="n">
        <x:v>169900</x:v>
      </x:c>
      <x:c r="L261" s="25" t="n">
        <x:v>0</x:v>
      </x:c>
      <x:c r="M261" s="25" t="n">
        <x:v>169900</x:v>
      </x:c>
      <x:c r="N261" s="25" t="n">
        <x:v>1</x:v>
      </x:c>
      <x:c r="O261" s="25" t="n">
        <x:v>1</x:v>
      </x:c>
      <x:c r="P261" s="25" t="n">
        <x:v>1</x:v>
      </x:c>
      <x:c r="Q261" s="25" t="n">
        <x:v>0.24569999999999997</x:v>
      </x:c>
      <x:c r="R261" s="25" t="n">
        <x:v>2.2</x:v>
      </x:c>
      <x:c r="S261" s="25" t="n">
        <x:v>169900</x:v>
      </x:c>
      <x:c r="T261" s="25" t="n">
        <x:v>13592</x:v>
      </x:c>
      <x:c r="U261" s="25" t="n">
        <x:v>8495</x:v>
      </x:c>
      <x:c r="V261" s="25" t="n">
        <x:v>18160</x:v>
      </x:c>
      <x:c r="W261" s="25" t="n">
        <x:v>279729.45</x:v>
      </x:c>
      <x:c r="X261" s="25" t="n">
        <x:v>6993.236250000001</x:v>
      </x:c>
      <x:c r="Y261" s="25" t="n">
        <x:v>44640</x:v>
      </x:c>
      <x:c r="Z261" s="25" t="n">
        <x:v>-157069.68625</x:v>
      </x:c>
      <x:c r="AA261" s="25" t="n">
        <x:v>-201709.68625</x:v>
      </x:c>
      <x:c r="AB261" s="25" t="n">
        <x:v>-1.1872259343731606</x:v>
      </x:c>
      <x:c r="AC261" s="25" t="n">
        <x:v>-3.518586161514337</x:v>
      </x:c>
      <x:c r="AD261" s="25" t="n">
        <x:v>-157069.68625</x:v>
      </x:c>
      <x:c r="AE261" s="25" t="n">
        <x:v>209797.08750000002</x:v>
      </x:c>
      <x:c r="AF261" s="25" t="n">
        <x:v>524492.71875</x:v>
      </x:c>
      <x:c r="AG261" s="25" t="n">
        <x:v>0.4052153488546403</x:v>
      </x:c>
      <x:c r="AH261" s="25" t="n">
        <x:v>5.29723366686286</x:v>
      </x:c>
      <x:c r="AI261" t="n">
        <x:f>Z261-Y261</x:f>
        <x:v>-201709.68625</x:v>
      </x:c>
      <x:c r="AJ261" t="n">
        <x:f>AA261/S261</x:f>
        <x:v>-1.1872259343731606</x:v>
      </x:c>
      <x:c r="AK261" t="n">
        <x:f>Z261/Y261</x:f>
        <x:v>-3.518586161514337</x:v>
      </x:c>
    </x:row>
    <x:row r="262" ht="15" customHeight="1">
      <x:c r="A262" s="25" t="str">
        <x:v>INSTANT</x:v>
      </x:c>
      <x:c r="B262" s="25" t="n">
        <x:v>50</x:v>
      </x:c>
      <x:c r="C262" s="25" t="str">
        <x:v>Sénégal</x:v>
      </x:c>
      <x:c r="D262" s="25" t="str">
        <x:v>Disaster</x:v>
      </x:c>
      <x:c r="E262" s="25" t="n">
        <x:v>8</x:v>
      </x:c>
      <x:c r="F262" s="25" t="n">
        <x:v>4</x:v>
      </x:c>
      <x:c r="G262" s="25" t="n">
        <x:v>3</x:v>
      </x:c>
      <x:c r="H262" s="25" t="n">
        <x:v>30</x:v>
      </x:c>
      <x:c r="I262" s="25" t="str">
        <x:v>Conservateur</x:v>
      </x:c>
      <x:c r="J262" s="25" t="n">
        <x:v>1</x:v>
      </x:c>
      <x:c r="K262" s="25" t="n">
        <x:v>169900</x:v>
      </x:c>
      <x:c r="L262" s="25" t="n">
        <x:v>0</x:v>
      </x:c>
      <x:c r="M262" s="25" t="n">
        <x:v>169900</x:v>
      </x:c>
      <x:c r="N262" s="25" t="n">
        <x:v>1</x:v>
      </x:c>
      <x:c r="O262" s="25" t="n">
        <x:v>1</x:v>
      </x:c>
      <x:c r="P262" s="25" t="n">
        <x:v>1</x:v>
      </x:c>
      <x:c r="Q262" s="25" t="n">
        <x:v>0.24569999999999997</x:v>
      </x:c>
      <x:c r="R262" s="25" t="n">
        <x:v>2.2</x:v>
      </x:c>
      <x:c r="S262" s="25" t="n">
        <x:v>169900</x:v>
      </x:c>
      <x:c r="T262" s="25" t="n">
        <x:v>13592</x:v>
      </x:c>
      <x:c r="U262" s="25" t="n">
        <x:v>8495</x:v>
      </x:c>
      <x:c r="V262" s="25" t="n">
        <x:v>18160</x:v>
      </x:c>
      <x:c r="W262" s="25" t="n">
        <x:v>279729.45</x:v>
      </x:c>
      <x:c r="X262" s="25" t="n">
        <x:v>6993.236250000001</x:v>
      </x:c>
      <x:c r="Y262" s="25" t="n">
        <x:v>55800</x:v>
      </x:c>
      <x:c r="Z262" s="25" t="n">
        <x:v>-157069.68625</x:v>
      </x:c>
      <x:c r="AA262" s="25" t="n">
        <x:v>-212869.68625</x:v>
      </x:c>
      <x:c r="AB262" s="25" t="n">
        <x:v>-1.2529116318422602</x:v>
      </x:c>
      <x:c r="AC262" s="25" t="n">
        <x:v>-2.8148689292114697</x:v>
      </x:c>
      <x:c r="AD262" s="25" t="n">
        <x:v>-157069.68625</x:v>
      </x:c>
      <x:c r="AE262" s="25" t="n">
        <x:v>209797.08750000002</x:v>
      </x:c>
      <x:c r="AF262" s="25" t="n">
        <x:v>524492.71875</x:v>
      </x:c>
      <x:c r="AG262" s="25" t="n">
        <x:v>0.35202109276183347</x:v>
      </x:c>
      <x:c r="AH262" s="25" t="n">
        <x:v>5.29723366686286</x:v>
      </x:c>
      <x:c r="AI262" t="n">
        <x:f>Z262-Y262</x:f>
        <x:v>-212869.68625</x:v>
      </x:c>
      <x:c r="AJ262" t="n">
        <x:f>AA262/S262</x:f>
        <x:v>-1.2529116318422602</x:v>
      </x:c>
      <x:c r="AK262" t="n">
        <x:f>Z262/Y262</x:f>
        <x:v>-2.8148689292114697</x:v>
      </x:c>
    </x:row>
    <x:row r="263" ht="15" customHeight="1">
      <x:c r="A263" s="25" t="str">
        <x:v>INSTANT</x:v>
      </x:c>
      <x:c r="B263" s="25" t="n">
        <x:v>50</x:v>
      </x:c>
      <x:c r="C263" s="25" t="str">
        <x:v>Bénin</x:v>
      </x:c>
      <x:c r="D263" s="25" t="str">
        <x:v>Disaster</x:v>
      </x:c>
      <x:c r="E263" s="25" t="n">
        <x:v>8</x:v>
      </x:c>
      <x:c r="F263" s="25" t="n">
        <x:v>4</x:v>
      </x:c>
      <x:c r="G263" s="25" t="n">
        <x:v>3</x:v>
      </x:c>
      <x:c r="H263" s="25" t="n">
        <x:v>30</x:v>
      </x:c>
      <x:c r="I263" s="25" t="str">
        <x:v>Conservateur</x:v>
      </x:c>
      <x:c r="J263" s="25" t="n">
        <x:v>1</x:v>
      </x:c>
      <x:c r="K263" s="25" t="n">
        <x:v>169900</x:v>
      </x:c>
      <x:c r="L263" s="25" t="n">
        <x:v>0</x:v>
      </x:c>
      <x:c r="M263" s="25" t="n">
        <x:v>169900</x:v>
      </x:c>
      <x:c r="N263" s="25" t="n">
        <x:v>1</x:v>
      </x:c>
      <x:c r="O263" s="25" t="n">
        <x:v>1</x:v>
      </x:c>
      <x:c r="P263" s="25" t="n">
        <x:v>1</x:v>
      </x:c>
      <x:c r="Q263" s="25" t="n">
        <x:v>0.24569999999999997</x:v>
      </x:c>
      <x:c r="R263" s="25" t="n">
        <x:v>2.2</x:v>
      </x:c>
      <x:c r="S263" s="25" t="n">
        <x:v>169900</x:v>
      </x:c>
      <x:c r="T263" s="25" t="n">
        <x:v>13592</x:v>
      </x:c>
      <x:c r="U263" s="25" t="n">
        <x:v>8495</x:v>
      </x:c>
      <x:c r="V263" s="25" t="n">
        <x:v>18160</x:v>
      </x:c>
      <x:c r="W263" s="25" t="n">
        <x:v>279729.45</x:v>
      </x:c>
      <x:c r="X263" s="25" t="n">
        <x:v>6993.236250000001</x:v>
      </x:c>
      <x:c r="Y263" s="25" t="n">
        <x:v>37200</x:v>
      </x:c>
      <x:c r="Z263" s="25" t="n">
        <x:v>-157069.68625</x:v>
      </x:c>
      <x:c r="AA263" s="25" t="n">
        <x:v>-194269.68625</x:v>
      </x:c>
      <x:c r="AB263" s="25" t="n">
        <x:v>-1.143435469393761</x:v>
      </x:c>
      <x:c r="AC263" s="25" t="n">
        <x:v>-4.222303393817204</x:v>
      </x:c>
      <x:c r="AD263" s="25" t="n">
        <x:v>-157069.68625</x:v>
      </x:c>
      <x:c r="AE263" s="25" t="n">
        <x:v>209797.08750000002</x:v>
      </x:c>
      <x:c r="AF263" s="25" t="n">
        <x:v>524492.71875</x:v>
      </x:c>
      <x:c r="AG263" s="25" t="n">
        <x:v>0.44067818624984484</x:v>
      </x:c>
      <x:c r="AH263" s="25" t="n">
        <x:v>5.29723366686286</x:v>
      </x:c>
      <x:c r="AI263" t="n">
        <x:f>Z263-Y263</x:f>
        <x:v>-194269.68625</x:v>
      </x:c>
      <x:c r="AJ263" t="n">
        <x:f>AA263/S263</x:f>
        <x:v>-1.143435469393761</x:v>
      </x:c>
      <x:c r="AK263" t="n">
        <x:f>Z263/Y263</x:f>
        <x:v>-4.222303393817204</x:v>
      </x:c>
    </x:row>
    <x:row r="264" ht="15" customHeight="1">
      <x:c r="A264" s="25" t="str">
        <x:v>INSTANT</x:v>
      </x:c>
      <x:c r="B264" s="25" t="n">
        <x:v>50</x:v>
      </x:c>
      <x:c r="C264" s="25" t="str">
        <x:v>Burkina Faso</x:v>
      </x:c>
      <x:c r="D264" s="25" t="str">
        <x:v>Disaster</x:v>
      </x:c>
      <x:c r="E264" s="25" t="n">
        <x:v>8</x:v>
      </x:c>
      <x:c r="F264" s="25" t="n">
        <x:v>4</x:v>
      </x:c>
      <x:c r="G264" s="25" t="n">
        <x:v>3</x:v>
      </x:c>
      <x:c r="H264" s="25" t="n">
        <x:v>30</x:v>
      </x:c>
      <x:c r="I264" s="25" t="str">
        <x:v>Conservateur</x:v>
      </x:c>
      <x:c r="J264" s="25" t="n">
        <x:v>1</x:v>
      </x:c>
      <x:c r="K264" s="25" t="n">
        <x:v>169900</x:v>
      </x:c>
      <x:c r="L264" s="25" t="n">
        <x:v>0</x:v>
      </x:c>
      <x:c r="M264" s="25" t="n">
        <x:v>169900</x:v>
      </x:c>
      <x:c r="N264" s="25" t="n">
        <x:v>1</x:v>
      </x:c>
      <x:c r="O264" s="25" t="n">
        <x:v>1</x:v>
      </x:c>
      <x:c r="P264" s="25" t="n">
        <x:v>1</x:v>
      </x:c>
      <x:c r="Q264" s="25" t="n">
        <x:v>0.24569999999999997</x:v>
      </x:c>
      <x:c r="R264" s="25" t="n">
        <x:v>2.2</x:v>
      </x:c>
      <x:c r="S264" s="25" t="n">
        <x:v>169900</x:v>
      </x:c>
      <x:c r="T264" s="25" t="n">
        <x:v>13592</x:v>
      </x:c>
      <x:c r="U264" s="25" t="n">
        <x:v>8495</x:v>
      </x:c>
      <x:c r="V264" s="25" t="n">
        <x:v>18160</x:v>
      </x:c>
      <x:c r="W264" s="25" t="n">
        <x:v>279729.45</x:v>
      </x:c>
      <x:c r="X264" s="25" t="n">
        <x:v>6993.236250000001</x:v>
      </x:c>
      <x:c r="Y264" s="25" t="n">
        <x:v>42780</x:v>
      </x:c>
      <x:c r="Z264" s="25" t="n">
        <x:v>-157069.68625</x:v>
      </x:c>
      <x:c r="AA264" s="25" t="n">
        <x:v>-199849.68625</x:v>
      </x:c>
      <x:c r="AB264" s="25" t="n">
        <x:v>-1.1762783181283107</x:v>
      </x:c>
      <x:c r="AC264" s="25" t="n">
        <x:v>-3.6715681685366994</x:v>
      </x:c>
      <x:c r="AD264" s="25" t="n">
        <x:v>-157069.68625</x:v>
      </x:c>
      <x:c r="AE264" s="25" t="n">
        <x:v>209797.08750000002</x:v>
      </x:c>
      <x:c r="AF264" s="25" t="n">
        <x:v>524492.71875</x:v>
      </x:c>
      <x:c r="AG264" s="25" t="n">
        <x:v>0.41408105820344143</x:v>
      </x:c>
      <x:c r="AH264" s="25" t="n">
        <x:v>5.29723366686286</x:v>
      </x:c>
      <x:c r="AI264" t="n">
        <x:f>Z264-Y264</x:f>
        <x:v>-199849.68625</x:v>
      </x:c>
      <x:c r="AJ264" t="n">
        <x:f>AA264/S264</x:f>
        <x:v>-1.1762783181283107</x:v>
      </x:c>
      <x:c r="AK264" t="n">
        <x:f>Z264/Y264</x:f>
        <x:v>-3.6715681685366994</x:v>
      </x:c>
    </x:row>
    <x:row r="265" ht="15" customHeight="1">
      <x:c r="A265" s="25" t="str">
        <x:v>INSTANT</x:v>
      </x:c>
      <x:c r="B265" s="25" t="n">
        <x:v>50</x:v>
      </x:c>
      <x:c r="C265" s="25" t="str">
        <x:v>Togo</x:v>
      </x:c>
      <x:c r="D265" s="25" t="str">
        <x:v>Disaster</x:v>
      </x:c>
      <x:c r="E265" s="25" t="n">
        <x:v>8</x:v>
      </x:c>
      <x:c r="F265" s="25" t="n">
        <x:v>4</x:v>
      </x:c>
      <x:c r="G265" s="25" t="n">
        <x:v>3</x:v>
      </x:c>
      <x:c r="H265" s="25" t="n">
        <x:v>30</x:v>
      </x:c>
      <x:c r="I265" s="25" t="str">
        <x:v>Conservateur</x:v>
      </x:c>
      <x:c r="J265" s="25" t="n">
        <x:v>1</x:v>
      </x:c>
      <x:c r="K265" s="25" t="n">
        <x:v>169900</x:v>
      </x:c>
      <x:c r="L265" s="25" t="n">
        <x:v>0</x:v>
      </x:c>
      <x:c r="M265" s="25" t="n">
        <x:v>169900</x:v>
      </x:c>
      <x:c r="N265" s="25" t="n">
        <x:v>1</x:v>
      </x:c>
      <x:c r="O265" s="25" t="n">
        <x:v>1</x:v>
      </x:c>
      <x:c r="P265" s="25" t="n">
        <x:v>1</x:v>
      </x:c>
      <x:c r="Q265" s="25" t="n">
        <x:v>0.24569999999999997</x:v>
      </x:c>
      <x:c r="R265" s="25" t="n">
        <x:v>2.2</x:v>
      </x:c>
      <x:c r="S265" s="25" t="n">
        <x:v>169900</x:v>
      </x:c>
      <x:c r="T265" s="25" t="n">
        <x:v>13592</x:v>
      </x:c>
      <x:c r="U265" s="25" t="n">
        <x:v>8495</x:v>
      </x:c>
      <x:c r="V265" s="25" t="n">
        <x:v>18160</x:v>
      </x:c>
      <x:c r="W265" s="25" t="n">
        <x:v>279729.45</x:v>
      </x:c>
      <x:c r="X265" s="25" t="n">
        <x:v>6993.236250000001</x:v>
      </x:c>
      <x:c r="Y265" s="25" t="n">
        <x:v>52080</x:v>
      </x:c>
      <x:c r="Z265" s="25" t="n">
        <x:v>-157069.68625</x:v>
      </x:c>
      <x:c r="AA265" s="25" t="n">
        <x:v>-209149.68625</x:v>
      </x:c>
      <x:c r="AB265" s="25" t="n">
        <x:v>-1.2310163993525602</x:v>
      </x:c>
      <x:c r="AC265" s="25" t="n">
        <x:v>-3.0159309955837172</x:v>
      </x:c>
      <x:c r="AD265" s="25" t="n">
        <x:v>-157069.68625</x:v>
      </x:c>
      <x:c r="AE265" s="25" t="n">
        <x:v>209797.08750000002</x:v>
      </x:c>
      <x:c r="AF265" s="25" t="n">
        <x:v>524492.71875</x:v>
      </x:c>
      <x:c r="AG265" s="25" t="n">
        <x:v>0.3697525114594357</x:v>
      </x:c>
      <x:c r="AH265" s="25" t="n">
        <x:v>5.29723366686286</x:v>
      </x:c>
      <x:c r="AI265" t="n">
        <x:f>Z265-Y265</x:f>
        <x:v>-209149.68625</x:v>
      </x:c>
      <x:c r="AJ265" t="n">
        <x:f>AA265/S265</x:f>
        <x:v>-1.2310163993525602</x:v>
      </x:c>
      <x:c r="AK265" t="n">
        <x:f>Z265/Y265</x:f>
        <x:v>-3.0159309955837172</x:v>
      </x:c>
    </x:row>
    <x:row r="266" ht="15" customHeight="1">
      <x:c r="A266" s="25" t="str">
        <x:v>INSTANT</x:v>
      </x:c>
      <x:c r="B266" s="25" t="n">
        <x:v>100</x:v>
      </x:c>
      <x:c r="C266" s="25" t="str">
        <x:v>Côte d’Ivoire</x:v>
      </x:c>
      <x:c r="D266" s="25" t="str">
        <x:v>Disaster</x:v>
      </x:c>
      <x:c r="E266" s="25" t="n">
        <x:v>8</x:v>
      </x:c>
      <x:c r="F266" s="25" t="n">
        <x:v>4</x:v>
      </x:c>
      <x:c r="G266" s="25" t="n">
        <x:v>3</x:v>
      </x:c>
      <x:c r="H266" s="25" t="n">
        <x:v>30</x:v>
      </x:c>
      <x:c r="I266" s="25" t="str">
        <x:v>Conservateur</x:v>
      </x:c>
      <x:c r="J266" s="25" t="n">
        <x:v>1</x:v>
      </x:c>
      <x:c r="K266" s="25" t="n">
        <x:v>279900</x:v>
      </x:c>
      <x:c r="L266" s="25" t="n">
        <x:v>0</x:v>
      </x:c>
      <x:c r="M266" s="25" t="n">
        <x:v>279900</x:v>
      </x:c>
      <x:c r="N266" s="25" t="n">
        <x:v>1</x:v>
      </x:c>
      <x:c r="O266" s="25" t="n">
        <x:v>1</x:v>
      </x:c>
      <x:c r="P266" s="25" t="n">
        <x:v>1</x:v>
      </x:c>
      <x:c r="Q266" s="25" t="n">
        <x:v>0.24569999999999997</x:v>
      </x:c>
      <x:c r="R266" s="25" t="n">
        <x:v>2.2</x:v>
      </x:c>
      <x:c r="S266" s="25" t="n">
        <x:v>279900</x:v>
      </x:c>
      <x:c r="T266" s="25" t="n">
        <x:v>22392</x:v>
      </x:c>
      <x:c r="U266" s="25" t="n">
        <x:v>13995</x:v>
      </x:c>
      <x:c r="V266" s="25" t="n">
        <x:v>18160</x:v>
      </x:c>
      <x:c r="W266" s="25" t="n">
        <x:v>515232.9000000001</x:v>
      </x:c>
      <x:c r="X266" s="25" t="n">
        <x:v>12880.822500000002</x:v>
      </x:c>
      <x:c r="Y266" s="25" t="n">
        <x:v>40920</x:v>
      </x:c>
      <x:c r="Z266" s="25" t="n">
        <x:v>-302760.7225000001</x:v>
      </x:c>
      <x:c r="AA266" s="25" t="n">
        <x:v>-343680.7225000001</x:v>
      </x:c>
      <x:c r="AB266" s="25" t="n">
        <x:v>-1.2278696766702397</x:v>
      </x:c>
      <x:c r="AC266" s="25" t="n">
        <x:v>-7.39884463587488</x:v>
      </x:c>
      <x:c r="AD266" s="25" t="n">
        <x:v>-302760.7225000001</x:v>
      </x:c>
      <x:c r="AE266" s="25" t="n">
        <x:v>386424.67500000005</x:v>
      </x:c>
      <x:c r="AF266" s="25" t="n">
        <x:v>966061.6875000001</x:v>
      </x:c>
      <x:c r="AG266" s="25" t="n">
        <x:v>0.4772805980881008</x:v>
      </x:c>
      <x:c r="AH266" s="25" t="n">
        <x:v>5.359056806002144</x:v>
      </x:c>
      <x:c r="AI266" t="n">
        <x:f>Z266-Y266</x:f>
        <x:v>-343680.7225000001</x:v>
      </x:c>
      <x:c r="AJ266" t="n">
        <x:f>AA266/S266</x:f>
        <x:v>-1.2278696766702397</x:v>
      </x:c>
      <x:c r="AK266" t="n">
        <x:f>Z266/Y266</x:f>
        <x:v>-7.39884463587488</x:v>
      </x:c>
    </x:row>
    <x:row r="267" ht="15" customHeight="1">
      <x:c r="A267" s="25" t="str">
        <x:v>INSTANT</x:v>
      </x:c>
      <x:c r="B267" s="25" t="n">
        <x:v>100</x:v>
      </x:c>
      <x:c r="C267" s="25" t="str">
        <x:v>Cameroun</x:v>
      </x:c>
      <x:c r="D267" s="25" t="str">
        <x:v>Disaster</x:v>
      </x:c>
      <x:c r="E267" s="25" t="n">
        <x:v>8</x:v>
      </x:c>
      <x:c r="F267" s="25" t="n">
        <x:v>4</x:v>
      </x:c>
      <x:c r="G267" s="25" t="n">
        <x:v>3</x:v>
      </x:c>
      <x:c r="H267" s="25" t="n">
        <x:v>30</x:v>
      </x:c>
      <x:c r="I267" s="25" t="str">
        <x:v>Conservateur</x:v>
      </x:c>
      <x:c r="J267" s="25" t="n">
        <x:v>1</x:v>
      </x:c>
      <x:c r="K267" s="25" t="n">
        <x:v>279900</x:v>
      </x:c>
      <x:c r="L267" s="25" t="n">
        <x:v>0</x:v>
      </x:c>
      <x:c r="M267" s="25" t="n">
        <x:v>279900</x:v>
      </x:c>
      <x:c r="N267" s="25" t="n">
        <x:v>1</x:v>
      </x:c>
      <x:c r="O267" s="25" t="n">
        <x:v>1</x:v>
      </x:c>
      <x:c r="P267" s="25" t="n">
        <x:v>1</x:v>
      </x:c>
      <x:c r="Q267" s="25" t="n">
        <x:v>0.24569999999999997</x:v>
      </x:c>
      <x:c r="R267" s="25" t="n">
        <x:v>2.2</x:v>
      </x:c>
      <x:c r="S267" s="25" t="n">
        <x:v>279900</x:v>
      </x:c>
      <x:c r="T267" s="25" t="n">
        <x:v>22392</x:v>
      </x:c>
      <x:c r="U267" s="25" t="n">
        <x:v>13995</x:v>
      </x:c>
      <x:c r="V267" s="25" t="n">
        <x:v>18160</x:v>
      </x:c>
      <x:c r="W267" s="25" t="n">
        <x:v>515232.9000000001</x:v>
      </x:c>
      <x:c r="X267" s="25" t="n">
        <x:v>12880.822500000002</x:v>
      </x:c>
      <x:c r="Y267" s="25" t="n">
        <x:v>44640</x:v>
      </x:c>
      <x:c r="Z267" s="25" t="n">
        <x:v>-302760.7225000001</x:v>
      </x:c>
      <x:c r="AA267" s="25" t="n">
        <x:v>-347400.7225000001</x:v>
      </x:c>
      <x:c r="AB267" s="25" t="n">
        <x:v>-1.241160137549125</x:v>
      </x:c>
      <x:c r="AC267" s="25" t="n">
        <x:v>-6.782274249551973</x:v>
      </x:c>
      <x:c r="AD267" s="25" t="n">
        <x:v>-302760.7225000001</x:v>
      </x:c>
      <x:c r="AE267" s="25" t="n">
        <x:v>386424.67500000005</x:v>
      </x:c>
      <x:c r="AF267" s="25" t="n">
        <x:v>966061.6875000001</x:v>
      </x:c>
      <x:c r="AG267" s="25" t="n">
        <x:v>0.467653883644982</x:v>
      </x:c>
      <x:c r="AH267" s="25" t="n">
        <x:v>5.359056806002144</x:v>
      </x:c>
      <x:c r="AI267" t="n">
        <x:f>Z267-Y267</x:f>
        <x:v>-347400.7225000001</x:v>
      </x:c>
      <x:c r="AJ267" t="n">
        <x:f>AA267/S267</x:f>
        <x:v>-1.241160137549125</x:v>
      </x:c>
      <x:c r="AK267" t="n">
        <x:f>Z267/Y267</x:f>
        <x:v>-6.782274249551973</x:v>
      </x:c>
    </x:row>
    <x:row r="268" ht="15" customHeight="1">
      <x:c r="A268" s="25" t="str">
        <x:v>INSTANT</x:v>
      </x:c>
      <x:c r="B268" s="25" t="n">
        <x:v>100</x:v>
      </x:c>
      <x:c r="C268" s="25" t="str">
        <x:v>Sénégal</x:v>
      </x:c>
      <x:c r="D268" s="25" t="str">
        <x:v>Disaster</x:v>
      </x:c>
      <x:c r="E268" s="25" t="n">
        <x:v>8</x:v>
      </x:c>
      <x:c r="F268" s="25" t="n">
        <x:v>4</x:v>
      </x:c>
      <x:c r="G268" s="25" t="n">
        <x:v>3</x:v>
      </x:c>
      <x:c r="H268" s="25" t="n">
        <x:v>30</x:v>
      </x:c>
      <x:c r="I268" s="25" t="str">
        <x:v>Conservateur</x:v>
      </x:c>
      <x:c r="J268" s="25" t="n">
        <x:v>1</x:v>
      </x:c>
      <x:c r="K268" s="25" t="n">
        <x:v>279900</x:v>
      </x:c>
      <x:c r="L268" s="25" t="n">
        <x:v>0</x:v>
      </x:c>
      <x:c r="M268" s="25" t="n">
        <x:v>279900</x:v>
      </x:c>
      <x:c r="N268" s="25" t="n">
        <x:v>1</x:v>
      </x:c>
      <x:c r="O268" s="25" t="n">
        <x:v>1</x:v>
      </x:c>
      <x:c r="P268" s="25" t="n">
        <x:v>1</x:v>
      </x:c>
      <x:c r="Q268" s="25" t="n">
        <x:v>0.24569999999999997</x:v>
      </x:c>
      <x:c r="R268" s="25" t="n">
        <x:v>2.2</x:v>
      </x:c>
      <x:c r="S268" s="25" t="n">
        <x:v>279900</x:v>
      </x:c>
      <x:c r="T268" s="25" t="n">
        <x:v>22392</x:v>
      </x:c>
      <x:c r="U268" s="25" t="n">
        <x:v>13995</x:v>
      </x:c>
      <x:c r="V268" s="25" t="n">
        <x:v>18160</x:v>
      </x:c>
      <x:c r="W268" s="25" t="n">
        <x:v>515232.9000000001</x:v>
      </x:c>
      <x:c r="X268" s="25" t="n">
        <x:v>12880.822500000002</x:v>
      </x:c>
      <x:c r="Y268" s="25" t="n">
        <x:v>55800</x:v>
      </x:c>
      <x:c r="Z268" s="25" t="n">
        <x:v>-302760.7225000001</x:v>
      </x:c>
      <x:c r="AA268" s="25" t="n">
        <x:v>-358560.7225000001</x:v>
      </x:c>
      <x:c r="AB268" s="25" t="n">
        <x:v>-1.281031520185781</x:v>
      </x:c>
      <x:c r="AC268" s="25" t="n">
        <x:v>-5.425819399641579</x:v>
      </x:c>
      <x:c r="AD268" s="25" t="n">
        <x:v>-302760.7225000001</x:v>
      </x:c>
      <x:c r="AE268" s="25" t="n">
        <x:v>386424.67500000005</x:v>
      </x:c>
      <x:c r="AF268" s="25" t="n">
        <x:v>966061.6875000001</x:v>
      </x:c>
      <x:c r="AG268" s="25" t="n">
        <x:v>0.4387737403156255</x:v>
      </x:c>
      <x:c r="AH268" s="25" t="n">
        <x:v>5.359056806002144</x:v>
      </x:c>
      <x:c r="AI268" t="n">
        <x:f>Z268-Y268</x:f>
        <x:v>-358560.7225000001</x:v>
      </x:c>
      <x:c r="AJ268" t="n">
        <x:f>AA268/S268</x:f>
        <x:v>-1.281031520185781</x:v>
      </x:c>
      <x:c r="AK268" t="n">
        <x:f>Z268/Y268</x:f>
        <x:v>-5.425819399641579</x:v>
      </x:c>
    </x:row>
    <x:row r="269" ht="15" customHeight="1">
      <x:c r="A269" s="25" t="str">
        <x:v>INSTANT</x:v>
      </x:c>
      <x:c r="B269" s="25" t="n">
        <x:v>100</x:v>
      </x:c>
      <x:c r="C269" s="25" t="str">
        <x:v>Bénin</x:v>
      </x:c>
      <x:c r="D269" s="25" t="str">
        <x:v>Disaster</x:v>
      </x:c>
      <x:c r="E269" s="25" t="n">
        <x:v>8</x:v>
      </x:c>
      <x:c r="F269" s="25" t="n">
        <x:v>4</x:v>
      </x:c>
      <x:c r="G269" s="25" t="n">
        <x:v>3</x:v>
      </x:c>
      <x:c r="H269" s="25" t="n">
        <x:v>30</x:v>
      </x:c>
      <x:c r="I269" s="25" t="str">
        <x:v>Conservateur</x:v>
      </x:c>
      <x:c r="J269" s="25" t="n">
        <x:v>1</x:v>
      </x:c>
      <x:c r="K269" s="25" t="n">
        <x:v>279900</x:v>
      </x:c>
      <x:c r="L269" s="25" t="n">
        <x:v>0</x:v>
      </x:c>
      <x:c r="M269" s="25" t="n">
        <x:v>279900</x:v>
      </x:c>
      <x:c r="N269" s="25" t="n">
        <x:v>1</x:v>
      </x:c>
      <x:c r="O269" s="25" t="n">
        <x:v>1</x:v>
      </x:c>
      <x:c r="P269" s="25" t="n">
        <x:v>1</x:v>
      </x:c>
      <x:c r="Q269" s="25" t="n">
        <x:v>0.24569999999999997</x:v>
      </x:c>
      <x:c r="R269" s="25" t="n">
        <x:v>2.2</x:v>
      </x:c>
      <x:c r="S269" s="25" t="n">
        <x:v>279900</x:v>
      </x:c>
      <x:c r="T269" s="25" t="n">
        <x:v>22392</x:v>
      </x:c>
      <x:c r="U269" s="25" t="n">
        <x:v>13995</x:v>
      </x:c>
      <x:c r="V269" s="25" t="n">
        <x:v>18160</x:v>
      </x:c>
      <x:c r="W269" s="25" t="n">
        <x:v>515232.9000000001</x:v>
      </x:c>
      <x:c r="X269" s="25" t="n">
        <x:v>12880.822500000002</x:v>
      </x:c>
      <x:c r="Y269" s="25" t="n">
        <x:v>37200</x:v>
      </x:c>
      <x:c r="Z269" s="25" t="n">
        <x:v>-302760.7225000001</x:v>
      </x:c>
      <x:c r="AA269" s="25" t="n">
        <x:v>-339960.7225000001</x:v>
      </x:c>
      <x:c r="AB269" s="25" t="n">
        <x:v>-1.2145792157913544</x:v>
      </x:c>
      <x:c r="AC269" s="25" t="n">
        <x:v>-8.138729099462369</x:v>
      </x:c>
      <x:c r="AD269" s="25" t="n">
        <x:v>-302760.7225000001</x:v>
      </x:c>
      <x:c r="AE269" s="25" t="n">
        <x:v>386424.67500000005</x:v>
      </x:c>
      <x:c r="AF269" s="25" t="n">
        <x:v>966061.6875000001</x:v>
      </x:c>
      <x:c r="AG269" s="25" t="n">
        <x:v>0.48690731253121966</x:v>
      </x:c>
      <x:c r="AH269" s="25" t="n">
        <x:v>5.359056806002144</x:v>
      </x:c>
      <x:c r="AI269" t="n">
        <x:f>Z269-Y269</x:f>
        <x:v>-339960.7225000001</x:v>
      </x:c>
      <x:c r="AJ269" t="n">
        <x:f>AA269/S269</x:f>
        <x:v>-1.2145792157913544</x:v>
      </x:c>
      <x:c r="AK269" t="n">
        <x:f>Z269/Y269</x:f>
        <x:v>-8.138729099462369</x:v>
      </x:c>
    </x:row>
    <x:row r="270" ht="15" customHeight="1">
      <x:c r="A270" s="25" t="str">
        <x:v>INSTANT</x:v>
      </x:c>
      <x:c r="B270" s="25" t="n">
        <x:v>100</x:v>
      </x:c>
      <x:c r="C270" s="25" t="str">
        <x:v>Burkina Faso</x:v>
      </x:c>
      <x:c r="D270" s="25" t="str">
        <x:v>Disaster</x:v>
      </x:c>
      <x:c r="E270" s="25" t="n">
        <x:v>8</x:v>
      </x:c>
      <x:c r="F270" s="25" t="n">
        <x:v>4</x:v>
      </x:c>
      <x:c r="G270" s="25" t="n">
        <x:v>3</x:v>
      </x:c>
      <x:c r="H270" s="25" t="n">
        <x:v>30</x:v>
      </x:c>
      <x:c r="I270" s="25" t="str">
        <x:v>Conservateur</x:v>
      </x:c>
      <x:c r="J270" s="25" t="n">
        <x:v>1</x:v>
      </x:c>
      <x:c r="K270" s="25" t="n">
        <x:v>279900</x:v>
      </x:c>
      <x:c r="L270" s="25" t="n">
        <x:v>0</x:v>
      </x:c>
      <x:c r="M270" s="25" t="n">
        <x:v>279900</x:v>
      </x:c>
      <x:c r="N270" s="25" t="n">
        <x:v>1</x:v>
      </x:c>
      <x:c r="O270" s="25" t="n">
        <x:v>1</x:v>
      </x:c>
      <x:c r="P270" s="25" t="n">
        <x:v>1</x:v>
      </x:c>
      <x:c r="Q270" s="25" t="n">
        <x:v>0.24569999999999997</x:v>
      </x:c>
      <x:c r="R270" s="25" t="n">
        <x:v>2.2</x:v>
      </x:c>
      <x:c r="S270" s="25" t="n">
        <x:v>279900</x:v>
      </x:c>
      <x:c r="T270" s="25" t="n">
        <x:v>22392</x:v>
      </x:c>
      <x:c r="U270" s="25" t="n">
        <x:v>13995</x:v>
      </x:c>
      <x:c r="V270" s="25" t="n">
        <x:v>18160</x:v>
      </x:c>
      <x:c r="W270" s="25" t="n">
        <x:v>515232.9000000001</x:v>
      </x:c>
      <x:c r="X270" s="25" t="n">
        <x:v>12880.822500000002</x:v>
      </x:c>
      <x:c r="Y270" s="25" t="n">
        <x:v>42780</x:v>
      </x:c>
      <x:c r="Z270" s="25" t="n">
        <x:v>-302760.7225000001</x:v>
      </x:c>
      <x:c r="AA270" s="25" t="n">
        <x:v>-345540.7225000001</x:v>
      </x:c>
      <x:c r="AB270" s="25" t="n">
        <x:v>-1.2345149071096824</x:v>
      </x:c>
      <x:c r="AC270" s="25" t="n">
        <x:v>-7.0771557386629285</x:v>
      </x:c>
      <x:c r="AD270" s="25" t="n">
        <x:v>-302760.7225000001</x:v>
      </x:c>
      <x:c r="AE270" s="25" t="n">
        <x:v>386424.67500000005</x:v>
      </x:c>
      <x:c r="AF270" s="25" t="n">
        <x:v>966061.6875000001</x:v>
      </x:c>
      <x:c r="AG270" s="25" t="n">
        <x:v>0.4724672408665414</x:v>
      </x:c>
      <x:c r="AH270" s="25" t="n">
        <x:v>5.359056806002144</x:v>
      </x:c>
      <x:c r="AI270" t="n">
        <x:f>Z270-Y270</x:f>
        <x:v>-345540.7225000001</x:v>
      </x:c>
      <x:c r="AJ270" t="n">
        <x:f>AA270/S270</x:f>
        <x:v>-1.2345149071096824</x:v>
      </x:c>
      <x:c r="AK270" t="n">
        <x:f>Z270/Y270</x:f>
        <x:v>-7.0771557386629285</x:v>
      </x:c>
    </x:row>
    <x:row r="271" ht="15" customHeight="1">
      <x:c r="A271" s="26" t="str">
        <x:v>INSTANT</x:v>
      </x:c>
      <x:c r="B271" s="26" t="n">
        <x:v>100</x:v>
      </x:c>
      <x:c r="C271" s="26" t="str">
        <x:v>Togo</x:v>
      </x:c>
      <x:c r="D271" s="26" t="str">
        <x:v>Disaster</x:v>
      </x:c>
      <x:c r="E271" s="26" t="n">
        <x:v>8</x:v>
      </x:c>
      <x:c r="F271" s="26" t="n">
        <x:v>4</x:v>
      </x:c>
      <x:c r="G271" s="26" t="n">
        <x:v>3</x:v>
      </x:c>
      <x:c r="H271" s="26" t="n">
        <x:v>30</x:v>
      </x:c>
      <x:c r="I271" s="26" t="str">
        <x:v>Conservateur</x:v>
      </x:c>
      <x:c r="J271" s="26" t="n">
        <x:v>1</x:v>
      </x:c>
      <x:c r="K271" s="26" t="n">
        <x:v>279900</x:v>
      </x:c>
      <x:c r="L271" s="26" t="n">
        <x:v>0</x:v>
      </x:c>
      <x:c r="M271" s="26" t="n">
        <x:v>279900</x:v>
      </x:c>
      <x:c r="N271" s="26" t="n">
        <x:v>1</x:v>
      </x:c>
      <x:c r="O271" s="26" t="n">
        <x:v>1</x:v>
      </x:c>
      <x:c r="P271" s="26" t="n">
        <x:v>1</x:v>
      </x:c>
      <x:c r="Q271" s="26" t="n">
        <x:v>0.24569999999999997</x:v>
      </x:c>
      <x:c r="R271" s="26" t="n">
        <x:v>2.2</x:v>
      </x:c>
      <x:c r="S271" s="26" t="n">
        <x:v>279900</x:v>
      </x:c>
      <x:c r="T271" s="26" t="n">
        <x:v>22392</x:v>
      </x:c>
      <x:c r="U271" s="26" t="n">
        <x:v>13995</x:v>
      </x:c>
      <x:c r="V271" s="26" t="n">
        <x:v>18160</x:v>
      </x:c>
      <x:c r="W271" s="26" t="n">
        <x:v>515232.9000000001</x:v>
      </x:c>
      <x:c r="X271" s="26" t="n">
        <x:v>12880.822500000002</x:v>
      </x:c>
      <x:c r="Y271" s="26" t="n">
        <x:v>52080</x:v>
      </x:c>
      <x:c r="Z271" s="26" t="n">
        <x:v>-302760.7225000001</x:v>
      </x:c>
      <x:c r="AA271" s="26" t="n">
        <x:v>-354840.7225000001</x:v>
      </x:c>
      <x:c r="AB271" s="26" t="n">
        <x:v>-1.2677410593068956</x:v>
      </x:c>
      <x:c r="AC271" s="26" t="n">
        <x:v>-5.813377928187406</x:v>
      </x:c>
      <x:c r="AD271" s="26" t="n">
        <x:v>-302760.7225000001</x:v>
      </x:c>
      <x:c r="AE271" s="26" t="n">
        <x:v>386424.67500000005</x:v>
      </x:c>
      <x:c r="AF271" s="26" t="n">
        <x:v>966061.6875000001</x:v>
      </x:c>
      <x:c r="AG271" s="26" t="n">
        <x:v>0.44840045475874435</x:v>
      </x:c>
      <x:c r="AH271" s="26" t="n">
        <x:v>5.359056806002144</x:v>
      </x:c>
      <x:c r="AI271" t="n">
        <x:f>Z271-Y271</x:f>
        <x:v>-354840.7225000001</x:v>
      </x:c>
      <x:c r="AJ271" t="n">
        <x:f>AA271/S271</x:f>
        <x:v>-1.2677410593068956</x:v>
      </x:c>
      <x:c r="AK271" t="n">
        <x:f>Z271/Y271</x:f>
        <x:v>-5.813377928187406</x:v>
      </x:c>
    </x:row>
  </x:sheetData>
  <x:conditionalFormatting sqref="A2:AH271">
    <x:cfRule type="expression" dxfId="6" priority="1">
      <x:formula>MOD(ROW(),2)=0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.220000267028809" hidden="0" customWidth="1"/>
    <x:col min="3" max="3" width="10.670000076293945" hidden="0" customWidth="1"/>
    <x:col min="4" max="4" width="10" hidden="0" customWidth="1"/>
    <x:col min="5" max="5" width="42" hidden="0" customWidth="1"/>
  </x:cols>
  <x:sheetData>
    <x:row r="1" ht="15" hidden="0" customHeight="1">
      <x:c r="A1" s="22" t="str">
        <x:v>Test</x:v>
      </x:c>
      <x:c r="B1" s="22" t="str">
        <x:v>CA</x:v>
      </x:c>
      <x:c r="C1" s="22" t="str">
        <x:v>Contribution</x:v>
      </x:c>
      <x:c r="D1" s="22" t="str">
        <x:v>CM</x:v>
      </x:c>
      <x:c r="E1" s="22" t="str">
        <x:v>Lecture</x:v>
      </x:c>
    </x:row>
    <x:row r="2" ht="15" hidden="0" customHeight="1">
      <x:c r="A2" s="25" t="str">
        <x:v>Stress candidat — mix souscrit</x:v>
      </x:c>
      <x:c r="B2" s="25" t="n">
        <x:v>49688.68799999998</x:v>
      </x:c>
      <x:c r="C2" s="25" t="n">
        <x:v>8212.314447423994</x:v>
      </x:c>
      <x:c r="D2" s="25" t="n">
        <x:v>0.16527533283680176</x:v>
      </x:c>
      <x:c r="E2" s="25" t="str">
        <x:v>PASS si CM &gt;=15%</x:v>
      </x:c>
    </x:row>
    <x:row r="3" ht="15" hidden="0" customHeight="1">
      <x:c r="A3" s="25" t="str">
        <x:v>Stress + mix low-ticket 45% 5K</x:v>
      </x:c>
      <x:c r="B3" s="25" t="n">
        <x:v>36642.89599999999</x:v>
      </x:c>
      <x:c r="C3" s="25" t="n">
        <x:v>1699.2874883199981</x:v>
      </x:c>
      <x:c r="D3" s="25" t="n">
        <x:v>0.046374268243427004</x:v>
      </x:c>
      <x:c r="E3" s="25" t="str">
        <x:v>FAIL attendu: ne pas scaler 5K paid</x:v>
      </x:c>
    </x:row>
    <x:row r="4" ht="15" hidden="0" customHeight="1">
      <x:c r="A4" s="25" t="str">
        <x:v>Stress + CAC 25%</x:v>
      </x:c>
      <x:c r="B4" s="25" t="n">
        <x:v>49688.68799999998</x:v>
      </x:c>
      <x:c r="C4" s="25" t="n">
        <x:v>4109.658197423996</x:v>
      </x:c>
      <x:c r="D4" s="25" t="n">
        <x:v>0.08270812458207787</x:v>
      </x:c>
      <x:c r="E4" s="25" t="str">
        <x:v>Surveille la dérive auction/conversion</x:v>
      </x:c>
    </x:row>
    <x:row r="5" ht="15" hidden="0" customHeight="1">
      <x:c r="A5" s="25" t="str">
        <x:v>Stress + payouts 25%</x:v>
      </x:c>
      <x:c r="B5" s="25" t="n">
        <x:v>49688.68799999998</x:v>
      </x:c>
      <x:c r="C5" s="25" t="n">
        <x:v>4313.905929279997</x:v>
      </x:c>
      <x:c r="D5" s="25" t="n">
        <x:v>0.08681867247692268</x:v>
      </x:c>
      <x:c r="E5" s="25" t="str">
        <x:v>Surveille severity/cycles</x:v>
      </x:c>
    </x:row>
    <x:row r="6" ht="15" hidden="0" customHeight="1">
      <x:c r="A6" s="26" t="str">
        <x:v>Disaster — résultats extrêmes</x:v>
      </x:c>
      <x:c r="B6" s="26" t="n">
        <x:v>55900.73999999998</x:v>
      </x:c>
      <x:c r="C6" s="26" t="n">
        <x:v>-80232.15478149998</x:v>
      </x:c>
      <x:c r="D6" s="26" t="n">
        <x:v>-1.4352610498805563</x:v>
      </x:c>
      <x:c r="E6" s="26" t="str">
        <x:v>FAIL: circuit breaker et reserve</x:v>
      </x:c>
    </x:row>
  </x:sheetData>
  <x:conditionalFormatting sqref="A2:E6">
    <x:cfRule type="expression" dxfId="7" priority="1">
      <x:formula>MOD(ROW(),2)=0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5.889999866485596" hidden="0" customWidth="1"/>
    <x:col min="3" max="3" width="11.220000267028809" hidden="0" customWidth="1"/>
    <x:col min="4" max="4" width="18" hidden="0" customWidth="1"/>
    <x:col min="5" max="5" width="12.890000343322754" hidden="0" customWidth="1"/>
  </x:cols>
  <x:sheetData>
    <x:row r="1" ht="15" hidden="0" customHeight="1">
      <x:c r="A1" s="22" t="str">
        <x:v>Produit</x:v>
      </x:c>
      <x:c r="B1" s="22" t="str">
        <x:v>Taille_K</x:v>
      </x:c>
      <x:c r="C1" s="22" t="str">
        <x:v>CM_Stress_pct</x:v>
      </x:c>
      <x:c r="D1" s="22" t="str">
        <x:v>Contribution_Stress_XOF</x:v>
      </x:c>
      <x:c r="E1" s="22" t="str">
        <x:v>Statut_lancement</x:v>
      </x:c>
    </x:row>
    <x:row r="2" ht="15" hidden="0" customHeight="1">
      <x:c r="A2" s="25" t="str">
        <x:v>ONE</x:v>
      </x:c>
      <x:c r="B2" s="25" t="n">
        <x:v>5</x:v>
      </x:c>
      <x:c r="C2" s="25" t="n">
        <x:v>-0.3977058974874372</x:v>
      </x:c>
      <x:c r="D2" s="25" t="n">
        <x:v>-7914.34736</x:v>
      </x:c>
      <x:c r="E2" s="25" t="str">
        <x:v>NO PAID SCALE</x:v>
      </x:c>
    </x:row>
    <x:row r="3" ht="15" hidden="0" customHeight="1">
      <x:c r="A3" s="25" t="str">
        <x:v>ONE</x:v>
      </x:c>
      <x:c r="B3" s="25" t="n">
        <x:v>10</x:v>
      </x:c>
      <x:c r="C3" s="25" t="n">
        <x:v>0.08191419140401146</x:v>
      </x:c>
      <x:c r="D3" s="25" t="n">
        <x:v>2858.80528</x:v>
      </x:c>
      <x:c r="E3" s="25" t="str">
        <x:v>LIMITÉ</x:v>
      </x:c>
    </x:row>
    <x:row r="4" ht="15" hidden="0" customHeight="1">
      <x:c r="A4" s="25" t="str">
        <x:v>ONE</x:v>
      </x:c>
      <x:c r="B4" s="25" t="n">
        <x:v>25</x:v>
      </x:c>
      <x:c r="C4" s="25" t="n">
        <x:v>0.37236428040057223</x:v>
      </x:c>
      <x:c r="D4" s="25" t="n">
        <x:v>26028.263199999998</x:v>
      </x:c>
      <x:c r="E4" s="25" t="str">
        <x:v>GO PILOTE</x:v>
      </x:c>
    </x:row>
    <x:row r="5" ht="15" hidden="0" customHeight="1">
      <x:c r="A5" s="25" t="str">
        <x:v>ONE</x:v>
      </x:c>
      <x:c r="B5" s="25" t="n">
        <x:v>50</x:v>
      </x:c>
      <x:c r="C5" s="25" t="n">
        <x:v>0.47555484904086737</x:v>
      </x:c>
      <x:c r="D5" s="25" t="n">
        <x:v>57019.026399999995</x:v>
      </x:c>
      <x:c r="E5" s="25" t="str">
        <x:v>GO PILOTE</x:v>
      </x:c>
    </x:row>
    <x:row r="6" ht="15" hidden="0" customHeight="1">
      <x:c r="A6" s="25" t="str">
        <x:v>ONE</x:v>
      </x:c>
      <x:c r="B6" s="25" t="n">
        <x:v>100</x:v>
      </x:c>
      <x:c r="C6" s="25" t="n">
        <x:v>0.5037546413206603</x:v>
      </x:c>
      <x:c r="D6" s="25" t="n">
        <x:v>100700.55279999999</x:v>
      </x:c>
      <x:c r="E6" s="25" t="str">
        <x:v>GO PILOTE</x:v>
      </x:c>
    </x:row>
    <x:row r="7" ht="15" hidden="0" customHeight="1">
      <x:c r="A7" s="25" t="str">
        <x:v>FLEX</x:v>
      </x:c>
      <x:c r="B7" s="25" t="n">
        <x:v>5</x:v>
      </x:c>
      <x:c r="C7" s="25" t="n">
        <x:v>-0.5259596689014733</x:v>
      </x:c>
      <x:c r="D7" s="25" t="n">
        <x:v>-7757.1056576</x:v>
      </x:c>
      <x:c r="E7" s="25" t="str">
        <x:v>NO PAID SCALE</x:v>
      </x:c>
    </x:row>
    <x:row r="8" ht="15" hidden="0" customHeight="1">
      <x:c r="A8" s="25" t="str">
        <x:v>FLEX</x:v>
      </x:c>
      <x:c r="B8" s="25" t="n">
        <x:v>10</x:v>
      </x:c>
      <x:c r="C8" s="25" t="n">
        <x:v>-0.18036246652552074</x:v>
      </x:c>
      <x:c r="D8" s="25" t="n">
        <x:v>-4034.5785152000003</x:v>
      </x:c>
      <x:c r="E8" s="25" t="str">
        <x:v>NO PAID SCALE</x:v>
      </x:c>
    </x:row>
    <x:row r="9" ht="15" hidden="0" customHeight="1">
      <x:c r="A9" s="25" t="str">
        <x:v>FLEX</x:v>
      </x:c>
      <x:c r="B9" s="25" t="n">
        <x:v>25</x:v>
      </x:c>
      <x:c r="C9" s="25" t="n">
        <x:v>0.1617228163879974</x:v>
      </x:c>
      <x:c r="D9" s="25" t="n">
        <x:v>7354.066911999995</x:v>
      </x:c>
      <x:c r="E9" s="25" t="str">
        <x:v>GO PILOTE</x:v>
      </x:c>
    </x:row>
    <x:row r="10" ht="15" hidden="0" customHeight="1">
      <x:c r="A10" s="25" t="str">
        <x:v>FLEX</x:v>
      </x:c>
      <x:c r="B10" s="25" t="n">
        <x:v>50</x:v>
      </x:c>
      <x:c r="C10" s="25" t="n">
        <x:v>0.18842647942954205</x:v>
      </x:c>
      <x:c r="D10" s="25" t="n">
        <x:v>13098.142623999996</x:v>
      </x:c>
      <x:c r="E10" s="25" t="str">
        <x:v>GO PILOTE</x:v>
      </x:c>
    </x:row>
    <x:row r="11" ht="15" hidden="0" customHeight="1">
      <x:c r="A11" s="25" t="str">
        <x:v>FLEX</x:v>
      </x:c>
      <x:c r="B11" s="25" t="n">
        <x:v>100</x:v>
      </x:c>
      <x:c r="C11" s="25" t="n">
        <x:v>0.045088408941529844</x:v>
      </x:c>
      <x:c r="D11" s="25" t="n">
        <x:v>4302.574047999989</x:v>
      </x:c>
      <x:c r="E11" s="25" t="str">
        <x:v>LIMITÉ</x:v>
      </x:c>
    </x:row>
    <x:row r="12" ht="15" hidden="0" customHeight="1">
      <x:c r="A12" s="25" t="str">
        <x:v>INSTANT</x:v>
      </x:c>
      <x:c r="B12" s="25" t="n">
        <x:v>5</x:v>
      </x:c>
      <x:c r="C12" s="25" t="n">
        <x:v>-0.20306725012531332</x:v>
      </x:c>
      <x:c r="D12" s="25" t="n">
        <x:v>-8102.383280000001</x:v>
      </x:c>
      <x:c r="E12" s="25" t="str">
        <x:v>NO PAID SCALE</x:v>
      </x:c>
    </x:row>
    <x:row r="13" ht="15" hidden="0" customHeight="1">
      <x:c r="A13" s="25" t="str">
        <x:v>INSTANT</x:v>
      </x:c>
      <x:c r="B13" s="25" t="n">
        <x:v>10</x:v>
      </x:c>
      <x:c r="C13" s="25" t="n">
        <x:v>0.07774596727879794</x:v>
      </x:c>
      <x:c r="D13" s="25" t="n">
        <x:v>4656.983439999996</x:v>
      </x:c>
      <x:c r="E13" s="25" t="str">
        <x:v>LIMITÉ</x:v>
      </x:c>
    </x:row>
    <x:row r="14" ht="15" hidden="0" customHeight="1">
      <x:c r="A14" s="25" t="str">
        <x:v>INSTANT</x:v>
      </x:c>
      <x:c r="B14" s="25" t="n">
        <x:v>25</x:v>
      </x:c>
      <x:c r="C14" s="25" t="n">
        <x:v>0.24659743343343346</x:v>
      </x:c>
      <x:c r="D14" s="25" t="n">
        <x:v>24635.0836</x:v>
      </x:c>
      <x:c r="E14" s="25" t="str">
        <x:v>GO PILOTE</x:v>
      </x:c>
    </x:row>
    <x:row r="15" ht="15" hidden="0" customHeight="1">
      <x:c r="A15" s="25" t="str">
        <x:v>INSTANT</x:v>
      </x:c>
      <x:c r="B15" s="25" t="n">
        <x:v>50</x:v>
      </x:c>
      <x:c r="C15" s="25" t="n">
        <x:v>0.35892829429075923</x:v>
      </x:c>
      <x:c r="D15" s="25" t="n">
        <x:v>60981.917199999996</x:v>
      </x:c>
      <x:c r="E15" s="25" t="str">
        <x:v>GO PILOTE</x:v>
      </x:c>
    </x:row>
    <x:row r="16" ht="15" hidden="0" customHeight="1">
      <x:c r="A16" s="26" t="str">
        <x:v>INSTANT</x:v>
      </x:c>
      <x:c r="B16" s="26" t="n">
        <x:v>100</x:v>
      </x:c>
      <x:c r="C16" s="26" t="n">
        <x:v>0.3795126273669167</x:v>
      </x:c>
      <x:c r="D16" s="26" t="n">
        <x:v>106225.58439999999</x:v>
      </x:c>
      <x:c r="E16" s="26" t="str">
        <x:v>GO PILOTE</x:v>
      </x:c>
    </x:row>
  </x:sheetData>
  <x:conditionalFormatting sqref="A2:E16">
    <x:cfRule type="expression" dxfId="8" priority="1">
      <x:formula>MOD(ROW(),2)=0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.890000343322754" hidden="0" customWidth="1"/>
    <x:col min="2" max="2" width="9.329999923706055" hidden="0" customWidth="1"/>
    <x:col min="3" max="3" width="7.78000020980835" hidden="0" customWidth="1"/>
    <x:col min="4" max="4" width="10.220000267028809" hidden="0" customWidth="1"/>
    <x:col min="5" max="5" width="22" hidden="0" customWidth="1"/>
    <x:col min="6" max="6" width="7.78000020980835" hidden="0" customWidth="1"/>
    <x:col min="7" max="7" width="11.220000267028809" hidden="0" customWidth="1"/>
    <x:col min="8" max="8" width="12.5600004196167" hidden="0" customWidth="1"/>
    <x:col min="9" max="9" width="18" hidden="0" customWidth="1"/>
    <x:col min="10" max="10" width="15.4399995803833" hidden="0" customWidth="1"/>
    <x:col min="11" max="11" width="12.109999656677246" hidden="0" customWidth="1"/>
    <x:col min="12" max="12" width="10.109999656677246" hidden="0" customWidth="1"/>
    <x:col min="13" max="13" width="14.5600004196167" hidden="0" customWidth="1"/>
    <x:col min="14" max="14" width="11.329999923706055" hidden="0" customWidth="1"/>
  </x:cols>
  <x:sheetData>
    <x:row r="1" ht="15" hidden="0" customHeight="1">
      <x:c r="A1" s="22" t="str">
        <x:v>Target_ONE</x:v>
      </x:c>
      <x:c r="B1" s="22" t="str">
        <x:v>Target_FLEX</x:v>
      </x:c>
      <x:c r="C1" s="22" t="str">
        <x:v>Buffer_pct</x:v>
      </x:c>
      <x:c r="D1" s="22" t="str">
        <x:v>Best_Day_pct</x:v>
      </x:c>
      <x:c r="E1" s="22" t="str">
        <x:v>Leverage</x:v>
      </x:c>
      <x:c r="F1" s="22" t="str">
        <x:v>Cap_scale</x:v>
      </x:c>
      <x:c r="G1" s="22" t="str">
        <x:v>CM_Stress_pct</x:v>
      </x:c>
      <x:c r="H1" s="22" t="str">
        <x:v>CM_Disaster_pct</x:v>
      </x:c>
      <x:c r="I1" s="22" t="str">
        <x:v>Contribution_Stress_XOF</x:v>
      </x:c>
      <x:c r="J1" s="22" t="str">
        <x:v>BE_CAC_Stress_XOF</x:v>
      </x:c>
      <x:c r="K1" s="22" t="str">
        <x:v>Cap1_sur_prix_x</x:v>
      </x:c>
      <x:c r="L1" s="22" t="str">
        <x:v>Appeal_score</x:v>
      </x:c>
      <x:c r="M1" s="22" t="str">
        <x:v>Qualifie_garde_fous</x:v>
      </x:c>
      <x:c r="N1" s="22" t="str">
        <x:v>Score_décision</x:v>
      </x:c>
    </x:row>
    <x:row r="2" ht="15" hidden="0" customHeight="1">
      <x:c r="A2" s="25" t="n">
        <x:v>10</x:v>
      </x:c>
      <x:c r="B2" s="25" t="n">
        <x:v>4</x:v>
      </x:c>
      <x:c r="C2" s="25" t="n">
        <x:v>3</x:v>
      </x:c>
      <x:c r="D2" s="25" t="n">
        <x:v>30</x:v>
      </x:c>
      <x:c r="E2" s="25" t="str">
        <x:v>Conservateur</x:v>
      </x:c>
      <x:c r="F2" s="25" t="n">
        <x:v>0.8</x:v>
      </x:c>
      <x:c r="G2" s="25" t="n">
        <x:v>0.2719639800421903</x:v>
      </x:c>
      <x:c r="H2" s="25" t="n">
        <x:v>-0.8698628987912322</x:v>
      </x:c>
      <x:c r="I2" s="25" t="n">
        <x:v>13194.07288581007</x:v>
      </x:c>
      <x:c r="J2" s="25" t="n">
        <x:v>29604.697885810067</x:v>
      </x:c>
      <x:c r="K2" s="25" t="n">
        <x:v>4.158973332304886</x:v>
      </x:c>
      <x:c r="L2" s="25" t="n">
        <x:v>41.25</x:v>
      </x:c>
      <x:c r="M2" s="34" t="b">
        <x:v>0</x:v>
      </x:c>
      <x:c r="N2" s="25" t="n">
        <x:v>1.4614464325396614</x:v>
      </x:c>
    </x:row>
    <x:row r="3" ht="15" hidden="0" customHeight="1">
      <x:c r="A3" s="25" t="n">
        <x:v>8</x:v>
      </x:c>
      <x:c r="B3" s="25" t="n">
        <x:v>4</x:v>
      </x:c>
      <x:c r="C3" s="25" t="n">
        <x:v>3</x:v>
      </x:c>
      <x:c r="D3" s="25" t="n">
        <x:v>30</x:v>
      </x:c>
      <x:c r="E3" s="25" t="str">
        <x:v>Conservateur</x:v>
      </x:c>
      <x:c r="F3" s="25" t="n">
        <x:v>0.8</x:v>
      </x:c>
      <x:c r="G3" s="25" t="n">
        <x:v>0.25886909531265456</x:v>
      </x:c>
      <x:c r="H3" s="25" t="n">
        <x:v>-0.9365370201305315</x:v>
      </x:c>
      <x:c r="I3" s="25" t="n">
        <x:v>12558.787053009812</x:v>
      </x:c>
      <x:c r="J3" s="25" t="n">
        <x:v>28969.412053009808</x:v>
      </x:c>
      <x:c r="K3" s="25" t="n">
        <x:v>4.158973332304886</x:v>
      </x:c>
      <x:c r="L3" s="25" t="n">
        <x:v>49.25</x:v>
      </x:c>
      <x:c r="M3" s="34" t="b">
        <x:v>0</x:v>
      </x:c>
      <x:c r="N3" s="25" t="n">
        <x:v>0.6743747389327144</x:v>
      </x:c>
    </x:row>
    <x:row r="4" ht="15" hidden="0" customHeight="1">
      <x:c r="A4" s="25" t="n">
        <x:v>10</x:v>
      </x:c>
      <x:c r="B4" s="25" t="n">
        <x:v>3</x:v>
      </x:c>
      <x:c r="C4" s="25" t="n">
        <x:v>3</x:v>
      </x:c>
      <x:c r="D4" s="25" t="n">
        <x:v>30</x:v>
      </x:c>
      <x:c r="E4" s="25" t="str">
        <x:v>Conservateur</x:v>
      </x:c>
      <x:c r="F4" s="25" t="n">
        <x:v>0.8</x:v>
      </x:c>
      <x:c r="G4" s="25" t="n">
        <x:v>0.2666951688290091</x:v>
      </x:c>
      <x:c r="H4" s="25" t="n">
        <x:v>-0.940694673963621</x:v>
      </x:c>
      <x:c r="I4" s="25" t="n">
        <x:v>13512.792614929403</x:v>
      </x:c>
      <x:c r="J4" s="25" t="n">
        <x:v>29923.417614929403</x:v>
      </x:c>
      <x:c r="K4" s="25" t="n">
        <x:v>4.158973332304886</x:v>
      </x:c>
      <x:c r="L4" s="25" t="n">
        <x:v>46.25</x:v>
      </x:c>
      <x:c r="M4" s="34" t="b">
        <x:v>0</x:v>
      </x:c>
      <x:c r="N4" s="25" t="n">
        <x:v>0.400867436504976</x:v>
      </x:c>
    </x:row>
    <x:row r="5" ht="15" hidden="0" customHeight="1">
      <x:c r="A5" s="25" t="n">
        <x:v>10</x:v>
      </x:c>
      <x:c r="B5" s="25" t="n">
        <x:v>4</x:v>
      </x:c>
      <x:c r="C5" s="25" t="n">
        <x:v>3</x:v>
      </x:c>
      <x:c r="D5" s="25" t="n">
        <x:v>30</x:v>
      </x:c>
      <x:c r="E5" s="25" t="str">
        <x:v>Conservateur</x:v>
      </x:c>
      <x:c r="F5" s="25" t="n">
        <x:v>1.2</x:v>
      </x:c>
      <x:c r="G5" s="25" t="n">
        <x:v>0.2644297430409747</x:v>
      </x:c>
      <x:c r="H5" s="25" t="n">
        <x:v>-0.958354282763347</x:v>
      </x:c>
      <x:c r="I5" s="25" t="n">
        <x:v>12828.556569577368</x:v>
      </x:c>
      <x:c r="J5" s="25" t="n">
        <x:v>29239.181569577366</x:v>
      </x:c>
      <x:c r="K5" s="25" t="n">
        <x:v>6.238459998457328</x:v>
      </x:c>
      <x:c r="L5" s="25" t="n">
        <x:v>47.25</x:v>
      </x:c>
      <x:c r="M5" s="34" t="b">
        <x:v>0</x:v>
      </x:c>
      <x:c r="N5" s="25" t="n">
        <x:v>0.034778798169936564</x:v>
      </x:c>
    </x:row>
    <x:row r="6" ht="15" hidden="0" customHeight="1">
      <x:c r="A6" s="25" t="n">
        <x:v>10</x:v>
      </x:c>
      <x:c r="B6" s="25" t="n">
        <x:v>4</x:v>
      </x:c>
      <x:c r="C6" s="25" t="n">
        <x:v>3</x:v>
      </x:c>
      <x:c r="D6" s="25" t="n">
        <x:v>30</x:v>
      </x:c>
      <x:c r="E6" s="25" t="str">
        <x:v>Conservateur</x:v>
      </x:c>
      <x:c r="F6" s="25" t="n">
        <x:v>1</x:v>
      </x:c>
      <x:c r="G6" s="25" t="n">
        <x:v>0.2644297430409747</x:v>
      </x:c>
      <x:c r="H6" s="25" t="n">
        <x:v>-0.9393521215978663</x:v>
      </x:c>
      <x:c r="I6" s="25" t="n">
        <x:v>12828.556569577368</x:v>
      </x:c>
      <x:c r="J6" s="25" t="n">
        <x:v>29239.181569577366</x:v>
      </x:c>
      <x:c r="K6" s="25" t="n">
        <x:v>5.1987166653811085</x:v>
      </x:c>
      <x:c r="L6" s="25" t="n">
        <x:v>44.25</x:v>
      </x:c>
      <x:c r="M6" s="34" t="b">
        <x:v>0</x:v>
      </x:c>
      <x:c r="N6" s="25" t="n">
        <x:v>-0.09016717269304841</x:v>
      </x:c>
    </x:row>
    <x:row r="7" ht="15" hidden="0" customHeight="1">
      <x:c r="A7" s="25" t="n">
        <x:v>8</x:v>
      </x:c>
      <x:c r="B7" s="25" t="n">
        <x:v>3</x:v>
      </x:c>
      <x:c r="C7" s="25" t="n">
        <x:v>3</x:v>
      </x:c>
      <x:c r="D7" s="25" t="n">
        <x:v>30</x:v>
      </x:c>
      <x:c r="E7" s="25" t="str">
        <x:v>Conservateur</x:v>
      </x:c>
      <x:c r="F7" s="25" t="n">
        <x:v>0.8</x:v>
      </x:c>
      <x:c r="G7" s="25" t="n">
        <x:v>0.25415685293373275</x:v>
      </x:c>
      <x:c r="H7" s="25" t="n">
        <x:v>-1.0032870485356262</x:v>
      </x:c>
      <x:c r="I7" s="25" t="n">
        <x:v>12877.506782129147</x:v>
      </x:c>
      <x:c r="J7" s="25" t="n">
        <x:v>29288.131782129145</x:v>
      </x:c>
      <x:c r="K7" s="25" t="n">
        <x:v>4.158973332304886</x:v>
      </x:c>
      <x:c r="L7" s="25" t="n">
        <x:v>54.25</x:v>
      </x:c>
      <x:c r="M7" s="34" t="b">
        <x:v>0</x:v>
      </x:c>
      <x:c r="N7" s="25" t="n">
        <x:v>-0.25354930203535453</x:v>
      </x:c>
    </x:row>
    <x:row r="8" ht="15" hidden="0" customHeight="1">
      <x:c r="A8" s="25" t="n">
        <x:v>10</x:v>
      </x:c>
      <x:c r="B8" s="25" t="n">
        <x:v>2</x:v>
      </x:c>
      <x:c r="C8" s="25" t="n">
        <x:v>3</x:v>
      </x:c>
      <x:c r="D8" s="25" t="n">
        <x:v>30</x:v>
      </x:c>
      <x:c r="E8" s="25" t="str">
        <x:v>Conservateur</x:v>
      </x:c>
      <x:c r="F8" s="25" t="n">
        <x:v>0.8</x:v>
      </x:c>
      <x:c r="G8" s="25" t="n">
        <x:v>0.2603294217702612</x:v>
      </x:c>
      <x:c r="H8" s="25" t="n">
        <x:v>-1.0098729516409812</x:v>
      </x:c>
      <x:c r="I8" s="25" t="n">
        <x:v>13937.752253755181</x:v>
      </x:c>
      <x:c r="J8" s="25" t="n">
        <x:v>30348.377253755178</x:v>
      </x:c>
      <x:c r="K8" s="25" t="n">
        <x:v>4.158973332304886</x:v>
      </x:c>
      <x:c r="L8" s="25" t="n">
        <x:v>51.25</x:v>
      </x:c>
      <x:c r="M8" s="34" t="b">
        <x:v>0</x:v>
      </x:c>
      <x:c r="N8" s="25" t="n">
        <x:v>-0.6787055936601671</x:v>
      </x:c>
    </x:row>
    <x:row r="9" ht="15" hidden="0" customHeight="1">
      <x:c r="A9" s="25" t="n">
        <x:v>8</x:v>
      </x:c>
      <x:c r="B9" s="25" t="n">
        <x:v>4</x:v>
      </x:c>
      <x:c r="C9" s="25" t="n">
        <x:v>3</x:v>
      </x:c>
      <x:c r="D9" s="25" t="n">
        <x:v>30</x:v>
      </x:c>
      <x:c r="E9" s="25" t="str">
        <x:v>Conservateur</x:v>
      </x:c>
      <x:c r="F9" s="25" t="n">
        <x:v>1.2</x:v>
      </x:c>
      <x:c r="G9" s="25" t="n">
        <x:v>0.2508926496301058</x:v>
      </x:c>
      <x:c r="H9" s="25" t="n">
        <x:v>-1.030033775590866</x:v>
      </x:c>
      <x:c r="I9" s="25" t="n">
        <x:v>12171.81740471695</x:v>
      </x:c>
      <x:c r="J9" s="25" t="n">
        <x:v>28582.442404716945</x:v>
      </x:c>
      <x:c r="K9" s="25" t="n">
        <x:v>6.238459998457328</x:v>
      </x:c>
      <x:c r="L9" s="25" t="n">
        <x:v>55.25</x:v>
      </x:c>
      <x:c r="M9" s="34" t="b">
        <x:v>0</x:v>
      </x:c>
      <x:c r="N9" s="25" t="n">
        <x:v>-0.90174866011583</x:v>
      </x:c>
    </x:row>
    <x:row r="10" ht="15" hidden="0" customHeight="1">
      <x:c r="A10" s="25" t="n">
        <x:v>8</x:v>
      </x:c>
      <x:c r="B10" s="25" t="n">
        <x:v>4</x:v>
      </x:c>
      <x:c r="C10" s="25" t="n">
        <x:v>3</x:v>
      </x:c>
      <x:c r="D10" s="25" t="n">
        <x:v>30</x:v>
      </x:c>
      <x:c r="E10" s="25" t="str">
        <x:v>Conservateur</x:v>
      </x:c>
      <x:c r="F10" s="25" t="n">
        <x:v>1</x:v>
      </x:c>
      <x:c r="G10" s="25" t="n">
        <x:v>0.2508926496301058</x:v>
      </x:c>
      <x:c r="H10" s="25" t="n">
        <x:v>-1.0099484474746314</x:v>
      </x:c>
      <x:c r="I10" s="25" t="n">
        <x:v>12171.81740471695</x:v>
      </x:c>
      <x:c r="J10" s="25" t="n">
        <x:v>28582.442404716945</x:v>
      </x:c>
      <x:c r="K10" s="25" t="n">
        <x:v>5.1987166653811085</x:v>
      </x:c>
      <x:c r="L10" s="25" t="n">
        <x:v>52.25</x:v>
      </x:c>
      <x:c r="M10" s="34" t="b">
        <x:v>0</x:v>
      </x:c>
      <x:c r="N10" s="25" t="n">
        <x:v>-0.9996154572099663</x:v>
      </x:c>
    </x:row>
    <x:row r="11" ht="15" hidden="0" customHeight="1">
      <x:c r="A11" s="25" t="n">
        <x:v>8</x:v>
      </x:c>
      <x:c r="B11" s="25" t="n">
        <x:v>2</x:v>
      </x:c>
      <x:c r="C11" s="25" t="n">
        <x:v>3</x:v>
      </x:c>
      <x:c r="D11" s="25" t="n">
        <x:v>30</x:v>
      </x:c>
      <x:c r="E11" s="25" t="str">
        <x:v>Conservateur</x:v>
      </x:c>
      <x:c r="F11" s="25" t="n">
        <x:v>0.8</x:v>
      </x:c>
      <x:c r="G11" s="25" t="n">
        <x:v>0.24846354910293986</x:v>
      </x:c>
      <x:c r="H11" s="25" t="n">
        <x:v>-1.0684788637730809</x:v>
      </x:c>
      <x:c r="I11" s="25" t="n">
        <x:v>13302.466420954923</x:v>
      </x:c>
      <x:c r="J11" s="25" t="n">
        <x:v>29713.091420954923</x:v>
      </x:c>
      <x:c r="K11" s="25" t="n">
        <x:v>4.158973332304886</x:v>
      </x:c>
      <x:c r="L11" s="25" t="n">
        <x:v>59.25</x:v>
      </x:c>
      <x:c r="M11" s="34" t="b">
        <x:v>0</x:v>
      </x:c>
      <x:c r="N11" s="25" t="n">
        <x:v>-1.1964763936653284</x:v>
      </x:c>
    </x:row>
    <x:row r="12" ht="15" hidden="0" customHeight="1">
      <x:c r="A12" s="25" t="n">
        <x:v>10</x:v>
      </x:c>
      <x:c r="B12" s="25" t="n">
        <x:v>3</x:v>
      </x:c>
      <x:c r="C12" s="25" t="n">
        <x:v>3</x:v>
      </x:c>
      <x:c r="D12" s="25" t="n">
        <x:v>30</x:v>
      </x:c>
      <x:c r="E12" s="25" t="str">
        <x:v>Conservateur</x:v>
      </x:c>
      <x:c r="F12" s="25" t="n">
        <x:v>1.2</x:v>
      </x:c>
      <x:c r="G12" s="25" t="n">
        <x:v>0.2583802824165441</x:v>
      </x:c>
      <x:c r="H12" s="25" t="n">
        <x:v>-1.037082352364626</x:v>
      </x:c>
      <x:c r="I12" s="25" t="n">
        <x:v>13091.497635340285</x:v>
      </x:c>
      <x:c r="J12" s="25" t="n">
        <x:v>29502.12263534028</x:v>
      </x:c>
      <x:c r="K12" s="25" t="n">
        <x:v>6.238459998457328</x:v>
      </x:c>
      <x:c r="L12" s="25" t="n">
        <x:v>52.25</x:v>
      </x:c>
      <x:c r="M12" s="34" t="b">
        <x:v>0</x:v>
      </x:c>
      <x:c r="N12" s="25" t="n">
        <x:v>-1.2661432762057228</x:v>
      </x:c>
    </x:row>
    <x:row r="13" ht="15" hidden="0" customHeight="1">
      <x:c r="A13" s="25" t="n">
        <x:v>6</x:v>
      </x:c>
      <x:c r="B13" s="25" t="n">
        <x:v>4</x:v>
      </x:c>
      <x:c r="C13" s="25" t="n">
        <x:v>3</x:v>
      </x:c>
      <x:c r="D13" s="25" t="n">
        <x:v>30</x:v>
      </x:c>
      <x:c r="E13" s="25" t="str">
        <x:v>Conservateur</x:v>
      </x:c>
      <x:c r="F13" s="25" t="n">
        <x:v>0.8</x:v>
      </x:c>
      <x:c r="G13" s="25" t="n">
        <x:v>0.2392267682183511</x:v>
      </x:c>
      <x:c r="H13" s="25" t="n">
        <x:v>-1.0365482021394807</x:v>
      </x:c>
      <x:c r="I13" s="25" t="n">
        <x:v>11605.85830380943</x:v>
      </x:c>
      <x:c r="J13" s="25" t="n">
        <x:v>28016.483303809422</x:v>
      </x:c>
      <x:c r="K13" s="25" t="n">
        <x:v>4.158973332304886</x:v>
      </x:c>
      <x:c r="L13" s="25" t="n">
        <x:v>57.25</x:v>
      </x:c>
      <x:c r="M13" s="34" t="b">
        <x:v>0</x:v>
      </x:c>
      <x:c r="N13" s="25" t="n">
        <x:v>-1.306232801477707</x:v>
      </x:c>
    </x:row>
    <x:row r="14" ht="15" hidden="0" customHeight="1">
      <x:c r="A14" s="25" t="n">
        <x:v>10</x:v>
      </x:c>
      <x:c r="B14" s="25" t="n">
        <x:v>3</x:v>
      </x:c>
      <x:c r="C14" s="25" t="n">
        <x:v>3</x:v>
      </x:c>
      <x:c r="D14" s="25" t="n">
        <x:v>30</x:v>
      </x:c>
      <x:c r="E14" s="25" t="str">
        <x:v>Conservateur</x:v>
      </x:c>
      <x:c r="F14" s="25" t="n">
        <x:v>1</x:v>
      </x:c>
      <x:c r="G14" s="25" t="n">
        <x:v>0.2583802824165441</x:v>
      </x:c>
      <x:c r="H14" s="25" t="n">
        <x:v>-1.0163623987924904</x:v>
      </x:c>
      <x:c r="I14" s="25" t="n">
        <x:v>13091.497635340285</x:v>
      </x:c>
      <x:c r="J14" s="25" t="n">
        <x:v>29502.12263534028</x:v>
      </x:c>
      <x:c r="K14" s="25" t="n">
        <x:v>5.1987166653811085</x:v>
      </x:c>
      <x:c r="L14" s="25" t="n">
        <x:v>49.25</x:v>
      </x:c>
      <x:c r="M14" s="34" t="b">
        <x:v>0</x:v>
      </x:c>
      <x:c r="N14" s="25" t="n">
        <x:v>-1.3481444369023308</x:v>
      </x:c>
    </x:row>
    <x:row r="15" ht="15" hidden="0" customHeight="1">
      <x:c r="A15" s="25" t="n">
        <x:v>6</x:v>
      </x:c>
      <x:c r="B15" s="25" t="n">
        <x:v>3</x:v>
      </x:c>
      <x:c r="C15" s="25" t="n">
        <x:v>3</x:v>
      </x:c>
      <x:c r="D15" s="25" t="n">
        <x:v>30</x:v>
      </x:c>
      <x:c r="E15" s="25" t="str">
        <x:v>Conservateur</x:v>
      </x:c>
      <x:c r="F15" s="25" t="n">
        <x:v>0.8</x:v>
      </x:c>
      <x:c r="G15" s="25" t="n">
        <x:v>0.23534937909081827</x:v>
      </x:c>
      <x:c r="H15" s="25" t="n">
        <x:v>-1.097175610393634</x:v>
      </x:c>
      <x:c r="I15" s="25" t="n">
        <x:v>11924.578032928763</x:v>
      </x:c>
      <x:c r="J15" s="25" t="n">
        <x:v>28335.20303292876</x:v>
      </x:c>
      <x:c r="K15" s="25" t="n">
        <x:v>4.158973332304886</x:v>
      </x:c>
      <x:c r="L15" s="25" t="n">
        <x:v>62.25</x:v>
      </x:c>
      <x:c r="M15" s="34" t="b">
        <x:v>0</x:v>
      </x:c>
      <x:c r="N15" s="25" t="n">
        <x:v>-2.0351744098458457</x:v>
      </x:c>
    </x:row>
    <x:row r="16" ht="15" hidden="0" customHeight="1">
      <x:c r="A16" s="25" t="n">
        <x:v>8</x:v>
      </x:c>
      <x:c r="B16" s="25" t="n">
        <x:v>3</x:v>
      </x:c>
      <x:c r="C16" s="25" t="n">
        <x:v>3</x:v>
      </x:c>
      <x:c r="D16" s="25" t="n">
        <x:v>30</x:v>
      </x:c>
      <x:c r="E16" s="25" t="str">
        <x:v>Conservateur</x:v>
      </x:c>
      <x:c r="F16" s="25" t="n">
        <x:v>1.2</x:v>
      </x:c>
      <x:c r="G16" s="25" t="n">
        <x:v>0.24541855293247278</x:v>
      </x:c>
      <x:c r="H16" s="25" t="n">
        <x:v>-1.1043736728060236</x:v>
      </x:c>
      <x:c r="I16" s="25" t="n">
        <x:v>12434.758470479866</x:v>
      </x:c>
      <x:c r="J16" s="25" t="n">
        <x:v>28845.383470479865</x:v>
      </x:c>
      <x:c r="K16" s="25" t="n">
        <x:v>6.238459998457328</x:v>
      </x:c>
      <x:c r="L16" s="25" t="n">
        <x:v>60.25</x:v>
      </x:c>
      <x:c r="M16" s="34" t="b">
        <x:v>0</x:v>
      </x:c>
      <x:c r="N16" s="25" t="n">
        <x:v>-2.061321408864586</x:v>
      </x:c>
    </x:row>
    <x:row r="17" ht="15" hidden="0" customHeight="1">
      <x:c r="A17" s="25" t="n">
        <x:v>8</x:v>
      </x:c>
      <x:c r="B17" s="25" t="n">
        <x:v>3</x:v>
      </x:c>
      <x:c r="C17" s="25" t="n">
        <x:v>3</x:v>
      </x:c>
      <x:c r="D17" s="25" t="n">
        <x:v>30</x:v>
      </x:c>
      <x:c r="E17" s="25" t="str">
        <x:v>Conservateur</x:v>
      </x:c>
      <x:c r="F17" s="25" t="n">
        <x:v>1</x:v>
      </x:c>
      <x:c r="G17" s="25" t="n">
        <x:v>0.24541855293247278</x:v>
      </x:c>
      <x:c r="H17" s="25" t="n">
        <x:v>-1.0826368630662517</x:v>
      </x:c>
      <x:c r="I17" s="25" t="n">
        <x:v>12434.758470479866</x:v>
      </x:c>
      <x:c r="J17" s="25" t="n">
        <x:v>28845.383470479865</x:v>
      </x:c>
      <x:c r="K17" s="25" t="n">
        <x:v>5.1987166653811085</x:v>
      </x:c>
      <x:c r="L17" s="25" t="n">
        <x:v>57.25</x:v>
      </x:c>
      <x:c r="M17" s="34" t="b">
        <x:v>0</x:v>
      </x:c>
      <x:c r="N17" s="25" t="n">
        <x:v>-2.1179011653702897</x:v>
      </x:c>
    </x:row>
    <x:row r="18" ht="15" hidden="0" customHeight="1">
      <x:c r="A18" s="25" t="n">
        <x:v>10</x:v>
      </x:c>
      <x:c r="B18" s="25" t="n">
        <x:v>2</x:v>
      </x:c>
      <x:c r="C18" s="25" t="n">
        <x:v>3</x:v>
      </x:c>
      <x:c r="D18" s="25" t="n">
        <x:v>30</x:v>
      </x:c>
      <x:c r="E18" s="25" t="str">
        <x:v>Conservateur</x:v>
      </x:c>
      <x:c r="F18" s="25" t="n">
        <x:v>1.2</x:v>
      </x:c>
      <x:c r="G18" s="25" t="n">
        <x:v>0.2510713592802131</x:v>
      </x:c>
      <x:c r="H18" s="25" t="n">
        <x:v>-1.1139725933140416</x:v>
      </x:c>
      <x:c r="I18" s="25" t="n">
        <x:v>13442.085723024175</x:v>
      </x:c>
      <x:c r="J18" s="25" t="n">
        <x:v>29852.71072302417</x:v>
      </x:c>
      <x:c r="K18" s="25" t="n">
        <x:v>6.238459998457328</x:v>
      </x:c>
      <x:c r="L18" s="25" t="n">
        <x:v>57.25</x:v>
      </x:c>
      <x:c r="M18" s="34" t="b">
        <x:v>0</x:v>
      </x:c>
      <x:c r="N18" s="25" t="n">
        <x:v>-2.590390072439316</x:v>
      </x:c>
    </x:row>
    <x:row r="19" ht="15" hidden="0" customHeight="1">
      <x:c r="A19" s="25" t="n">
        <x:v>10</x:v>
      </x:c>
      <x:c r="B19" s="25" t="n">
        <x:v>2</x:v>
      </x:c>
      <x:c r="C19" s="25" t="n">
        <x:v>3</x:v>
      </x:c>
      <x:c r="D19" s="25" t="n">
        <x:v>30</x:v>
      </x:c>
      <x:c r="E19" s="25" t="str">
        <x:v>Conservateur</x:v>
      </x:c>
      <x:c r="F19" s="25" t="n">
        <x:v>1</x:v>
      </x:c>
      <x:c r="G19" s="25" t="n">
        <x:v>0.2510713592802131</x:v>
      </x:c>
      <x:c r="H19" s="25" t="n">
        <x:v>-1.0915749474941767</x:v>
      </x:c>
      <x:c r="I19" s="25" t="n">
        <x:v>13442.085723024175</x:v>
      </x:c>
      <x:c r="J19" s="25" t="n">
        <x:v>29852.71072302417</x:v>
      </x:c>
      <x:c r="K19" s="25" t="n">
        <x:v>5.1987166653811085</x:v>
      </x:c>
      <x:c r="L19" s="25" t="n">
        <x:v>54.25</x:v>
      </x:c>
      <x:c r="M19" s="34" t="b">
        <x:v>0</x:v>
      </x:c>
      <x:c r="N19" s="25" t="n">
        <x:v>-2.6304489269426927</x:v>
      </x:c>
    </x:row>
    <x:row r="20" ht="15" hidden="0" customHeight="1">
      <x:c r="A20" s="25" t="n">
        <x:v>6</x:v>
      </x:c>
      <x:c r="B20" s="25" t="n">
        <x:v>2</x:v>
      </x:c>
      <x:c r="C20" s="25" t="n">
        <x:v>3</x:v>
      </x:c>
      <x:c r="D20" s="25" t="n">
        <x:v>30</x:v>
      </x:c>
      <x:c r="E20" s="25" t="str">
        <x:v>Conservateur</x:v>
      </x:c>
      <x:c r="F20" s="25" t="n">
        <x:v>0.8</x:v>
      </x:c>
      <x:c r="G20" s="25" t="n">
        <x:v>0.23066474010195795</x:v>
      </x:c>
      <x:c r="H20" s="25" t="n">
        <x:v>-1.1563877319712308</x:v>
      </x:c>
      <x:c r="I20" s="25" t="n">
        <x:v>12349.53767175454</x:v>
      </x:c>
      <x:c r="J20" s="25" t="n">
        <x:v>28760.162671754537</x:v>
      </x:c>
      <x:c r="K20" s="25" t="n">
        <x:v>4.158973332304886</x:v>
      </x:c>
      <x:c r="L20" s="25" t="n">
        <x:v>67.25</x:v>
      </x:c>
      <x:c r="M20" s="34" t="b">
        <x:v>0</x:v>
      </x:c>
      <x:c r="N20" s="25" t="n">
        <x:v>-2.7731325936730773</x:v>
      </x:c>
    </x:row>
    <x:row r="21" ht="15" hidden="0" customHeight="1">
      <x:c r="A21" s="25" t="n">
        <x:v>6</x:v>
      </x:c>
      <x:c r="B21" s="25" t="n">
        <x:v>4</x:v>
      </x:c>
      <x:c r="C21" s="25" t="n">
        <x:v>3</x:v>
      </x:c>
      <x:c r="D21" s="25" t="n">
        <x:v>30</x:v>
      </x:c>
      <x:c r="E21" s="25" t="str">
        <x:v>Conservateur</x:v>
      </x:c>
      <x:c r="F21" s="25" t="n">
        <x:v>1.2</x:v>
      </x:c>
      <x:c r="G21" s="25" t="n">
        <x:v>0.23058700951380257</x:v>
      </x:c>
      <x:c r="H21" s="25" t="n">
        <x:v>-1.1375530148321444</x:v>
      </x:c>
      <x:c r="I21" s="25" t="n">
        <x:v>11186.708657426327</x:v>
      </x:c>
      <x:c r="J21" s="25" t="n">
        <x:v>27597.333657426323</x:v>
      </x:c>
      <x:c r="K21" s="25" t="n">
        <x:v>6.238459998457328</x:v>
      </x:c>
      <x:c r="L21" s="25" t="n">
        <x:v>63.25</x:v>
      </x:c>
      <x:c r="M21" s="34" t="b">
        <x:v>0</x:v>
      </x:c>
      <x:c r="N21" s="25" t="n">
        <x:v>-3.106539847544468</x:v>
      </x:c>
    </x:row>
    <x:row r="22" ht="15" hidden="0" customHeight="1">
      <x:c r="A22" s="25" t="n">
        <x:v>6</x:v>
      </x:c>
      <x:c r="B22" s="25" t="n">
        <x:v>4</x:v>
      </x:c>
      <x:c r="C22" s="25" t="n">
        <x:v>3</x:v>
      </x:c>
      <x:c r="D22" s="25" t="n">
        <x:v>30</x:v>
      </x:c>
      <x:c r="E22" s="25" t="str">
        <x:v>Conservateur</x:v>
      </x:c>
      <x:c r="F22" s="25" t="n">
        <x:v>1</x:v>
      </x:c>
      <x:c r="G22" s="25" t="n">
        <x:v>0.23058700951380257</x:v>
      </x:c>
      <x:c r="H22" s="25" t="n">
        <x:v>-1.1158429362897795</x:v>
      </x:c>
      <x:c r="I22" s="25" t="n">
        <x:v>11186.708657426327</x:v>
      </x:c>
      <x:c r="J22" s="25" t="n">
        <x:v>27597.333657426323</x:v>
      </x:c>
      <x:c r="K22" s="25" t="n">
        <x:v>5.1987166653811085</x:v>
      </x:c>
      <x:c r="L22" s="25" t="n">
        <x:v>60.25</x:v>
      </x:c>
      <x:c r="M22" s="34" t="b">
        <x:v>0</x:v>
      </x:c>
      <x:c r="N22" s="25" t="n">
        <x:v>-3.1637878839853446</x:v>
      </x:c>
    </x:row>
    <x:row r="23" ht="15" hidden="0" customHeight="1">
      <x:c r="A23" s="25" t="n">
        <x:v>8</x:v>
      </x:c>
      <x:c r="B23" s="25" t="n">
        <x:v>2</x:v>
      </x:c>
      <x:c r="C23" s="25" t="n">
        <x:v>3</x:v>
      </x:c>
      <x:c r="D23" s="25" t="n">
        <x:v>30</x:v>
      </x:c>
      <x:c r="E23" s="25" t="str">
        <x:v>Conservateur</x:v>
      </x:c>
      <x:c r="F23" s="25" t="n">
        <x:v>1.2</x:v>
      </x:c>
      <x:c r="G23" s="25" t="n">
        <x:v>0.2388047811455692</x:v>
      </x:c>
      <x:c r="H23" s="25" t="n">
        <x:v>-1.1769781788986686</x:v>
      </x:c>
      <x:c r="I23" s="25" t="n">
        <x:v>12785.346558163756</x:v>
      </x:c>
      <x:c r="J23" s="25" t="n">
        <x:v>29195.971558163754</x:v>
      </x:c>
      <x:c r="K23" s="25" t="n">
        <x:v>6.238459998457328</x:v>
      </x:c>
      <x:c r="L23" s="25" t="n">
        <x:v>65.25</x:v>
      </x:c>
      <x:c r="M23" s="34" t="b">
        <x:v>0</x:v>
      </x:c>
      <x:c r="N23" s="25" t="n">
        <x:v>-3.240191509460413</x:v>
      </x:c>
    </x:row>
    <x:row r="24" ht="15" hidden="0" customHeight="1">
      <x:c r="A24" s="25" t="n">
        <x:v>8</x:v>
      </x:c>
      <x:c r="B24" s="25" t="n">
        <x:v>2</x:v>
      </x:c>
      <x:c r="C24" s="25" t="n">
        <x:v>3</x:v>
      </x:c>
      <x:c r="D24" s="25" t="n">
        <x:v>30</x:v>
      </x:c>
      <x:c r="E24" s="25" t="str">
        <x:v>Conservateur</x:v>
      </x:c>
      <x:c r="F24" s="25" t="n">
        <x:v>1</x:v>
      </x:c>
      <x:c r="G24" s="25" t="n">
        <x:v>0.2388047811455692</x:v>
      </x:c>
      <x:c r="H24" s="25" t="n">
        <x:v>-1.153628439734863</x:v>
      </x:c>
      <x:c r="I24" s="25" t="n">
        <x:v>12785.346558163756</x:v>
      </x:c>
      <x:c r="J24" s="25" t="n">
        <x:v>29195.971558163754</x:v>
      </x:c>
      <x:c r="K24" s="25" t="n">
        <x:v>5.1987166653811085</x:v>
      </x:c>
      <x:c r="L24" s="25" t="n">
        <x:v>62.25</x:v>
      </x:c>
      <x:c r="M24" s="34" t="b">
        <x:v>0</x:v>
      </x:c>
      <x:c r="N24" s="25" t="n">
        <x:v>-3.25644803036527</x:v>
      </x:c>
    </x:row>
    <x:row r="25" ht="15" hidden="0" customHeight="1">
      <x:c r="A25" s="25" t="n">
        <x:v>10</x:v>
      </x:c>
      <x:c r="B25" s="25" t="n">
        <x:v>4</x:v>
      </x:c>
      <x:c r="C25" s="25" t="n">
        <x:v>3</x:v>
      </x:c>
      <x:c r="D25" s="25" t="n">
        <x:v>35</x:v>
      </x:c>
      <x:c r="E25" s="25" t="str">
        <x:v>Conservateur</x:v>
      </x:c>
      <x:c r="F25" s="25" t="n">
        <x:v>0.8</x:v>
      </x:c>
      <x:c r="G25" s="25" t="n">
        <x:v>0.24113156400644634</x:v>
      </x:c>
      <x:c r="H25" s="25" t="n">
        <x:v>-1.037086321632074</x:v>
      </x:c>
      <x:c r="I25" s="25" t="n">
        <x:v>11698.267653227003</x:v>
      </x:c>
      <x:c r="J25" s="25" t="n">
        <x:v>28108.892653226998</x:v>
      </x:c>
      <x:c r="K25" s="25" t="n">
        <x:v>4.158973332304886</x:v>
      </x:c>
      <x:c r="L25" s="25" t="n">
        <x:v>44.75</x:v>
      </x:c>
      <x:c r="M25" s="34" t="b">
        <x:v>0</x:v>
      </x:c>
      <x:c r="N25" s="25" t="n">
        <x:v>-3.7149220204473004</x:v>
      </x:c>
    </x:row>
    <x:row r="26" ht="15" hidden="0" customHeight="1">
      <x:c r="A26" s="25" t="n">
        <x:v>10</x:v>
      </x:c>
      <x:c r="B26" s="25" t="n">
        <x:v>4</x:v>
      </x:c>
      <x:c r="C26" s="25" t="n">
        <x:v>3</x:v>
      </x:c>
      <x:c r="D26" s="25" t="n">
        <x:v>30</x:v>
      </x:c>
      <x:c r="E26" s="25" t="str">
        <x:v>Équilibré</x:v>
      </x:c>
      <x:c r="F26" s="25" t="n">
        <x:v>0.8</x:v>
      </x:c>
      <x:c r="G26" s="25" t="n">
        <x:v>0.24100823639820804</x:v>
      </x:c>
      <x:c r="H26" s="25" t="n">
        <x:v>-1.0593365662279248</x:v>
      </x:c>
      <x:c r="I26" s="25" t="n">
        <x:v>11975.383063820798</x:v>
      </x:c>
      <x:c r="J26" s="25" t="n">
        <x:v>28386.008063820795</x:v>
      </x:c>
      <x:c r="K26" s="25" t="n">
        <x:v>4.158973332304886</x:v>
      </x:c>
      <x:c r="L26" s="25" t="n">
        <x:v>46.25</x:v>
      </x:c>
      <x:c r="M26" s="34" t="b">
        <x:v>0</x:v>
      </x:c>
      <x:c r="N26" s="25" t="n">
        <x:v>-3.977961153796679</x:v>
      </x:c>
    </x:row>
    <x:row r="27" ht="15" hidden="0" customHeight="1">
      <x:c r="A27" s="25" t="n">
        <x:v>6</x:v>
      </x:c>
      <x:c r="B27" s="25" t="n">
        <x:v>3</x:v>
      </x:c>
      <x:c r="C27" s="25" t="n">
        <x:v>3</x:v>
      </x:c>
      <x:c r="D27" s="25" t="n">
        <x:v>30</x:v>
      </x:c>
      <x:c r="E27" s="25" t="str">
        <x:v>Conservateur</x:v>
      </x:c>
      <x:c r="F27" s="25" t="n">
        <x:v>1.2</x:v>
      </x:c>
      <x:c r="G27" s="25" t="n">
        <x:v>0.2259759587063659</x:v>
      </x:c>
      <x:c r="H27" s="25" t="n">
        <x:v>-1.20531065346812</x:v>
      </x:c>
      <x:c r="I27" s="25" t="n">
        <x:v>11449.649723189244</x:v>
      </x:c>
      <x:c r="J27" s="25" t="n">
        <x:v>27860.274723189243</x:v>
      </x:c>
      <x:c r="K27" s="25" t="n">
        <x:v>6.238459998457328</x:v>
      </x:c>
      <x:c r="L27" s="25" t="n">
        <x:v>68.25</x:v>
      </x:c>
      <x:c r="M27" s="34" t="b">
        <x:v>0</x:v>
      </x:c>
      <x:c r="N27" s="25" t="n">
        <x:v>-4.054088607852874</x:v>
      </x:c>
    </x:row>
    <x:row r="28" ht="15" hidden="0" customHeight="1">
      <x:c r="A28" s="25" t="n">
        <x:v>6</x:v>
      </x:c>
      <x:c r="B28" s="25" t="n">
        <x:v>3</x:v>
      </x:c>
      <x:c r="C28" s="25" t="n">
        <x:v>3</x:v>
      </x:c>
      <x:c r="D28" s="25" t="n">
        <x:v>30</x:v>
      </x:c>
      <x:c r="E28" s="25" t="str">
        <x:v>Conservateur</x:v>
      </x:c>
      <x:c r="F28" s="25" t="n">
        <x:v>1</x:v>
      </x:c>
      <x:c r="G28" s="25" t="n">
        <x:v>0.2259759587063659</x:v>
      </x:c>
      <x:c r="H28" s="25" t="n">
        <x:v>-1.1820485594768944</x:v>
      </x:c>
      <x:c r="I28" s="25" t="n">
        <x:v>11449.649723189244</x:v>
      </x:c>
      <x:c r="J28" s="25" t="n">
        <x:v>27860.274723189243</x:v>
      </x:c>
      <x:c r="K28" s="25" t="n">
        <x:v>5.1987166653811085</x:v>
      </x:c>
      <x:c r="L28" s="25" t="n">
        <x:v>65.25</x:v>
      </x:c>
      <x:c r="M28" s="34" t="b">
        <x:v>0</x:v>
      </x:c>
      <x:c r="N28" s="25" t="n">
        <x:v>-4.072536258072237</x:v>
      </x:c>
    </x:row>
    <x:row r="29" ht="15" hidden="0" customHeight="1">
      <x:c r="A29" s="25" t="n">
        <x:v>8</x:v>
      </x:c>
      <x:c r="B29" s="25" t="n">
        <x:v>4</x:v>
      </x:c>
      <x:c r="C29" s="25" t="n">
        <x:v>3</x:v>
      </x:c>
      <x:c r="D29" s="25" t="n">
        <x:v>35</x:v>
      </x:c>
      <x:c r="E29" s="25" t="str">
        <x:v>Conservateur</x:v>
      </x:c>
      <x:c r="F29" s="25" t="n">
        <x:v>0.8</x:v>
      </x:c>
      <x:c r="G29" s="25" t="n">
        <x:v>0.2262270252886857</x:v>
      </x:c>
      <x:c r="H29" s="25" t="n">
        <x:v>-1.1134719336695962</x:v>
      </x:c>
      <x:c r="I29" s="25" t="n">
        <x:v>10975.188184611325</x:v>
      </x:c>
      <x:c r="J29" s="25" t="n">
        <x:v>27385.81318461132</x:v>
      </x:c>
      <x:c r="K29" s="25" t="n">
        <x:v>4.158973332304886</x:v>
      </x:c>
      <x:c r="L29" s="25" t="n">
        <x:v>52.75</x:v>
      </x:c>
      <x:c r="M29" s="34" t="b">
        <x:v>0</x:v>
      </x:c>
      <x:c r="N29" s="25" t="n">
        <x:v>-4.844311950862188</x:v>
      </x:c>
    </x:row>
    <x:row r="30" ht="15" hidden="0" customHeight="1">
      <x:c r="A30" s="25" t="n">
        <x:v>6</x:v>
      </x:c>
      <x:c r="B30" s="25" t="n">
        <x:v>2</x:v>
      </x:c>
      <x:c r="C30" s="25" t="n">
        <x:v>3</x:v>
      </x:c>
      <x:c r="D30" s="25" t="n">
        <x:v>30</x:v>
      </x:c>
      <x:c r="E30" s="25" t="str">
        <x:v>Conservateur</x:v>
      </x:c>
      <x:c r="F30" s="25" t="n">
        <x:v>1</x:v>
      </x:c>
      <x:c r="G30" s="25" t="n">
        <x:v>0.22040491394360343</x:v>
      </x:c>
      <x:c r="H30" s="25" t="n">
        <x:v>-1.2467086780958923</x:v>
      </x:c>
      <x:c r="I30" s="25" t="n">
        <x:v>11800.237810873132</x:v>
      </x:c>
      <x:c r="J30" s="25" t="n">
        <x:v>28210.86281087313</x:v>
      </x:c>
      <x:c r="K30" s="25" t="n">
        <x:v>5.1987166653811085</x:v>
      </x:c>
      <x:c r="L30" s="25" t="n">
        <x:v>70.25</x:v>
      </x:c>
      <x:c r="M30" s="34" t="b">
        <x:v>0</x:v>
      </x:c>
      <x:c r="N30" s="25" t="n">
        <x:v>-4.995446685499115</x:v>
      </x:c>
    </x:row>
    <x:row r="31" ht="15" hidden="0" customHeight="1">
      <x:c r="A31" s="25" t="n">
        <x:v>6</x:v>
      </x:c>
      <x:c r="B31" s="25" t="n">
        <x:v>2</x:v>
      </x:c>
      <x:c r="C31" s="25" t="n">
        <x:v>3</x:v>
      </x:c>
      <x:c r="D31" s="25" t="n">
        <x:v>30</x:v>
      </x:c>
      <x:c r="E31" s="25" t="str">
        <x:v>Conservateur</x:v>
      </x:c>
      <x:c r="F31" s="25" t="n">
        <x:v>1.2</x:v>
      </x:c>
      <x:c r="G31" s="25" t="n">
        <x:v>0.22040491394360343</x:v>
      </x:c>
      <x:c r="H31" s="25" t="n">
        <x:v>-1.2714865572756093</x:v>
      </x:c>
      <x:c r="I31" s="25" t="n">
        <x:v>11800.237810873132</x:v>
      </x:c>
      <x:c r="J31" s="25" t="n">
        <x:v>28210.86281087313</x:v>
      </x:c>
      <x:c r="K31" s="25" t="n">
        <x:v>6.238459998457328</x:v>
      </x:c>
      <x:c r="L31" s="25" t="n">
        <x:v>73.25</x:v>
      </x:c>
      <x:c r="M31" s="34" t="b">
        <x:v>0</x:v>
      </x:c>
      <x:c r="N31" s="25" t="n">
        <x:v>-5.014893664992043</x:v>
      </x:c>
    </x:row>
    <x:row r="32" ht="15" hidden="0" customHeight="1">
      <x:c r="A32" s="25" t="n">
        <x:v>8</x:v>
      </x:c>
      <x:c r="B32" s="25" t="n">
        <x:v>4</x:v>
      </x:c>
      <x:c r="C32" s="25" t="n">
        <x:v>3</x:v>
      </x:c>
      <x:c r="D32" s="25" t="n">
        <x:v>30</x:v>
      </x:c>
      <x:c r="E32" s="25" t="str">
        <x:v>Équilibré</x:v>
      </x:c>
      <x:c r="F32" s="25" t="n">
        <x:v>0.8</x:v>
      </x:c>
      <x:c r="G32" s="25" t="n">
        <x:v>0.22502937664711137</x:v>
      </x:c>
      <x:c r="H32" s="25" t="n">
        <x:v>-1.1401967113637494</x:v>
      </x:c>
      <x:c r="I32" s="25" t="n">
        <x:v>11181.414487052798</x:v>
      </x:c>
      <x:c r="J32" s="25" t="n">
        <x:v>27592.039487052793</x:v>
      </x:c>
      <x:c r="K32" s="25" t="n">
        <x:v>4.158973332304886</x:v>
      </x:c>
      <x:c r="L32" s="25" t="n">
        <x:v>54.25</x:v>
      </x:c>
      <x:c r="M32" s="34" t="b">
        <x:v>0</x:v>
      </x:c>
      <x:c r="N32" s="25" t="n">
        <x:v>-5.278302068502608</x:v>
      </x:c>
    </x:row>
    <x:row r="33" ht="15" hidden="0" customHeight="1">
      <x:c r="A33" s="25" t="n">
        <x:v>10</x:v>
      </x:c>
      <x:c r="B33" s="25" t="n">
        <x:v>3</x:v>
      </x:c>
      <x:c r="C33" s="25" t="n">
        <x:v>3</x:v>
      </x:c>
      <x:c r="D33" s="25" t="n">
        <x:v>35</x:v>
      </x:c>
      <x:c r="E33" s="25" t="str">
        <x:v>Conservateur</x:v>
      </x:c>
      <x:c r="F33" s="25" t="n">
        <x:v>0.8</x:v>
      </x:c>
      <x:c r="G33" s="25" t="n">
        <x:v>0.2326680952026138</x:v>
      </x:c>
      <x:c r="H33" s="25" t="n">
        <x:v>-1.1235121717856729</x:v>
      </x:c>
      <x:c r="I33" s="25" t="n">
        <x:v>11788.723929226238</x:v>
      </x:c>
      <x:c r="J33" s="25" t="n">
        <x:v>28199.34892922623</x:v>
      </x:c>
      <x:c r="K33" s="25" t="n">
        <x:v>4.158973332304886</x:v>
      </x:c>
      <x:c r="L33" s="25" t="n">
        <x:v>49.75</x:v>
      </x:c>
      <x:c r="M33" s="34" t="b">
        <x:v>0</x:v>
      </x:c>
      <x:c r="N33" s="25" t="n">
        <x:v>-5.341059058498059</x:v>
      </x:c>
    </x:row>
    <x:row r="34" ht="15" hidden="0" customHeight="1">
      <x:c r="A34" s="25" t="n">
        <x:v>10</x:v>
      </x:c>
      <x:c r="B34" s="25" t="n">
        <x:v>3</x:v>
      </x:c>
      <x:c r="C34" s="25" t="n">
        <x:v>3</x:v>
      </x:c>
      <x:c r="D34" s="25" t="n">
        <x:v>30</x:v>
      </x:c>
      <x:c r="E34" s="25" t="str">
        <x:v>Équilibré</x:v>
      </x:c>
      <x:c r="F34" s="25" t="n">
        <x:v>0.8</x:v>
      </x:c>
      <x:c r="G34" s="25" t="n">
        <x:v>0.23304932812509482</x:v>
      </x:c>
      <x:c r="H34" s="25" t="n">
        <x:v>-1.1442996225584163</x:v>
      </x:c>
      <x:c r="I34" s="25" t="n">
        <x:v>12150.227144224002</x:v>
      </x:c>
      <x:c r="J34" s="25" t="n">
        <x:v>28560.852144223994</x:v>
      </x:c>
      <x:c r="K34" s="25" t="n">
        <x:v>4.158973332304886</x:v>
      </x:c>
      <x:c r="L34" s="25" t="n">
        <x:v>51.25</x:v>
      </x:c>
      <x:c r="M34" s="34" t="b">
        <x:v>0</x:v>
      </x:c>
      <x:c r="N34" s="25" t="n">
        <x:v>-5.539777517080193</x:v>
      </x:c>
    </x:row>
    <x:row r="35" ht="15" hidden="0" customHeight="1">
      <x:c r="A35" s="25" t="n">
        <x:v>10</x:v>
      </x:c>
      <x:c r="B35" s="25" t="n">
        <x:v>4</x:v>
      </x:c>
      <x:c r="C35" s="25" t="n">
        <x:v>3</x:v>
      </x:c>
      <x:c r="D35" s="25" t="n">
        <x:v>35</x:v>
      </x:c>
      <x:c r="E35" s="25" t="str">
        <x:v>Conservateur</x:v>
      </x:c>
      <x:c r="F35" s="25" t="n">
        <x:v>1.2</x:v>
      </x:c>
      <x:c r="G35" s="25" t="n">
        <x:v>0.23243821362042835</x:v>
      </x:c>
      <x:c r="H35" s="25" t="n">
        <x:v>-1.139191764676822</x:v>
      </x:c>
      <x:c r="I35" s="25" t="n">
        <x:v>11276.518057573885</x:v>
      </x:c>
      <x:c r="J35" s="25" t="n">
        <x:v>27687.14305757388</x:v>
      </x:c>
      <x:c r="K35" s="25" t="n">
        <x:v>6.238459998457328</x:v>
      </x:c>
      <x:c r="L35" s="25" t="n">
        <x:v>50.75</x:v>
      </x:c>
      <x:c r="M35" s="34" t="b">
        <x:v>0</x:v>
      </x:c>
      <x:c r="N35" s="25" t="n">
        <x:v>-5.545692367796988</x:v>
      </x:c>
    </x:row>
    <x:row r="36" ht="15" hidden="0" customHeight="1">
      <x:c r="A36" s="25" t="n">
        <x:v>10</x:v>
      </x:c>
      <x:c r="B36" s="25" t="n">
        <x:v>4</x:v>
      </x:c>
      <x:c r="C36" s="25" t="n">
        <x:v>3</x:v>
      </x:c>
      <x:c r="D36" s="25" t="n">
        <x:v>35</x:v>
      </x:c>
      <x:c r="E36" s="25" t="str">
        <x:v>Conservateur</x:v>
      </x:c>
      <x:c r="F36" s="25" t="n">
        <x:v>1</x:v>
      </x:c>
      <x:c r="G36" s="25" t="n">
        <x:v>0.23243821362042835</x:v>
      </x:c>
      <x:c r="H36" s="25" t="n">
        <x:v>-1.1172661941012674</x:v>
      </x:c>
      <x:c r="I36" s="25" t="n">
        <x:v>11276.518057573885</x:v>
      </x:c>
      <x:c r="J36" s="25" t="n">
        <x:v>27687.14305757388</x:v>
      </x:c>
      <x:c r="K36" s="25" t="n">
        <x:v>5.1987166653811085</x:v>
      </x:c>
      <x:c r="L36" s="25" t="n">
        <x:v>47.75</x:v>
      </x:c>
      <x:c r="M36" s="34" t="b">
        <x:v>0</x:v>
      </x:c>
      <x:c r="N36" s="25" t="n">
        <x:v>-5.597553103408126</x:v>
      </x:c>
    </x:row>
    <x:row r="37" ht="15" hidden="0" customHeight="1">
      <x:c r="A37" s="25" t="n">
        <x:v>10</x:v>
      </x:c>
      <x:c r="B37" s="25" t="n">
        <x:v>4</x:v>
      </x:c>
      <x:c r="C37" s="25" t="n">
        <x:v>3</x:v>
      </x:c>
      <x:c r="D37" s="25" t="n">
        <x:v>30</x:v>
      </x:c>
      <x:c r="E37" s="25" t="str">
        <x:v>Équilibré</x:v>
      </x:c>
      <x:c r="F37" s="25" t="n">
        <x:v>1.2</x:v>
      </x:c>
      <x:c r="G37" s="25" t="n">
        <x:v>0.23200177999686375</x:v>
      </x:c>
      <x:c r="H37" s="25" t="n">
        <x:v>-1.1642917347462662</x:v>
      </x:c>
      <x:c r="I37" s="25" t="n">
        <x:v>11527.864061708799</x:v>
      </x:c>
      <x:c r="J37" s="25" t="n">
        <x:v>27938.489061708788</x:v>
      </x:c>
      <x:c r="K37" s="25" t="n">
        <x:v>6.238459998457328</x:v>
      </x:c>
      <x:c r="L37" s="25" t="n">
        <x:v>52.25</x:v>
      </x:c>
      <x:c r="M37" s="34" t="b">
        <x:v>0</x:v>
      </x:c>
      <x:c r="N37" s="25" t="n">
        <x:v>-5.897195468829148</x:v>
      </x:c>
    </x:row>
    <x:row r="38" ht="15" hidden="0" customHeight="1">
      <x:c r="A38" s="25" t="n">
        <x:v>10</x:v>
      </x:c>
      <x:c r="B38" s="25" t="n">
        <x:v>4</x:v>
      </x:c>
      <x:c r="C38" s="25" t="n">
        <x:v>3</x:v>
      </x:c>
      <x:c r="D38" s="25" t="n">
        <x:v>30</x:v>
      </x:c>
      <x:c r="E38" s="25" t="str">
        <x:v>Équilibré</x:v>
      </x:c>
      <x:c r="F38" s="25" t="n">
        <x:v>1</x:v>
      </x:c>
      <x:c r="G38" s="25" t="n">
        <x:v>0.23200177999686375</x:v>
      </x:c>
      <x:c r="H38" s="25" t="n">
        <x:v>-1.1417375519214952</x:v>
      </x:c>
      <x:c r="I38" s="25" t="n">
        <x:v>11527.864061708799</x:v>
      </x:c>
      <x:c r="J38" s="25" t="n">
        <x:v>27938.489061708788</x:v>
      </x:c>
      <x:c r="K38" s="25" t="n">
        <x:v>5.1987166653811085</x:v>
      </x:c>
      <x:c r="L38" s="25" t="n">
        <x:v>49.25</x:v>
      </x:c>
      <x:c r="M38" s="34" t="b">
        <x:v>0</x:v>
      </x:c>
      <x:c r="N38" s="25" t="n">
        <x:v>-5.93334089820987</x:v>
      </x:c>
    </x:row>
    <x:row r="39" ht="15" hidden="0" customHeight="1">
      <x:c r="A39" s="25" t="n">
        <x:v>8</x:v>
      </x:c>
      <x:c r="B39" s="25" t="n">
        <x:v>3</x:v>
      </x:c>
      <x:c r="C39" s="25" t="n">
        <x:v>3</x:v>
      </x:c>
      <x:c r="D39" s="25" t="n">
        <x:v>35</x:v>
      </x:c>
      <x:c r="E39" s="25" t="str">
        <x:v>Conservateur</x:v>
      </x:c>
      <x:c r="F39" s="25" t="n">
        <x:v>0.8</x:v>
      </x:c>
      <x:c r="G39" s="25" t="n">
        <x:v>0.2183970406208843</x:v>
      </x:c>
      <x:c r="H39" s="25" t="n">
        <x:v>-1.195221505849987</x:v>
      </x:c>
      <x:c r="I39" s="25" t="n">
        <x:v>11065.64446061056</x:v>
      </x:c>
      <x:c r="J39" s="25" t="n">
        <x:v>27476.26946061055</x:v>
      </x:c>
      <x:c r="K39" s="25" t="n">
        <x:v>4.158973332304886</x:v>
      </x:c>
      <x:c r="L39" s="25" t="n">
        <x:v>57.75</x:v>
      </x:c>
      <x:c r="M39" s="34" t="b">
        <x:v>0</x:v>
      </x:c>
      <x:c r="N39" s="25" t="n">
        <x:v>-6.318700412101041</x:v>
      </x:c>
    </x:row>
    <x:row r="40" ht="15" hidden="0" customHeight="1">
      <x:c r="A40" s="25" t="n">
        <x:v>8</x:v>
      </x:c>
      <x:c r="B40" s="25" t="n">
        <x:v>3</x:v>
      </x:c>
      <x:c r="C40" s="25" t="n">
        <x:v>3</x:v>
      </x:c>
      <x:c r="D40" s="25" t="n">
        <x:v>30</x:v>
      </x:c>
      <x:c r="E40" s="25" t="str">
        <x:v>Équilibré</x:v>
      </x:c>
      <x:c r="F40" s="25" t="n">
        <x:v>0.8</x:v>
      </x:c>
      <x:c r="G40" s="25" t="n">
        <x:v>0.21782048991722788</x:v>
      </x:c>
      <x:c r="H40" s="25" t="n">
        <x:v>-1.2197599255437206</x:v>
      </x:c>
      <x:c r="I40" s="25" t="n">
        <x:v>11356.258567456</x:v>
      </x:c>
      <x:c r="J40" s="25" t="n">
        <x:v>27766.883567456</x:v>
      </x:c>
      <x:c r="K40" s="25" t="n">
        <x:v>4.158973332304886</x:v>
      </x:c>
      <x:c r="L40" s="25" t="n">
        <x:v>59.25</x:v>
      </x:c>
      <x:c r="M40" s="34" t="b">
        <x:v>0</x:v>
      </x:c>
      <x:c r="N40" s="25" t="n">
        <x:v>-6.663871193145479</x:v>
      </x:c>
    </x:row>
    <x:row r="41" ht="15" hidden="0" customHeight="1">
      <x:c r="A41" s="25" t="n">
        <x:v>8</x:v>
      </x:c>
      <x:c r="B41" s="25" t="n">
        <x:v>4</x:v>
      </x:c>
      <x:c r="C41" s="25" t="n">
        <x:v>3</x:v>
      </x:c>
      <x:c r="D41" s="25" t="n">
        <x:v>35</x:v>
      </x:c>
      <x:c r="E41" s="25" t="str">
        <x:v>Conservateur</x:v>
      </x:c>
      <x:c r="F41" s="25" t="n">
        <x:v>1.2</x:v>
      </x:c>
      <x:c r="G41" s="25" t="n">
        <x:v>0.21702343411651406</x:v>
      </x:c>
      <x:c r="H41" s="25" t="n">
        <x:v>-1.2213528053545974</x:v>
      </x:c>
      <x:c r="I41" s="25" t="n">
        <x:v>10528.684744273407</x:v>
      </x:c>
      <x:c r="J41" s="25" t="n">
        <x:v>26939.309744273403</x:v>
      </x:c>
      <x:c r="K41" s="25" t="n">
        <x:v>6.238459998457328</x:v>
      </x:c>
      <x:c r="L41" s="25" t="n">
        <x:v>58.75</x:v>
      </x:c>
      <x:c r="M41" s="34" t="b">
        <x:v>0</x:v>
      </x:c>
      <x:c r="N41" s="25" t="n">
        <x:v>-6.847531257456662</x:v>
      </x:c>
    </x:row>
    <x:row r="42" ht="15" hidden="0" customHeight="1">
      <x:c r="A42" s="25" t="n">
        <x:v>8</x:v>
      </x:c>
      <x:c r="B42" s="25" t="n">
        <x:v>4</x:v>
      </x:c>
      <x:c r="C42" s="25" t="n">
        <x:v>3</x:v>
      </x:c>
      <x:c r="D42" s="25" t="n">
        <x:v>35</x:v>
      </x:c>
      <x:c r="E42" s="25" t="str">
        <x:v>Conservateur</x:v>
      </x:c>
      <x:c r="F42" s="25" t="n">
        <x:v>1</x:v>
      </x:c>
      <x:c r="G42" s="25" t="n">
        <x:v>0.21702343411651406</x:v>
      </x:c>
      <x:c r="H42" s="25" t="n">
        <x:v>-1.1981774267589425</x:v>
      </x:c>
      <x:c r="I42" s="25" t="n">
        <x:v>10528.684744273407</x:v>
      </x:c>
      <x:c r="J42" s="25" t="n">
        <x:v>26939.309744273403</x:v>
      </x:c>
      <x:c r="K42" s="25" t="n">
        <x:v>5.1987166653811085</x:v>
      </x:c>
      <x:c r="L42" s="25" t="n">
        <x:v>55.75</x:v>
      </x:c>
      <x:c r="M42" s="34" t="b">
        <x:v>0</x:v>
      </x:c>
      <x:c r="N42" s="25" t="n">
        <x:v>-6.868146792565289</x:v>
      </x:c>
    </x:row>
    <x:row r="43" ht="15" hidden="0" customHeight="1">
      <x:c r="A43" s="25" t="n">
        <x:v>10</x:v>
      </x:c>
      <x:c r="B43" s="25" t="n">
        <x:v>2</x:v>
      </x:c>
      <x:c r="C43" s="25" t="n">
        <x:v>3</x:v>
      </x:c>
      <x:c r="D43" s="25" t="n">
        <x:v>35</x:v>
      </x:c>
      <x:c r="E43" s="25" t="str">
        <x:v>Conservateur</x:v>
      </x:c>
      <x:c r="F43" s="25" t="n">
        <x:v>0.8</x:v>
      </x:c>
      <x:c r="G43" s="25" t="n">
        <x:v>0.2224425814263719</x:v>
      </x:c>
      <x:c r="H43" s="25" t="n">
        <x:v>-1.2079204962400087</x:v>
      </x:c>
      <x:c r="I43" s="25" t="n">
        <x:v>11909.33229722521</x:v>
      </x:c>
      <x:c r="J43" s="25" t="n">
        <x:v>28319.957297225203</x:v>
      </x:c>
      <x:c r="K43" s="25" t="n">
        <x:v>4.158973332304886</x:v>
      </x:c>
      <x:c r="L43" s="25" t="n">
        <x:v>54.75</x:v>
      </x:c>
      <x:c r="M43" s="34" t="b">
        <x:v>0</x:v>
      </x:c>
      <x:c r="N43" s="25" t="n">
        <x:v>-7.01367042754976</x:v>
      </x:c>
    </x:row>
    <x:row r="44" ht="15" hidden="0" customHeight="1">
      <x:c r="A44" s="25" t="n">
        <x:v>10</x:v>
      </x:c>
      <x:c r="B44" s="25" t="n">
        <x:v>2</x:v>
      </x:c>
      <x:c r="C44" s="25" t="n">
        <x:v>3</x:v>
      </x:c>
      <x:c r="D44" s="25" t="n">
        <x:v>30</x:v>
      </x:c>
      <x:c r="E44" s="25" t="str">
        <x:v>Équilibré</x:v>
      </x:c>
      <x:c r="F44" s="25" t="n">
        <x:v>0.8</x:v>
      </x:c>
      <x:c r="G44" s="25" t="n">
        <x:v>0.22353123930727975</x:v>
      </x:c>
      <x:c r="H44" s="25" t="n">
        <x:v>-1.2263133381961389</x:v>
      </x:c>
      <x:c r="I44" s="25" t="n">
        <x:v>12383.352584761597</x:v>
      </x:c>
      <x:c r="J44" s="25" t="n">
        <x:v>28793.977584761593</x:v>
      </x:c>
      <x:c r="K44" s="25" t="n">
        <x:v>4.158973332304886</x:v>
      </x:c>
      <x:c r="L44" s="25" t="n">
        <x:v>56.25</x:v>
      </x:c>
      <x:c r="M44" s="34" t="b">
        <x:v>0</x:v>
      </x:c>
      <x:c r="N44" s="25" t="n">
        <x:v>-7.113615293003086</x:v>
      </x:c>
    </x:row>
    <x:row r="45" ht="15" hidden="0" customHeight="1">
      <x:c r="A45" s="25" t="n">
        <x:v>6</x:v>
      </x:c>
      <x:c r="B45" s="25" t="n">
        <x:v>4</x:v>
      </x:c>
      <x:c r="C45" s="25" t="n">
        <x:v>3</x:v>
      </x:c>
      <x:c r="D45" s="25" t="n">
        <x:v>35</x:v>
      </x:c>
      <x:c r="E45" s="25" t="str">
        <x:v>Conservateur</x:v>
      </x:c>
      <x:c r="F45" s="25" t="n">
        <x:v>0.8</x:v>
      </x:c>
      <x:c r="G45" s="25" t="n">
        <x:v>0.20387021721204474</x:v>
      </x:c>
      <x:c r="H45" s="25" t="n">
        <x:v>-1.2280503517258796</x:v>
      </x:c>
      <x:c r="I45" s="25" t="n">
        <x:v>9890.568981687806</x:v>
      </x:c>
      <x:c r="J45" s="25" t="n">
        <x:v>26301.1939816878</x:v>
      </x:c>
      <x:c r="K45" s="25" t="n">
        <x:v>4.158973332304886</x:v>
      </x:c>
      <x:c r="L45" s="25" t="n">
        <x:v>60.75</x:v>
      </x:c>
      <x:c r="M45" s="34" t="b">
        <x:v>0</x:v>
      </x:c>
      <x:c r="N45" s="25" t="n">
        <x:v>-7.33839684648453</x:v>
      </x:c>
    </x:row>
    <x:row r="46" ht="15" hidden="0" customHeight="1">
      <x:c r="A46" s="25" t="n">
        <x:v>10</x:v>
      </x:c>
      <x:c r="B46" s="25" t="n">
        <x:v>4</x:v>
      </x:c>
      <x:c r="C46" s="25" t="n">
        <x:v>2</x:v>
      </x:c>
      <x:c r="D46" s="25" t="n">
        <x:v>30</x:v>
      </x:c>
      <x:c r="E46" s="25" t="str">
        <x:v>Conservateur</x:v>
      </x:c>
      <x:c r="F46" s="25" t="n">
        <x:v>0.8</x:v>
      </x:c>
      <x:c r="G46" s="25" t="n">
        <x:v>0.17802370976906884</x:v>
      </x:c>
      <x:c r="H46" s="25" t="n">
        <x:v>-1.0647272501334777</x:v>
      </x:c>
      <x:c r="I46" s="25" t="n">
        <x:v>8636.650345133976</x:v>
      </x:c>
      <x:c r="J46" s="25" t="n">
        <x:v>25047.275345133967</x:v>
      </x:c>
      <x:c r="K46" s="25" t="n">
        <x:v>4.158973332304886</x:v>
      </x:c>
      <x:c r="L46" s="25" t="n">
        <x:v>47.25</x:v>
      </x:c>
      <x:c r="M46" s="34" t="b">
        <x:v>0</x:v>
      </x:c>
      <x:c r="N46" s="25" t="n">
        <x:v>-7.376877216038155</x:v>
      </x:c>
    </x:row>
    <x:row r="47" ht="15" hidden="0" customHeight="1">
      <x:c r="A47" s="25" t="n">
        <x:v>8</x:v>
      </x:c>
      <x:c r="B47" s="25" t="n">
        <x:v>4</x:v>
      </x:c>
      <x:c r="C47" s="25" t="n">
        <x:v>3</x:v>
      </x:c>
      <x:c r="D47" s="25" t="n">
        <x:v>30</x:v>
      </x:c>
      <x:c r="E47" s="25" t="str">
        <x:v>Équilibré</x:v>
      </x:c>
      <x:c r="F47" s="25" t="n">
        <x:v>1.2</x:v>
      </x:c>
      <x:c r="G47" s="25" t="n">
        <x:v>0.21547777523247955</x:v>
      </x:c>
      <x:c r="H47" s="25" t="n">
        <x:v>-1.2512547158373932</x:v>
      </x:c>
      <x:c r="I47" s="25" t="n">
        <x:v>10706.8079444608</x:v>
      </x:c>
      <x:c r="J47" s="25" t="n">
        <x:v>27117.43294446079</x:v>
      </x:c>
      <x:c r="K47" s="25" t="n">
        <x:v>6.238459998457328</x:v>
      </x:c>
      <x:c r="L47" s="25" t="n">
        <x:v>60.25</x:v>
      </x:c>
      <x:c r="M47" s="34" t="b">
        <x:v>0</x:v>
      </x:c>
      <x:c r="N47" s="25" t="n">
        <x:v>-7.380090258148456</x:v>
      </x:c>
    </x:row>
    <x:row r="48" ht="15" hidden="0" customHeight="1">
      <x:c r="A48" s="25" t="n">
        <x:v>8</x:v>
      </x:c>
      <x:c r="B48" s="25" t="n">
        <x:v>4</x:v>
      </x:c>
      <x:c r="C48" s="25" t="n">
        <x:v>3</x:v>
      </x:c>
      <x:c r="D48" s="25" t="n">
        <x:v>30</x:v>
      </x:c>
      <x:c r="E48" s="25" t="str">
        <x:v>Équilibré</x:v>
      </x:c>
      <x:c r="F48" s="25" t="n">
        <x:v>1</x:v>
      </x:c>
      <x:c r="G48" s="25" t="n">
        <x:v>0.21547777523247955</x:v>
      </x:c>
      <x:c r="H48" s="25" t="n">
        <x:v>-1.227379873751224</x:v>
      </x:c>
      <x:c r="I48" s="25" t="n">
        <x:v>10706.8079444608</x:v>
      </x:c>
      <x:c r="J48" s="25" t="n">
        <x:v>27117.43294446079</x:v>
      </x:c>
      <x:c r="K48" s="25" t="n">
        <x:v>5.1987166653811085</x:v>
      </x:c>
      <x:c r="L48" s="25" t="n">
        <x:v>57.25</x:v>
      </x:c>
      <x:c r="M48" s="34" t="b">
        <x:v>0</x:v>
      </x:c>
      <x:c r="N48" s="25" t="n">
        <x:v>-7.383219205994225</x:v>
      </x:c>
    </x:row>
    <x:row r="49" ht="15" hidden="0" customHeight="1">
      <x:c r="A49" s="25" t="n">
        <x:v>10</x:v>
      </x:c>
      <x:c r="B49" s="25" t="n">
        <x:v>3</x:v>
      </x:c>
      <x:c r="C49" s="25" t="n">
        <x:v>3</x:v>
      </x:c>
      <x:c r="D49" s="25" t="n">
        <x:v>35</x:v>
      </x:c>
      <x:c r="E49" s="25" t="str">
        <x:v>Conservateur</x:v>
      </x:c>
      <x:c r="F49" s="25" t="n">
        <x:v>1.2</x:v>
      </x:c>
      <x:c r="G49" s="25" t="n">
        <x:v>0.22307399549592338</x:v>
      </x:c>
      <x:c r="H49" s="25" t="n">
        <x:v>-1.2347287237868325</x:v>
      </x:c>
      <x:c r="I49" s="25" t="n">
        <x:v>11302.614337392639</x:v>
      </x:c>
      <x:c r="J49" s="25" t="n">
        <x:v>27713.239337392635</x:v>
      </x:c>
      <x:c r="K49" s="25" t="n">
        <x:v>6.238459998457328</x:v>
      </x:c>
      <x:c r="L49" s="25" t="n">
        <x:v>55.75</x:v>
      </x:c>
      <x:c r="M49" s="34" t="b">
        <x:v>0</x:v>
      </x:c>
      <x:c r="N49" s="25" t="n">
        <x:v>-7.449148342395025</x:v>
      </x:c>
    </x:row>
    <x:row r="50" ht="15" hidden="0" customHeight="1">
      <x:c r="A50" s="25" t="n">
        <x:v>10</x:v>
      </x:c>
      <x:c r="B50" s="25" t="n">
        <x:v>3</x:v>
      </x:c>
      <x:c r="C50" s="25" t="n">
        <x:v>3</x:v>
      </x:c>
      <x:c r="D50" s="25" t="n">
        <x:v>35</x:v>
      </x:c>
      <x:c r="E50" s="25" t="str">
        <x:v>Conservateur</x:v>
      </x:c>
      <x:c r="F50" s="25" t="n">
        <x:v>1</x:v>
      </x:c>
      <x:c r="G50" s="25" t="n">
        <x:v>0.22307399549592338</x:v>
      </x:c>
      <x:c r="H50" s="25" t="n">
        <x:v>-1.2108210850497532</x:v>
      </x:c>
      <x:c r="I50" s="25" t="n">
        <x:v>11302.614337392639</x:v>
      </x:c>
      <x:c r="J50" s="25" t="n">
        <x:v>27713.239337392635</x:v>
      </x:c>
      <x:c r="K50" s="25" t="n">
        <x:v>5.1987166653811085</x:v>
      </x:c>
      <x:c r="L50" s="25" t="n">
        <x:v>52.75</x:v>
      </x:c>
      <x:c r="M50" s="34" t="b">
        <x:v>0</x:v>
      </x:c>
      <x:c r="N50" s="25" t="n">
        <x:v>-7.45145737396804</x:v>
      </x:c>
    </x:row>
    <x:row r="51" ht="15" hidden="0" customHeight="1">
      <x:c r="A51" s="25" t="n">
        <x:v>10</x:v>
      </x:c>
      <x:c r="B51" s="25" t="n">
        <x:v>3</x:v>
      </x:c>
      <x:c r="C51" s="25" t="n">
        <x:v>3</x:v>
      </x:c>
      <x:c r="D51" s="25" t="n">
        <x:v>30</x:v>
      </x:c>
      <x:c r="E51" s="25" t="str">
        <x:v>Équilibré</x:v>
      </x:c>
      <x:c r="F51" s="25" t="n">
        <x:v>1</x:v>
      </x:c>
      <x:c r="G51" s="25" t="n">
        <x:v>0.2231147723824639</x:v>
      </x:c>
      <x:c r="H51" s="25" t="n">
        <x:v>-1.2338425334400094</x:v>
      </x:c>
      <x:c r="I51" s="25" t="n">
        <x:v>11632.280536864</x:v>
      </x:c>
      <x:c r="J51" s="25" t="n">
        <x:v>28042.90553686399</x:v>
      </x:c>
      <x:c r="K51" s="25" t="n">
        <x:v>5.1987166653811085</x:v>
      </x:c>
      <x:c r="L51" s="25" t="n">
        <x:v>54.25</x:v>
      </x:c>
      <x:c r="M51" s="34" t="b">
        <x:v>0</x:v>
      </x:c>
      <x:c r="N51" s="25" t="n">
        <x:v>-7.724750854964718</x:v>
      </x:c>
    </x:row>
    <x:row r="52" ht="15" hidden="0" customHeight="1">
      <x:c r="A52" s="25" t="n">
        <x:v>10</x:v>
      </x:c>
      <x:c r="B52" s="25" t="n">
        <x:v>3</x:v>
      </x:c>
      <x:c r="C52" s="25" t="n">
        <x:v>3</x:v>
      </x:c>
      <x:c r="D52" s="25" t="n">
        <x:v>30</x:v>
      </x:c>
      <x:c r="E52" s="25" t="str">
        <x:v>Équilibré</x:v>
      </x:c>
      <x:c r="F52" s="25" t="n">
        <x:v>1.2</x:v>
      </x:c>
      <x:c r="G52" s="25" t="n">
        <x:v>0.2231147723824639</x:v>
      </x:c>
      <x:c r="H52" s="25" t="n">
        <x:v>-1.2583825333648855</x:v>
      </x:c>
      <x:c r="I52" s="25" t="n">
        <x:v>11632.280536864</x:v>
      </x:c>
      <x:c r="J52" s="25" t="n">
        <x:v>28042.90553686399</x:v>
      </x:c>
      <x:c r="K52" s="25" t="n">
        <x:v>6.238459998457328</x:v>
      </x:c>
      <x:c r="L52" s="25" t="n">
        <x:v>57.25</x:v>
      </x:c>
      <x:c r="M52" s="34" t="b">
        <x:v>0</x:v>
      </x:c>
      <x:c r="N52" s="25" t="n">
        <x:v>-7.738250853086621</x:v>
      </x:c>
    </x:row>
    <x:row r="53" ht="15" hidden="0" customHeight="1">
      <x:c r="A53" s="25" t="n">
        <x:v>8</x:v>
      </x:c>
      <x:c r="B53" s="25" t="n">
        <x:v>2</x:v>
      </x:c>
      <x:c r="C53" s="25" t="n">
        <x:v>3</x:v>
      </x:c>
      <x:c r="D53" s="25" t="n">
        <x:v>35</x:v>
      </x:c>
      <x:c r="E53" s="25" t="str">
        <x:v>Conservateur</x:v>
      </x:c>
      <x:c r="F53" s="25" t="n">
        <x:v>0.8</x:v>
      </x:c>
      <x:c r="G53" s="25" t="n">
        <x:v>0.20893689869277682</x:v>
      </x:c>
      <x:c r="H53" s="25" t="n">
        <x:v>-1.275062715399469</x:v>
      </x:c>
      <x:c r="I53" s="25" t="n">
        <x:v>11186.252828609531</x:v>
      </x:c>
      <x:c r="J53" s="25" t="n">
        <x:v>27596.877828609526</x:v>
      </x:c>
      <x:c r="K53" s="25" t="n">
        <x:v>4.158973332304886</x:v>
      </x:c>
      <x:c r="L53" s="25" t="n">
        <x:v>62.75</x:v>
      </x:c>
      <x:c r="M53" s="34" t="b">
        <x:v>0</x:v>
      </x:c>
      <x:c r="N53" s="25" t="n">
        <x:v>-7.835038456883996</x:v>
      </x:c>
    </x:row>
    <x:row r="54" ht="15" hidden="0" customHeight="1">
      <x:c r="A54" s="25" t="n">
        <x:v>10</x:v>
      </x:c>
      <x:c r="B54" s="25" t="n">
        <x:v>4</x:v>
      </x:c>
      <x:c r="C54" s="25" t="n">
        <x:v>3</x:v>
      </x:c>
      <x:c r="D54" s="25" t="n">
        <x:v>40</x:v>
      </x:c>
      <x:c r="E54" s="25" t="str">
        <x:v>Conservateur</x:v>
      </x:c>
      <x:c r="F54" s="25" t="n">
        <x:v>0.8</x:v>
      </x:c>
      <x:c r="G54" s="25" t="n">
        <x:v>0.21543788397665975</x:v>
      </x:c>
      <x:c r="H54" s="25" t="n">
        <x:v>-1.1764391739994424</x:v>
      </x:c>
      <x:c r="I54" s="25" t="n">
        <x:v>10451.763292741116</x:v>
      </x:c>
      <x:c r="J54" s="25" t="n">
        <x:v>26862.388292741114</x:v>
      </x:c>
      <x:c r="K54" s="25" t="n">
        <x:v>4.158973332304886</x:v>
      </x:c>
      <x:c r="L54" s="25" t="n">
        <x:v>48.25</x:v>
      </x:c>
      <x:c r="M54" s="34" t="b">
        <x:v>0</x:v>
      </x:c>
      <x:c r="N54" s="25" t="n">
        <x:v>-7.911895731269775</x:v>
      </x:c>
    </x:row>
    <x:row r="55" ht="15" hidden="0" customHeight="1">
      <x:c r="A55" s="25" t="n">
        <x:v>6</x:v>
      </x:c>
      <x:c r="B55" s="25" t="n">
        <x:v>4</x:v>
      </x:c>
      <x:c r="C55" s="25" t="n">
        <x:v>3</x:v>
      </x:c>
      <x:c r="D55" s="25" t="n">
        <x:v>30</x:v>
      </x:c>
      <x:c r="E55" s="25" t="str">
        <x:v>Équilibré</x:v>
      </x:c>
      <x:c r="F55" s="25" t="n">
        <x:v>0.8</x:v>
      </x:c>
      <x:c r="G55" s="25" t="n">
        <x:v>0.20106108702046635</x:v>
      </x:c>
      <x:c r="H55" s="25" t="n">
        <x:v>-1.2614869290674864</x:v>
      </x:c>
      <x:c r="I55" s="25" t="n">
        <x:v>9990.461621900798</x:v>
      </x:c>
      <x:c r="J55" s="25" t="n">
        <x:v>26401.086621900795</x:v>
      </x:c>
      <x:c r="K55" s="25" t="n">
        <x:v>4.158973332304886</x:v>
      </x:c>
      <x:c r="L55" s="25" t="n">
        <x:v>62.25</x:v>
      </x:c>
      <x:c r="M55" s="34" t="b">
        <x:v>0</x:v>
      </x:c>
      <x:c r="N55" s="25" t="n">
        <x:v>-8.028813440561509</x:v>
      </x:c>
    </x:row>
    <x:row r="56" ht="15" hidden="0" customHeight="1">
      <x:c r="A56" s="25" t="n">
        <x:v>8</x:v>
      </x:c>
      <x:c r="B56" s="25" t="n">
        <x:v>2</x:v>
      </x:c>
      <x:c r="C56" s="25" t="n">
        <x:v>3</x:v>
      </x:c>
      <x:c r="D56" s="25" t="n">
        <x:v>30</x:v>
      </x:c>
      <x:c r="E56" s="25" t="str">
        <x:v>Équilibré</x:v>
      </x:c>
      <x:c r="F56" s="25" t="n">
        <x:v>0.8</x:v>
      </x:c>
      <x:c r="G56" s="25" t="n">
        <x:v>0.20919935472907733</x:v>
      </x:c>
      <x:c r="H56" s="25" t="n">
        <x:v>-1.2965612449030104</x:v>
      </x:c>
      <x:c r="I56" s="25" t="n">
        <x:v>11589.384007993598</x:v>
      </x:c>
      <x:c r="J56" s="25" t="n">
        <x:v>28000.009007993594</x:v>
      </x:c>
      <x:c r="K56" s="25" t="n">
        <x:v>4.158973332304886</x:v>
      </x:c>
      <x:c r="L56" s="25" t="n">
        <x:v>64.25</x:v>
      </x:c>
      <x:c r="M56" s="34" t="b">
        <x:v>0</x:v>
      </x:c>
      <x:c r="N56" s="25" t="n">
        <x:v>-8.058066612476004</x:v>
      </x:c>
    </x:row>
    <x:row r="57" ht="15" hidden="0" customHeight="1">
      <x:c r="A57" s="25" t="n">
        <x:v>8</x:v>
      </x:c>
      <x:c r="B57" s="25" t="n">
        <x:v>3</x:v>
      </x:c>
      <x:c r="C57" s="25" t="n">
        <x:v>3</x:v>
      </x:c>
      <x:c r="D57" s="25" t="n">
        <x:v>35</x:v>
      </x:c>
      <x:c r="E57" s="25" t="str">
        <x:v>Conservateur</x:v>
      </x:c>
      <x:c r="F57" s="25" t="n">
        <x:v>1</x:v>
      </x:c>
      <x:c r="G57" s="25" t="n">
        <x:v>0.2083143867732766</x:v>
      </x:c>
      <x:c r="H57" s="25" t="n">
        <x:v>-1.286778984154555</x:v>
      </x:c>
      <x:c r="I57" s="25" t="n">
        <x:v>10554.781024092157</x:v>
      </x:c>
      <x:c r="J57" s="25" t="n">
        <x:v>26965.406024092154</x:v>
      </x:c>
      <x:c r="K57" s="25" t="n">
        <x:v>5.1987166653811085</x:v>
      </x:c>
      <x:c r="L57" s="25" t="n">
        <x:v>60.75</x:v>
      </x:c>
      <x:c r="M57" s="34" t="b">
        <x:v>0</x:v>
      </x:c>
      <x:c r="N57" s="25" t="n">
        <x:v>-8.562183331333662</x:v>
      </x:c>
    </x:row>
    <x:row r="58" ht="15" hidden="0" customHeight="1">
      <x:c r="A58" s="25" t="n">
        <x:v>6</x:v>
      </x:c>
      <x:c r="B58" s="25" t="n">
        <x:v>3</x:v>
      </x:c>
      <x:c r="C58" s="25" t="n">
        <x:v>3</x:v>
      </x:c>
      <x:c r="D58" s="25" t="n">
        <x:v>35</x:v>
      </x:c>
      <x:c r="E58" s="25" t="str">
        <x:v>Conservateur</x:v>
      </x:c>
      <x:c r="F58" s="25" t="n">
        <x:v>0.8</x:v>
      </x:c>
      <x:c r="G58" s="25" t="n">
        <x:v>0.19699045874829002</x:v>
      </x:c>
      <x:c r="H58" s="25" t="n">
        <x:v>-1.3027855069464587</x:v>
      </x:c>
      <x:c r="I58" s="25" t="n">
        <x:v>9981.025257687039</x:v>
      </x:c>
      <x:c r="J58" s="25" t="n">
        <x:v>26391.650257687033</x:v>
      </x:c>
      <x:c r="K58" s="25" t="n">
        <x:v>4.158973332304886</x:v>
      </x:c>
      <x:c r="L58" s="25" t="n">
        <x:v>65.75</x:v>
      </x:c>
      <x:c r="M58" s="34" t="b">
        <x:v>0</x:v>
      </x:c>
      <x:c r="N58" s="25" t="n">
        <x:v>-8.585162442505519</x:v>
      </x:c>
    </x:row>
    <x:row r="59" ht="15" hidden="0" customHeight="1">
      <x:c r="A59" s="25" t="n">
        <x:v>8</x:v>
      </x:c>
      <x:c r="B59" s="25" t="n">
        <x:v>3</x:v>
      </x:c>
      <x:c r="C59" s="25" t="n">
        <x:v>3</x:v>
      </x:c>
      <x:c r="D59" s="25" t="n">
        <x:v>35</x:v>
      </x:c>
      <x:c r="E59" s="25" t="str">
        <x:v>Conservateur</x:v>
      </x:c>
      <x:c r="F59" s="25" t="n">
        <x:v>1.2</x:v>
      </x:c>
      <x:c r="G59" s="25" t="n">
        <x:v>0.2083143867732766</x:v>
      </x:c>
      <x:c r="H59" s="25" t="n">
        <x:v>-1.3118599184696764</x:v>
      </x:c>
      <x:c r="I59" s="25" t="n">
        <x:v>10554.781024092157</x:v>
      </x:c>
      <x:c r="J59" s="25" t="n">
        <x:v>26965.406024092154</x:v>
      </x:c>
      <x:c r="K59" s="25" t="n">
        <x:v>6.238459998457328</x:v>
      </x:c>
      <x:c r="L59" s="25" t="n">
        <x:v>63.75</x:v>
      </x:c>
      <x:c r="M59" s="34" t="b">
        <x:v>0</x:v>
      </x:c>
      <x:c r="N59" s="25" t="n">
        <x:v>-8.5892066892117</x:v>
      </x:c>
    </x:row>
    <x:row r="60" ht="15" hidden="0" customHeight="1">
      <x:c r="A60" s="25" t="n">
        <x:v>8</x:v>
      </x:c>
      <x:c r="B60" s="25" t="n">
        <x:v>4</x:v>
      </x:c>
      <x:c r="C60" s="25" t="n">
        <x:v>2</x:v>
      </x:c>
      <x:c r="D60" s="25" t="n">
        <x:v>30</x:v>
      </x:c>
      <x:c r="E60" s="25" t="str">
        <x:v>Conservateur</x:v>
      </x:c>
      <x:c r="F60" s="25" t="n">
        <x:v>0.8</x:v>
      </x:c>
      <x:c r="G60" s="25" t="n">
        <x:v>0.1598434252042017</x:v>
      </x:c>
      <x:c r="H60" s="25" t="n">
        <x:v>-1.141890988259023</x:v>
      </x:c>
      <x:c r="I60" s="25" t="n">
        <x:v>7754.65119364188</x:v>
      </x:c>
      <x:c r="J60" s="25" t="n">
        <x:v>24165.276193641876</x:v>
      </x:c>
      <x:c r="K60" s="25" t="n">
        <x:v>4.158973332304886</x:v>
      </x:c>
      <x:c r="L60" s="25" t="n">
        <x:v>55.25</x:v>
      </x:c>
      <x:c r="M60" s="34" t="b">
        <x:v>0</x:v>
      </x:c>
      <x:c r="N60" s="25" t="n">
        <x:v>-8.705886320244478</x:v>
      </x:c>
    </x:row>
    <x:row r="61" ht="15" hidden="0" customHeight="1">
      <x:c r="A61" s="25" t="n">
        <x:v>10</x:v>
      </x:c>
      <x:c r="B61" s="25" t="n">
        <x:v>4</x:v>
      </x:c>
      <x:c r="C61" s="25" t="n">
        <x:v>2</x:v>
      </x:c>
      <x:c r="D61" s="25" t="n">
        <x:v>30</x:v>
      </x:c>
      <x:c r="E61" s="25" t="str">
        <x:v>Conservateur</x:v>
      </x:c>
      <x:c r="F61" s="25" t="n">
        <x:v>1.2</x:v>
      </x:c>
      <x:c r="G61" s="25" t="n">
        <x:v>0.17048947276785326</x:v>
      </x:c>
      <x:c r="H61" s="25" t="n">
        <x:v>-1.1532186341055926</x:v>
      </x:c>
      <x:c r="I61" s="25" t="n">
        <x:v>8271.134028901273</x:v>
      </x:c>
      <x:c r="J61" s="25" t="n">
        <x:v>24681.759028901266</x:v>
      </x:c>
      <x:c r="K61" s="25" t="n">
        <x:v>6.238459998457328</x:v>
      </x:c>
      <x:c r="L61" s="25" t="n">
        <x:v>53.25</x:v>
      </x:c>
      <x:c r="M61" s="34" t="b">
        <x:v>0</x:v>
      </x:c>
      <x:c r="N61" s="25" t="n">
        <x:v>-8.803544850407887</x:v>
      </x:c>
    </x:row>
    <x:row r="62" ht="15" hidden="0" customHeight="1">
      <x:c r="A62" s="25" t="n">
        <x:v>10</x:v>
      </x:c>
      <x:c r="B62" s="25" t="n">
        <x:v>4</x:v>
      </x:c>
      <x:c r="C62" s="25" t="n">
        <x:v>2</x:v>
      </x:c>
      <x:c r="D62" s="25" t="n">
        <x:v>30</x:v>
      </x:c>
      <x:c r="E62" s="25" t="str">
        <x:v>Conservateur</x:v>
      </x:c>
      <x:c r="F62" s="25" t="n">
        <x:v>1</x:v>
      </x:c>
      <x:c r="G62" s="25" t="n">
        <x:v>0.17048947276785326</x:v>
      </x:c>
      <x:c r="H62" s="25" t="n">
        <x:v>-1.1342164729401119</x:v>
      </x:c>
      <x:c r="I62" s="25" t="n">
        <x:v>8271.134028901273</x:v>
      </x:c>
      <x:c r="J62" s="25" t="n">
        <x:v>24681.759028901266</x:v>
      </x:c>
      <x:c r="K62" s="25" t="n">
        <x:v>5.1987166653811085</x:v>
      </x:c>
      <x:c r="L62" s="25" t="n">
        <x:v>50.25</x:v>
      </x:c>
      <x:c r="M62" s="34" t="b">
        <x:v>0</x:v>
      </x:c>
      <x:c r="N62" s="25" t="n">
        <x:v>-8.928490821270866</x:v>
      </x:c>
    </x:row>
    <x:row r="63" ht="15" hidden="0" customHeight="1">
      <x:c r="A63" s="25" t="n">
        <x:v>8</x:v>
      </x:c>
      <x:c r="B63" s="25" t="n">
        <x:v>3</x:v>
      </x:c>
      <x:c r="C63" s="25" t="n">
        <x:v>3</x:v>
      </x:c>
      <x:c r="D63" s="25" t="n">
        <x:v>30</x:v>
      </x:c>
      <x:c r="E63" s="25" t="str">
        <x:v>Équilibré</x:v>
      </x:c>
      <x:c r="F63" s="25" t="n">
        <x:v>1</x:v>
      </x:c>
      <x:c r="G63" s="25" t="n">
        <x:v>0.20736637737664645</x:v>
      </x:c>
      <x:c r="H63" s="25" t="n">
        <x:v>-1.3137656592615221</x:v>
      </x:c>
      <x:c r="I63" s="25" t="n">
        <x:v>10811.224419616003</x:v>
      </x:c>
      <x:c r="J63" s="25" t="n">
        <x:v>27221.84941961599</x:v>
      </x:c>
      <x:c r="K63" s="25" t="n">
        <x:v>5.1987166653811085</x:v>
      </x:c>
      <x:c r="L63" s="25" t="n">
        <x:v>62.25</x:v>
      </x:c>
      <x:c r="M63" s="34" t="b">
        <x:v>0</x:v>
      </x:c>
      <x:c r="N63" s="25" t="n">
        <x:v>-8.988990725822498</x:v>
      </x:c>
    </x:row>
    <x:row r="64" ht="15" hidden="0" customHeight="1">
      <x:c r="A64" s="25" t="n">
        <x:v>8</x:v>
      </x:c>
      <x:c r="B64" s="25" t="n">
        <x:v>3</x:v>
      </x:c>
      <x:c r="C64" s="25" t="n">
        <x:v>3</x:v>
      </x:c>
      <x:c r="D64" s="25" t="n">
        <x:v>30</x:v>
      </x:c>
      <x:c r="E64" s="25" t="str">
        <x:v>Équilibré</x:v>
      </x:c>
      <x:c r="F64" s="25" t="n">
        <x:v>1.2</x:v>
      </x:c>
      <x:c r="G64" s="25" t="n">
        <x:v>0.20736637737664645</x:v>
      </x:c>
      <x:c r="H64" s="25" t="n">
        <x:v>-1.339538124795235</x:v>
      </x:c>
      <x:c r="I64" s="25" t="n">
        <x:v>10811.224419616003</x:v>
      </x:c>
      <x:c r="J64" s="25" t="n">
        <x:v>27221.84941961599</x:v>
      </x:c>
      <x:c r="K64" s="25" t="n">
        <x:v>6.238459998457328</x:v>
      </x:c>
      <x:c r="L64" s="25" t="n">
        <x:v>65.25</x:v>
      </x:c>
      <x:c r="M64" s="34" t="b">
        <x:v>0</x:v>
      </x:c>
      <x:c r="N64" s="25" t="n">
        <x:v>-9.03330236416532</x:v>
      </x:c>
    </x:row>
    <x:row r="65" ht="15" hidden="0" customHeight="1">
      <x:c r="A65" s="25" t="n">
        <x:v>6</x:v>
      </x:c>
      <x:c r="B65" s="25" t="n">
        <x:v>3</x:v>
      </x:c>
      <x:c r="C65" s="25" t="n">
        <x:v>3</x:v>
      </x:c>
      <x:c r="D65" s="25" t="n">
        <x:v>30</x:v>
      </x:c>
      <x:c r="E65" s="25" t="str">
        <x:v>Équilibré</x:v>
      </x:c>
      <x:c r="F65" s="25" t="n">
        <x:v>0.8</x:v>
      </x:c>
      <x:c r="G65" s="25" t="n">
        <x:v>0.19497723260542751</x:v>
      </x:c>
      <x:c r="H65" s="25" t="n">
        <x:v>-1.3329503800216775</x:v>
      </x:c>
      <x:c r="I65" s="25" t="n">
        <x:v>10165.305702304</x:v>
      </x:c>
      <x:c r="J65" s="25" t="n">
        <x:v>26575.930702304</x:v>
      </x:c>
      <x:c r="K65" s="25" t="n">
        <x:v>4.158973332304886</x:v>
      </x:c>
      <x:c r="L65" s="25" t="n">
        <x:v>67.25</x:v>
      </x:c>
      <x:c r="M65" s="34" t="b">
        <x:v>0</x:v>
      </x:c>
      <x:c r="N65" s="25" t="n">
        <x:v>-9.150011707243424</x:v>
      </x:c>
    </x:row>
    <x:row r="66" ht="15" hidden="0" customHeight="1">
      <x:c r="A66" s="25" t="n">
        <x:v>10</x:v>
      </x:c>
      <x:c r="B66" s="25" t="n">
        <x:v>3</x:v>
      </x:c>
      <x:c r="C66" s="25" t="n">
        <x:v>2</x:v>
      </x:c>
      <x:c r="D66" s="25" t="n">
        <x:v>30</x:v>
      </x:c>
      <x:c r="E66" s="25" t="str">
        <x:v>Conservateur</x:v>
      </x:c>
      <x:c r="F66" s="25" t="n">
        <x:v>0.8</x:v>
      </x:c>
      <x:c r="G66" s="25" t="n">
        <x:v>0.1640875536681597</x:v>
      </x:c>
      <x:c r="H66" s="25" t="n">
        <x:v>-1.1515306612913832</x:v>
      </x:c>
      <x:c r="I66" s="25" t="n">
        <x:v>8313.915445654528</x:v>
      </x:c>
      <x:c r="J66" s="25" t="n">
        <x:v>24724.540445654515</x:v>
      </x:c>
      <x:c r="K66" s="25" t="n">
        <x:v>4.158973332304886</x:v>
      </x:c>
      <x:c r="L66" s="25" t="n">
        <x:v>52.25</x:v>
      </x:c>
      <x:c r="M66" s="34" t="b">
        <x:v>0</x:v>
      </x:c>
      <x:c r="N66" s="25" t="n">
        <x:v>-9.313451080535794</x:v>
      </x:c>
    </x:row>
    <x:row r="67" ht="15" hidden="0" customHeight="1">
      <x:c r="A67" s="25" t="n">
        <x:v>8</x:v>
      </x:c>
      <x:c r="B67" s="25" t="n">
        <x:v>4</x:v>
      </x:c>
      <x:c r="C67" s="25" t="n">
        <x:v>3</x:v>
      </x:c>
      <x:c r="D67" s="25" t="n">
        <x:v>40</x:v>
      </x:c>
      <x:c r="E67" s="25" t="str">
        <x:v>Conservateur</x:v>
      </x:c>
      <x:c r="F67" s="25" t="n">
        <x:v>0.8</x:v>
      </x:c>
      <x:c r="G67" s="25" t="n">
        <x:v>0.1990253002687116</x:v>
      </x:c>
      <x:c r="H67" s="25" t="n">
        <x:v>-1.2609176949521501</x:v>
      </x:c>
      <x:c r="I67" s="25" t="n">
        <x:v>9655.522460945916</x:v>
      </x:c>
      <x:c r="J67" s="25" t="n">
        <x:v>26066.14746094591</x:v>
      </x:c>
      <x:c r="K67" s="25" t="n">
        <x:v>4.158973332304886</x:v>
      </x:c>
      <x:c r="L67" s="25" t="n">
        <x:v>56.25</x:v>
      </x:c>
      <x:c r="M67" s="34" t="b">
        <x:v>0</x:v>
      </x:c>
      <x:c r="N67" s="25" t="n">
        <x:v>-9.326550859024614</x:v>
      </x:c>
    </x:row>
    <x:row r="68" ht="15" hidden="0" customHeight="1">
      <x:c r="A68" s="25" t="n">
        <x:v>10</x:v>
      </x:c>
      <x:c r="B68" s="25" t="n">
        <x:v>2</x:v>
      </x:c>
      <x:c r="C68" s="25" t="n">
        <x:v>3</x:v>
      </x:c>
      <x:c r="D68" s="25" t="n">
        <x:v>35</x:v>
      </x:c>
      <x:c r="E68" s="25" t="str">
        <x:v>Conservateur</x:v>
      </x:c>
      <x:c r="F68" s="25" t="n">
        <x:v>1</x:v>
      </x:c>
      <x:c r="G68" s="25" t="n">
        <x:v>0.21176020163016254</x:v>
      </x:c>
      <x:c r="H68" s="25" t="n">
        <x:v>-1.3021920299167729</x:v>
      </x:c>
      <x:c r="I68" s="25" t="n">
        <x:v>11337.40937715097</x:v>
      </x:c>
      <x:c r="J68" s="25" t="n">
        <x:v>27748.03437715097</x:v>
      </x:c>
      <x:c r="K68" s="25" t="n">
        <x:v>5.1987166653811085</x:v>
      </x:c>
      <x:c r="L68" s="25" t="n">
        <x:v>57.75</x:v>
      </x:c>
      <x:c r="M68" s="34" t="b">
        <x:v>0</x:v>
      </x:c>
      <x:c r="N68" s="25" t="n">
        <x:v>-9.357989658260383</x:v>
      </x:c>
    </x:row>
    <x:row r="69" ht="15" hidden="0" customHeight="1">
      <x:c r="A69" s="25" t="n">
        <x:v>10</x:v>
      </x:c>
      <x:c r="B69" s="25" t="n">
        <x:v>2</x:v>
      </x:c>
      <x:c r="C69" s="25" t="n">
        <x:v>3</x:v>
      </x:c>
      <x:c r="D69" s="25" t="n">
        <x:v>35</x:v>
      </x:c>
      <x:c r="E69" s="25" t="str">
        <x:v>Conservateur</x:v>
      </x:c>
      <x:c r="F69" s="25" t="n">
        <x:v>1.2</x:v>
      </x:c>
      <x:c r="G69" s="25" t="n">
        <x:v>0.21176020163016254</x:v>
      </x:c>
      <x:c r="H69" s="25" t="n">
        <x:v>-1.3280354674012325</x:v>
      </x:c>
      <x:c r="I69" s="25" t="n">
        <x:v>11337.40937715097</x:v>
      </x:c>
      <x:c r="J69" s="25" t="n">
        <x:v>27748.03437715097</x:v>
      </x:c>
      <x:c r="K69" s="25" t="n">
        <x:v>6.238459998457328</x:v>
      </x:c>
      <x:c r="L69" s="25" t="n">
        <x:v>60.75</x:v>
      </x:c>
      <x:c r="M69" s="34" t="b">
        <x:v>0</x:v>
      </x:c>
      <x:c r="N69" s="25" t="n">
        <x:v>-9.40407559537187</x:v>
      </x:c>
    </x:row>
    <x:row r="70" ht="15" hidden="0" customHeight="1">
      <x:c r="A70" s="25" t="n">
        <x:v>10</x:v>
      </x:c>
      <x:c r="B70" s="25" t="n">
        <x:v>2</x:v>
      </x:c>
      <x:c r="C70" s="25" t="n">
        <x:v>3</x:v>
      </x:c>
      <x:c r="D70" s="25" t="n">
        <x:v>30</x:v>
      </x:c>
      <x:c r="E70" s="25" t="str">
        <x:v>Équilibré</x:v>
      </x:c>
      <x:c r="F70" s="25" t="n">
        <x:v>1</x:v>
      </x:c>
      <x:c r="G70" s="25" t="n">
        <x:v>0.21248676601578564</x:v>
      </x:c>
      <x:c r="H70" s="25" t="n">
        <x:v>-1.3227502550936876</x:v>
      </x:c>
      <x:c r="I70" s="25" t="n">
        <x:v>11771.502503737598</x:v>
      </x:c>
      <x:c r="J70" s="25" t="n">
        <x:v>28182.12750373759</x:v>
      </x:c>
      <x:c r="K70" s="25" t="n">
        <x:v>5.1987166653811085</x:v>
      </x:c>
      <x:c r="L70" s="25" t="n">
        <x:v>59.25</x:v>
      </x:c>
      <x:c r="M70" s="34" t="b">
        <x:v>0</x:v>
      </x:c>
      <x:c r="N70" s="25" t="n">
        <x:v>-9.531984246473979</x:v>
      </x:c>
    </x:row>
    <x:row r="71" ht="15" hidden="0" customHeight="1">
      <x:c r="A71" s="25" t="n">
        <x:v>6</x:v>
      </x:c>
      <x:c r="B71" s="25" t="n">
        <x:v>4</x:v>
      </x:c>
      <x:c r="C71" s="25" t="n">
        <x:v>3</x:v>
      </x:c>
      <x:c r="D71" s="25" t="n">
        <x:v>35</x:v>
      </x:c>
      <x:c r="E71" s="25" t="str">
        <x:v>Conservateur</x:v>
      </x:c>
      <x:c r="F71" s="25" t="n">
        <x:v>1</x:v>
      </x:c>
      <x:c r="G71" s="25" t="n">
        <x:v>0.19390126486064252</x:v>
      </x:c>
      <x:c r="H71" s="25" t="n">
        <x:v>-1.319544275745455</x:v>
      </x:c>
      <x:c r="I71" s="25" t="n">
        <x:v>9406.934774322684</x:v>
      </x:c>
      <x:c r="J71" s="25" t="n">
        <x:v>25817.559774322683</x:v>
      </x:c>
      <x:c r="K71" s="25" t="n">
        <x:v>5.1987166653811085</x:v>
      </x:c>
      <x:c r="L71" s="25" t="n">
        <x:v>63.75</x:v>
      </x:c>
      <x:c r="M71" s="34" t="b">
        <x:v>0</x:v>
      </x:c>
      <x:c r="N71" s="25" t="n">
        <x:v>-9.574037326301035</x:v>
      </x:c>
    </x:row>
    <x:row r="72" ht="15" hidden="0" customHeight="1">
      <x:c r="A72" s="25" t="n">
        <x:v>10</x:v>
      </x:c>
      <x:c r="B72" s="25" t="n">
        <x:v>2</x:v>
      </x:c>
      <x:c r="C72" s="25" t="n">
        <x:v>3</x:v>
      </x:c>
      <x:c r="D72" s="25" t="n">
        <x:v>30</x:v>
      </x:c>
      <x:c r="E72" s="25" t="str">
        <x:v>Équilibré</x:v>
      </x:c>
      <x:c r="F72" s="25" t="n">
        <x:v>1.2</x:v>
      </x:c>
      <x:c r="G72" s="25" t="n">
        <x:v>0.21248676601578564</x:v>
      </x:c>
      <x:c r="H72" s="25" t="n">
        <x:v>-1.3492071380261972</x:v>
      </x:c>
      <x:c r="I72" s="25" t="n">
        <x:v>11771.502503737598</x:v>
      </x:c>
      <x:c r="J72" s="25" t="n">
        <x:v>28182.12750373759</x:v>
      </x:c>
      <x:c r="K72" s="25" t="n">
        <x:v>6.238459998457328</x:v>
      </x:c>
      <x:c r="L72" s="25" t="n">
        <x:v>62.25</x:v>
      </x:c>
      <x:c r="M72" s="34" t="b">
        <x:v>0</x:v>
      </x:c>
      <x:c r="N72" s="25" t="n">
        <x:v>-9.593406319786721</x:v>
      </x:c>
    </x:row>
    <x:row r="73" ht="15" hidden="0" customHeight="1">
      <x:c r="A73" s="25" t="n">
        <x:v>6</x:v>
      </x:c>
      <x:c r="B73" s="25" t="n">
        <x:v>4</x:v>
      </x:c>
      <x:c r="C73" s="25" t="n">
        <x:v>3</x:v>
      </x:c>
      <x:c r="D73" s="25" t="n">
        <x:v>35</x:v>
      </x:c>
      <x:c r="E73" s="25" t="str">
        <x:v>Conservateur</x:v>
      </x:c>
      <x:c r="F73" s="25" t="n">
        <x:v>1.2</x:v>
      </x:c>
      <x:c r="G73" s="25" t="n">
        <x:v>0.19390126486064252</x:v>
      </x:c>
      <x:c r="H73" s="25" t="n">
        <x:v>-1.3445943663712603</x:v>
      </x:c>
      <x:c r="I73" s="25" t="n">
        <x:v>9406.934774322684</x:v>
      </x:c>
      <x:c r="J73" s="25" t="n">
        <x:v>25817.559774322683</x:v>
      </x:c>
      <x:c r="K73" s="25" t="n">
        <x:v>6.238459998457328</x:v>
      </x:c>
      <x:c r="L73" s="25" t="n">
        <x:v>66.75</x:v>
      </x:c>
      <x:c r="M73" s="34" t="b">
        <x:v>0</x:v>
      </x:c>
      <x:c r="N73" s="25" t="n">
        <x:v>-9.600289591946169</x:v>
      </x:c>
    </x:row>
    <x:row r="74" ht="15" hidden="0" customHeight="1">
      <x:c r="A74" s="25" t="n">
        <x:v>6</x:v>
      </x:c>
      <x:c r="B74" s="25" t="n">
        <x:v>2</x:v>
      </x:c>
      <x:c r="C74" s="25" t="n">
        <x:v>3</x:v>
      </x:c>
      <x:c r="D74" s="25" t="n">
        <x:v>35</x:v>
      </x:c>
      <x:c r="E74" s="25" t="str">
        <x:v>Conservateur</x:v>
      </x:c>
      <x:c r="F74" s="25" t="n">
        <x:v>0.8</x:v>
      </x:c>
      <x:c r="G74" s="25" t="n">
        <x:v>0.18867837459238415</x:v>
      </x:c>
      <x:c r="H74" s="25" t="n">
        <x:v>-1.3757760441386593</x:v>
      </x:c>
      <x:c r="I74" s="25" t="n">
        <x:v>10101.63362568601</x:v>
      </x:c>
      <x:c r="J74" s="25" t="n">
        <x:v>26512.25862568601</x:v>
      </x:c>
      <x:c r="K74" s="25" t="n">
        <x:v>4.158973332304886</x:v>
      </x:c>
      <x:c r="L74" s="25" t="n">
        <x:v>70.75</x:v>
      </x:c>
      <x:c r="M74" s="34" t="b">
        <x:v>0</x:v>
      </x:c>
      <x:c r="N74" s="25" t="n">
        <x:v>-9.867090500885359</x:v>
      </x:c>
    </x:row>
    <x:row r="75" ht="15" hidden="0" customHeight="1">
      <x:c r="A75" s="25" t="n">
        <x:v>10</x:v>
      </x:c>
      <x:c r="B75" s="25" t="n">
        <x:v>3</x:v>
      </x:c>
      <x:c r="C75" s="25" t="n">
        <x:v>3</x:v>
      </x:c>
      <x:c r="D75" s="25" t="n">
        <x:v>40</x:v>
      </x:c>
      <x:c r="E75" s="25" t="str">
        <x:v>Conservateur</x:v>
      </x:c>
      <x:c r="F75" s="25" t="n">
        <x:v>0.8</x:v>
      </x:c>
      <x:c r="G75" s="25" t="n">
        <x:v>0.20431220051395096</x:v>
      </x:c>
      <x:c r="H75" s="25" t="n">
        <x:v>-1.2758600866373828</x:v>
      </x:c>
      <x:c r="I75" s="25" t="n">
        <x:v>10352.000024473597</x:v>
      </x:c>
      <x:c r="J75" s="25" t="n">
        <x:v>26762.62502447359</x:v>
      </x:c>
      <x:c r="K75" s="25" t="n">
        <x:v>4.158973332304886</x:v>
      </x:c>
      <x:c r="L75" s="25" t="n">
        <x:v>53.25</x:v>
      </x:c>
      <x:c r="M75" s="34" t="b">
        <x:v>0</x:v>
      </x:c>
      <x:c r="N75" s="25" t="n">
        <x:v>-10.009331137667266</x:v>
      </x:c>
    </x:row>
    <x:row r="76" ht="15" hidden="0" customHeight="1">
      <x:c r="A76" s="25" t="n">
        <x:v>10</x:v>
      </x:c>
      <x:c r="B76" s="25" t="n">
        <x:v>4</x:v>
      </x:c>
      <x:c r="C76" s="25" t="n">
        <x:v>3</x:v>
      </x:c>
      <x:c r="D76" s="25" t="n">
        <x:v>40</x:v>
      </x:c>
      <x:c r="E76" s="25" t="str">
        <x:v>Conservateur</x:v>
      </x:c>
      <x:c r="F76" s="25" t="n">
        <x:v>1</x:v>
      </x:c>
      <x:c r="G76" s="25" t="n">
        <x:v>0.2057786057699731</x:v>
      </x:c>
      <x:c r="H76" s="25" t="n">
        <x:v>-1.265527921187435</x:v>
      </x:c>
      <x:c r="I76" s="25" t="n">
        <x:v>9983.152630904318</x:v>
      </x:c>
      <x:c r="J76" s="25" t="n">
        <x:v>26393.77763090431</x:v>
      </x:c>
      <x:c r="K76" s="25" t="n">
        <x:v>5.1987166653811085</x:v>
      </x:c>
      <x:c r="L76" s="25" t="n">
        <x:v>51.25</x:v>
      </x:c>
      <x:c r="M76" s="34" t="b">
        <x:v>0</x:v>
      </x:c>
      <x:c r="N76" s="25" t="n">
        <x:v>-10.070374712337358</x:v>
      </x:c>
    </x:row>
    <x:row r="77" ht="15" hidden="0" customHeight="1">
      <x:c r="A77" s="25" t="n">
        <x:v>10</x:v>
      </x:c>
      <x:c r="B77" s="25" t="n">
        <x:v>4</x:v>
      </x:c>
      <x:c r="C77" s="25" t="n">
        <x:v>3</x:v>
      </x:c>
      <x:c r="D77" s="25" t="n">
        <x:v>40</x:v>
      </x:c>
      <x:c r="E77" s="25" t="str">
        <x:v>Conservateur</x:v>
      </x:c>
      <x:c r="F77" s="25" t="n">
        <x:v>1.2</x:v>
      </x:c>
      <x:c r="G77" s="25" t="n">
        <x:v>0.2057786057699731</x:v>
      </x:c>
      <x:c r="H77" s="25" t="n">
        <x:v>-1.2898896662713846</x:v>
      </x:c>
      <x:c r="I77" s="25" t="n">
        <x:v>9983.152630904318</x:v>
      </x:c>
      <x:c r="J77" s="25" t="n">
        <x:v>26393.77763090431</x:v>
      </x:c>
      <x:c r="K77" s="25" t="n">
        <x:v>6.238459998457328</x:v>
      </x:c>
      <x:c r="L77" s="25" t="n">
        <x:v>54.25</x:v>
      </x:c>
      <x:c r="M77" s="34" t="b">
        <x:v>0</x:v>
      </x:c>
      <x:c r="N77" s="25" t="n">
        <x:v>-10.079418339436096</x:v>
      </x:c>
    </x:row>
    <x:row r="78" ht="15" hidden="0" customHeight="1">
      <x:c r="A78" s="25" t="n">
        <x:v>6</x:v>
      </x:c>
      <x:c r="B78" s="25" t="n">
        <x:v>2</x:v>
      </x:c>
      <x:c r="C78" s="25" t="n">
        <x:v>3</x:v>
      </x:c>
      <x:c r="D78" s="25" t="n">
        <x:v>30</x:v>
      </x:c>
      <x:c r="E78" s="25" t="str">
        <x:v>Équilibré</x:v>
      </x:c>
      <x:c r="F78" s="25" t="n">
        <x:v>0.8</x:v>
      </x:c>
      <x:c r="G78" s="25" t="n">
        <x:v>0.1877015278617737</x:v>
      </x:c>
      <x:c r="H78" s="25" t="n">
        <x:v>-1.4019331049633175</x:v>
      </x:c>
      <x:c r="I78" s="25" t="n">
        <x:v>10398.4311428416</x:v>
      </x:c>
      <x:c r="J78" s="25" t="n">
        <x:v>26809.056142841597</x:v>
      </x:c>
      <x:c r="K78" s="25" t="n">
        <x:v>4.158973332304886</x:v>
      </x:c>
      <x:c r="L78" s="25" t="n">
        <x:v>72.25</x:v>
      </x:c>
      <x:c r="M78" s="34" t="b">
        <x:v>0</x:v>
      </x:c>
      <x:c r="N78" s="25" t="n">
        <x:v>-10.27474359168538</x:v>
      </x:c>
    </x:row>
    <x:row r="79" ht="15" hidden="0" customHeight="1">
      <x:c r="A79" s="25" t="n">
        <x:v>10</x:v>
      </x:c>
      <x:c r="B79" s="25" t="n">
        <x:v>4</x:v>
      </x:c>
      <x:c r="C79" s="25" t="n">
        <x:v>3</x:v>
      </x:c>
      <x:c r="D79" s="25" t="n">
        <x:v>35</x:v>
      </x:c>
      <x:c r="E79" s="25" t="str">
        <x:v>Équilibré</x:v>
      </x:c>
      <x:c r="F79" s="25" t="n">
        <x:v>0.8</x:v>
      </x:c>
      <x:c r="G79" s="25" t="n">
        <x:v>0.20415104558655278</x:v>
      </x:c>
      <x:c r="H79" s="25" t="n">
        <x:v>-1.2581772689592303</x:v>
      </x:c>
      <x:c r="I79" s="25" t="n">
        <x:v>10143.997609023994</x:v>
      </x:c>
      <x:c r="J79" s="25" t="n">
        <x:v>26554.62260902399</x:v>
      </x:c>
      <x:c r="K79" s="25" t="n">
        <x:v>4.158973332304886</x:v>
      </x:c>
      <x:c r="L79" s="25" t="n">
        <x:v>49.75</x:v>
      </x:c>
      <x:c r="M79" s="34" t="b">
        <x:v>0</x:v>
      </x:c>
      <x:c r="N79" s="25" t="n">
        <x:v>-10.276124216720353</x:v>
      </x:c>
    </x:row>
    <x:row r="80" ht="15" hidden="0" customHeight="1">
      <x:c r="A80" s="25" t="n">
        <x:v>8</x:v>
      </x:c>
      <x:c r="B80" s="25" t="n">
        <x:v>4</x:v>
      </x:c>
      <x:c r="C80" s="25" t="n">
        <x:v>2</x:v>
      </x:c>
      <x:c r="D80" s="25" t="n">
        <x:v>30</x:v>
      </x:c>
      <x:c r="E80" s="25" t="str">
        <x:v>Conservateur</x:v>
      </x:c>
      <x:c r="F80" s="25" t="n">
        <x:v>1.2</x:v>
      </x:c>
      <x:c r="G80" s="25" t="n">
        <x:v>0.1518669795216529</x:v>
      </x:c>
      <x:c r="H80" s="25" t="n">
        <x:v>-1.2353877437193572</x:v>
      </x:c>
      <x:c r="I80" s="25" t="n">
        <x:v>7367.681545349016</x:v>
      </x:c>
      <x:c r="J80" s="25" t="n">
        <x:v>23778.306545349016</x:v>
      </x:c>
      <x:c r="K80" s="25" t="n">
        <x:v>6.238459998457328</x:v>
      </x:c>
      <x:c r="L80" s="25" t="n">
        <x:v>61.25</x:v>
      </x:c>
      <x:c r="M80" s="34" t="b">
        <x:v>0</x:v>
      </x:c>
      <x:c r="N80" s="25" t="n">
        <x:v>-10.282009719293022</x:v>
      </x:c>
    </x:row>
    <x:row r="81" ht="15" hidden="0" customHeight="1">
      <x:c r="A81" s="25" t="n">
        <x:v>8</x:v>
      </x:c>
      <x:c r="B81" s="25" t="n">
        <x:v>2</x:v>
      </x:c>
      <x:c r="C81" s="25" t="n">
        <x:v>3</x:v>
      </x:c>
      <x:c r="D81" s="25" t="n">
        <x:v>35</x:v>
      </x:c>
      <x:c r="E81" s="25" t="str">
        <x:v>Conservateur</x:v>
      </x:c>
      <x:c r="F81" s="25" t="n">
        <x:v>1</x:v>
      </x:c>
      <x:c r="G81" s="25" t="n">
        <x:v>0.1977921664342722</x:v>
      </x:c>
      <x:c r="H81" s="25" t="n">
        <x:v>-1.3733122261246018</x:v>
      </x:c>
      <x:c r="I81" s="25" t="n">
        <x:v>10589.57606385049</x:v>
      </x:c>
      <x:c r="J81" s="25" t="n">
        <x:v>27000.201063850487</x:v>
      </x:c>
      <x:c r="K81" s="25" t="n">
        <x:v>5.1987166653811085</x:v>
      </x:c>
      <x:c r="L81" s="25" t="n">
        <x:v>65.75</x:v>
      </x:c>
      <x:c r="M81" s="34" t="b">
        <x:v>0</x:v>
      </x:c>
      <x:c r="N81" s="25" t="n">
        <x:v>-10.304236499230074</x:v>
      </x:c>
    </x:row>
    <x:row r="82" ht="15" hidden="0" customHeight="1">
      <x:c r="A82" s="25" t="n">
        <x:v>6</x:v>
      </x:c>
      <x:c r="B82" s="25" t="n">
        <x:v>4</x:v>
      </x:c>
      <x:c r="C82" s="25" t="n">
        <x:v>3</x:v>
      </x:c>
      <x:c r="D82" s="25" t="n">
        <x:v>30</x:v>
      </x:c>
      <x:c r="E82" s="25" t="str">
        <x:v>Équilibré</x:v>
      </x:c>
      <x:c r="F82" s="25" t="n">
        <x:v>1</x:v>
      </x:c>
      <x:c r="G82" s="25" t="n">
        <x:v>0.19069176808590324</x:v>
      </x:c>
      <x:c r="H82" s="25" t="n">
        <x:v>-1.3558433564958172</x:v>
      </x:c>
      <x:c r="I82" s="25" t="n">
        <x:v>9475.2237685888</x:v>
      </x:c>
      <x:c r="J82" s="25" t="n">
        <x:v>25885.848768588792</x:v>
      </x:c>
      <x:c r="K82" s="25" t="n">
        <x:v>5.1987166653811085</x:v>
      </x:c>
      <x:c r="L82" s="25" t="n">
        <x:v>65.25</x:v>
      </x:c>
      <x:c r="M82" s="34" t="b">
        <x:v>0</x:v>
      </x:c>
      <x:c r="N82" s="25" t="n">
        <x:v>-10.358036667670756</x:v>
      </x:c>
    </x:row>
    <x:row r="83" ht="15" hidden="0" customHeight="1">
      <x:c r="A83" s="25" t="n">
        <x:v>8</x:v>
      </x:c>
      <x:c r="B83" s="25" t="n">
        <x:v>2</x:v>
      </x:c>
      <x:c r="C83" s="25" t="n">
        <x:v>3</x:v>
      </x:c>
      <x:c r="D83" s="25" t="n">
        <x:v>35</x:v>
      </x:c>
      <x:c r="E83" s="25" t="str">
        <x:v>Conservateur</x:v>
      </x:c>
      <x:c r="F83" s="25" t="n">
        <x:v>1.2</x:v>
      </x:c>
      <x:c r="G83" s="25" t="n">
        <x:v>0.1977921664342722</x:v>
      </x:c>
      <x:c r="H83" s="25" t="n">
        <x:v>-1.40025423285207</x:v>
      </x:c>
      <x:c r="I83" s="25" t="n">
        <x:v>10589.57606385049</x:v>
      </x:c>
      <x:c r="J83" s="25" t="n">
        <x:v>27000.201063850487</x:v>
      </x:c>
      <x:c r="K83" s="25" t="n">
        <x:v>6.238459998457328</x:v>
      </x:c>
      <x:c r="L83" s="25" t="n">
        <x:v>68.75</x:v>
      </x:c>
      <x:c r="M83" s="34" t="b">
        <x:v>0</x:v>
      </x:c>
      <x:c r="N83" s="25" t="n">
        <x:v>-10.377786667416775</x:v>
      </x:c>
    </x:row>
    <x:row r="84" ht="15" hidden="0" customHeight="1">
      <x:c r="A84" s="25" t="n">
        <x:v>8</x:v>
      </x:c>
      <x:c r="B84" s="25" t="n">
        <x:v>4</x:v>
      </x:c>
      <x:c r="C84" s="25" t="n">
        <x:v>2</x:v>
      </x:c>
      <x:c r="D84" s="25" t="n">
        <x:v>30</x:v>
      </x:c>
      <x:c r="E84" s="25" t="str">
        <x:v>Conservateur</x:v>
      </x:c>
      <x:c r="F84" s="25" t="n">
        <x:v>1</x:v>
      </x:c>
      <x:c r="G84" s="25" t="n">
        <x:v>0.1518669795216529</x:v>
      </x:c>
      <x:c r="H84" s="25" t="n">
        <x:v>-1.215302415603123</x:v>
      </x:c>
      <x:c r="I84" s="25" t="n">
        <x:v>7367.681545349016</x:v>
      </x:c>
      <x:c r="J84" s="25" t="n">
        <x:v>23778.306545349016</x:v>
      </x:c>
      <x:c r="K84" s="25" t="n">
        <x:v>5.1987166653811085</x:v>
      </x:c>
      <x:c r="L84" s="25" t="n">
        <x:v>58.25</x:v>
      </x:c>
      <x:c r="M84" s="34" t="b">
        <x:v>0</x:v>
      </x:c>
      <x:c r="N84" s="25" t="n">
        <x:v>-10.379876516387162</x:v>
      </x:c>
    </x:row>
    <x:row r="85" ht="15" hidden="0" customHeight="1">
      <x:c r="A85" s="25" t="n">
        <x:v>6</x:v>
      </x:c>
      <x:c r="B85" s="25" t="n">
        <x:v>4</x:v>
      </x:c>
      <x:c r="C85" s="25" t="n">
        <x:v>3</x:v>
      </x:c>
      <x:c r="D85" s="25" t="n">
        <x:v>30</x:v>
      </x:c>
      <x:c r="E85" s="25" t="str">
        <x:v>Équilibré</x:v>
      </x:c>
      <x:c r="F85" s="25" t="n">
        <x:v>1.2</x:v>
      </x:c>
      <x:c r="G85" s="25" t="n">
        <x:v>0.19069176808590324</x:v>
      </x:c>
      <x:c r="H85" s="25" t="n">
        <x:v>-1.3816991874740838</x:v>
      </x:c>
      <x:c r="I85" s="25" t="n">
        <x:v>9475.2237685888</x:v>
      </x:c>
      <x:c r="J85" s="25" t="n">
        <x:v>25885.848768588792</x:v>
      </x:c>
      <x:c r="K85" s="25" t="n">
        <x:v>6.238459998457328</x:v>
      </x:c>
      <x:c r="L85" s="25" t="n">
        <x:v>68.25</x:v>
      </x:c>
      <x:c r="M85" s="34" t="b">
        <x:v>0</x:v>
      </x:c>
      <x:c r="N85" s="25" t="n">
        <x:v>-10.40443244212742</x:v>
      </x:c>
    </x:row>
    <x:row r="86" ht="15" hidden="0" customHeight="1">
      <x:c r="A86" s="25" t="n">
        <x:v>8</x:v>
      </x:c>
      <x:c r="B86" s="25" t="n">
        <x:v>3</x:v>
      </x:c>
      <x:c r="C86" s="25" t="n">
        <x:v>2</x:v>
      </x:c>
      <x:c r="D86" s="25" t="n">
        <x:v>30</x:v>
      </x:c>
      <x:c r="E86" s="25" t="str">
        <x:v>Conservateur</x:v>
      </x:c>
      <x:c r="F86" s="25" t="n">
        <x:v>0.8</x:v>
      </x:c>
      <x:c r="G86" s="25" t="n">
        <x:v>0.14667998150174139</x:v>
      </x:c>
      <x:c r="H86" s="25" t="n">
        <x:v>-1.2239704850657598</x:v>
      </x:c>
      <x:c r="I86" s="25" t="n">
        <x:v>7431.916294162429</x:v>
      </x:c>
      <x:c r="J86" s="25" t="n">
        <x:v>23842.541294162427</x:v>
      </x:c>
      <x:c r="K86" s="25" t="n">
        <x:v>4.158973332304886</x:v>
      </x:c>
      <x:c r="L86" s="25" t="n">
        <x:v>60.25</x:v>
      </x:c>
      <x:c r="M86" s="34" t="b">
        <x:v>0</x:v>
      </x:c>
      <x:c r="N86" s="25" t="n">
        <x:v>-10.48186314404822</x:v>
      </x:c>
    </x:row>
    <x:row r="87" ht="15" hidden="0" customHeight="1">
      <x:c r="A87" s="25" t="n">
        <x:v>8</x:v>
      </x:c>
      <x:c r="B87" s="25" t="n">
        <x:v>2</x:v>
      </x:c>
      <x:c r="C87" s="25" t="n">
        <x:v>3</x:v>
      </x:c>
      <x:c r="D87" s="25" t="n">
        <x:v>30</x:v>
      </x:c>
      <x:c r="E87" s="25" t="str">
        <x:v>Équilibré</x:v>
      </x:c>
      <x:c r="F87" s="25" t="n">
        <x:v>1</x:v>
      </x:c>
      <x:c r="G87" s="25" t="n">
        <x:v>0.19766592568413635</x:v>
      </x:c>
      <x:c r="H87" s="25" t="n">
        <x:v>-1.3971527165776358</x:v>
      </x:c>
      <x:c r="I87" s="25" t="n">
        <x:v>10950.4463864896</x:v>
      </x:c>
      <x:c r="J87" s="25" t="n">
        <x:v>27361.071386489588</x:v>
      </x:c>
      <x:c r="K87" s="25" t="n">
        <x:v>5.1987166653811085</x:v>
      </x:c>
      <x:c r="L87" s="25" t="n">
        <x:v>67.25</x:v>
      </x:c>
      <x:c r="M87" s="34" t="b">
        <x:v>0</x:v>
      </x:c>
      <x:c r="N87" s="25" t="n">
        <x:v>-10.607192001813397</x:v>
      </x:c>
    </x:row>
    <x:row r="88" ht="15" hidden="0" customHeight="1">
      <x:c r="A88" s="25" t="n">
        <x:v>8</x:v>
      </x:c>
      <x:c r="B88" s="25" t="n">
        <x:v>2</x:v>
      </x:c>
      <x:c r="C88" s="25" t="n">
        <x:v>3</x:v>
      </x:c>
      <x:c r="D88" s="25" t="n">
        <x:v>30</x:v>
      </x:c>
      <x:c r="E88" s="25" t="str">
        <x:v>Équilibré</x:v>
      </x:c>
      <x:c r="F88" s="25" t="n">
        <x:v>1.2</x:v>
      </x:c>
      <x:c r="G88" s="25" t="n">
        <x:v>0.19766592568413635</x:v>
      </x:c>
      <x:c r="H88" s="25" t="n">
        <x:v>-1.4247569329514893</x:v>
      </x:c>
      <x:c r="I88" s="25" t="n">
        <x:v>10950.4463864896</x:v>
      </x:c>
      <x:c r="J88" s="25" t="n">
        <x:v>27361.071386489588</x:v>
      </x:c>
      <x:c r="K88" s="25" t="n">
        <x:v>6.238459998457328</x:v>
      </x:c>
      <x:c r="L88" s="25" t="n">
        <x:v>70.25</x:v>
      </x:c>
      <x:c r="M88" s="34" t="b">
        <x:v>0</x:v>
      </x:c>
      <x:c r="N88" s="25" t="n">
        <x:v>-10.697297411159735</x:v>
      </x:c>
    </x:row>
    <x:row r="89" ht="15" hidden="0" customHeight="1">
      <x:c r="A89" s="25" t="n">
        <x:v>10</x:v>
      </x:c>
      <x:c r="B89" s="25" t="n">
        <x:v>3</x:v>
      </x:c>
      <x:c r="C89" s="25" t="n">
        <x:v>2</x:v>
      </x:c>
      <x:c r="D89" s="25" t="n">
        <x:v>30</x:v>
      </x:c>
      <x:c r="E89" s="25" t="str">
        <x:v>Conservateur</x:v>
      </x:c>
      <x:c r="F89" s="25" t="n">
        <x:v>1.2</x:v>
      </x:c>
      <x:c r="G89" s="25" t="n">
        <x:v>0.15577266725569464</x:v>
      </x:c>
      <x:c r="H89" s="25" t="n">
        <x:v>-1.247918339692388</x:v>
      </x:c>
      <x:c r="I89" s="25" t="n">
        <x:v>7892.620466065406</x:v>
      </x:c>
      <x:c r="J89" s="25" t="n">
        <x:v>24303.2454660654</x:v>
      </x:c>
      <x:c r="K89" s="25" t="n">
        <x:v>6.238459998457328</x:v>
      </x:c>
      <x:c r="L89" s="25" t="n">
        <x:v>58.25</x:v>
      </x:c>
      <x:c r="M89" s="34" t="b">
        <x:v>0</x:v>
      </x:c>
      <x:c r="N89" s="25" t="n">
        <x:v>-10.980461793246496</x:v>
      </x:c>
    </x:row>
    <x:row r="90" ht="15" hidden="0" customHeight="1">
      <x:c r="A90" s="25" t="n">
        <x:v>6</x:v>
      </x:c>
      <x:c r="B90" s="25" t="n">
        <x:v>3</x:v>
      </x:c>
      <x:c r="C90" s="25" t="n">
        <x:v>3</x:v>
      </x:c>
      <x:c r="D90" s="25" t="n">
        <x:v>35</x:v>
      </x:c>
      <x:c r="E90" s="25" t="str">
        <x:v>Conservateur</x:v>
      </x:c>
      <x:c r="F90" s="25" t="n">
        <x:v>1</x:v>
      </x:c>
      <x:c r="G90" s="25" t="n">
        <x:v>0.18617497368930647</x:v>
      </x:c>
      <x:c r="H90" s="25" t="n">
        <x:v>-1.4007158328117584</x:v>
      </x:c>
      <x:c r="I90" s="25" t="n">
        <x:v>9433.031054141438</x:v>
      </x:c>
      <x:c r="J90" s="25" t="n">
        <x:v>25843.656054141433</x:v>
      </x:c>
      <x:c r="K90" s="25" t="n">
        <x:v>5.1987166653811085</x:v>
      </x:c>
      <x:c r="L90" s="25" t="n">
        <x:v>68.75</x:v>
      </x:c>
      <x:c r="M90" s="34" t="b">
        <x:v>0</x:v>
      </x:c>
      <x:c r="N90" s="25" t="n">
        <x:v>-11.028272267382103</x:v>
      </x:c>
    </x:row>
    <x:row r="91" ht="15" hidden="0" customHeight="1">
      <x:c r="A91" s="25" t="n">
        <x:v>10</x:v>
      </x:c>
      <x:c r="B91" s="25" t="n">
        <x:v>3</x:v>
      </x:c>
      <x:c r="C91" s="25" t="n">
        <x:v>2</x:v>
      </x:c>
      <x:c r="D91" s="25" t="n">
        <x:v>30</x:v>
      </x:c>
      <x:c r="E91" s="25" t="str">
        <x:v>Conservateur</x:v>
      </x:c>
      <x:c r="F91" s="25" t="n">
        <x:v>1</x:v>
      </x:c>
      <x:c r="G91" s="25" t="n">
        <x:v>0.15577266725569464</x:v>
      </x:c>
      <x:c r="H91" s="25" t="n">
        <x:v>-1.2271983861202524</x:v>
      </x:c>
      <x:c r="I91" s="25" t="n">
        <x:v>7892.620466065406</x:v>
      </x:c>
      <x:c r="J91" s="25" t="n">
        <x:v>24303.2454660654</x:v>
      </x:c>
      <x:c r="K91" s="25" t="n">
        <x:v>5.1987166653811085</x:v>
      </x:c>
      <x:c r="L91" s="25" t="n">
        <x:v>55.25</x:v>
      </x:c>
      <x:c r="M91" s="34" t="b">
        <x:v>0</x:v>
      </x:c>
      <x:c r="N91" s="25" t="n">
        <x:v>-11.062462953943104</x:v>
      </x:c>
    </x:row>
    <x:row r="92" ht="15" hidden="0" customHeight="1">
      <x:c r="A92" s="25" t="n">
        <x:v>6</x:v>
      </x:c>
      <x:c r="B92" s="25" t="n">
        <x:v>3</x:v>
      </x:c>
      <x:c r="C92" s="25" t="n">
        <x:v>3</x:v>
      </x:c>
      <x:c r="D92" s="25" t="n">
        <x:v>35</x:v>
      </x:c>
      <x:c r="E92" s="25" t="str">
        <x:v>Conservateur</x:v>
      </x:c>
      <x:c r="F92" s="25" t="n">
        <x:v>1.2</x:v>
      </x:c>
      <x:c r="G92" s="25" t="n">
        <x:v>0.18617497368930647</x:v>
      </x:c>
      <x:c r="H92" s="25" t="n">
        <x:v>-1.4275567104939424</x:v>
      </x:c>
      <x:c r="I92" s="25" t="n">
        <x:v>9433.031054141438</x:v>
      </x:c>
      <x:c r="J92" s="25" t="n">
        <x:v>25843.656054141433</x:v>
      </x:c>
      <x:c r="K92" s="25" t="n">
        <x:v>6.238459998457328</x:v>
      </x:c>
      <x:c r="L92" s="25" t="n">
        <x:v>71.75</x:v>
      </x:c>
      <x:c r="M92" s="34" t="b">
        <x:v>0</x:v>
      </x:c>
      <x:c r="N92" s="25" t="n">
        <x:v>-11.099294209436703</x:v>
      </x:c>
    </x:row>
    <x:row r="93" ht="15" hidden="0" customHeight="1">
      <x:c r="A93" s="25" t="n">
        <x:v>8</x:v>
      </x:c>
      <x:c r="B93" s="25" t="n">
        <x:v>3</x:v>
      </x:c>
      <x:c r="C93" s="25" t="n">
        <x:v>3</x:v>
      </x:c>
      <x:c r="D93" s="25" t="n">
        <x:v>40</x:v>
      </x:c>
      <x:c r="E93" s="25" t="str">
        <x:v>Conservateur</x:v>
      </x:c>
      <x:c r="F93" s="25" t="n">
        <x:v>0.8</x:v>
      </x:c>
      <x:c r="G93" s="25" t="n">
        <x:v>0.18859719702684377</x:v>
      </x:c>
      <x:c r="H93" s="25" t="n">
        <x:v>-1.3551668869452875</x:v>
      </x:c>
      <x:c r="I93" s="25" t="n">
        <x:v>9555.759192678395</x:v>
      </x:c>
      <x:c r="J93" s="25" t="n">
        <x:v>25966.38419267839</x:v>
      </x:c>
      <x:c r="K93" s="25" t="n">
        <x:v>4.158973332304886</x:v>
      </x:c>
      <x:c r="L93" s="25" t="n">
        <x:v>61.25</x:v>
      </x:c>
      <x:c r="M93" s="34" t="b">
        <x:v>0</x:v>
      </x:c>
      <x:c r="N93" s="25" t="n">
        <x:v>-11.256326337155777</x:v>
      </x:c>
    </x:row>
    <x:row r="94" ht="15" hidden="0" customHeight="1">
      <x:c r="A94" s="25" t="n">
        <x:v>10</x:v>
      </x:c>
      <x:c r="B94" s="25" t="n">
        <x:v>2</x:v>
      </x:c>
      <x:c r="C94" s="25" t="n">
        <x:v>2</x:v>
      </x:c>
      <x:c r="D94" s="25" t="n">
        <x:v>30</x:v>
      </x:c>
      <x:c r="E94" s="25" t="str">
        <x:v>Conservateur</x:v>
      </x:c>
      <x:c r="F94" s="25" t="n">
        <x:v>0.8</x:v>
      </x:c>
      <x:c r="G94" s="25" t="n">
        <x:v>0.14724997093456807</x:v>
      </x:c>
      <x:c r="H94" s="25" t="n">
        <x:v>-1.2363077329630876</x:v>
      </x:c>
      <x:c r="I94" s="25" t="n">
        <x:v>7883.602246348591</x:v>
      </x:c>
      <x:c r="J94" s="25" t="n">
        <x:v>24294.227246348586</x:v>
      </x:c>
      <x:c r="K94" s="25" t="n">
        <x:v>4.158973332304886</x:v>
      </x:c>
      <x:c r="L94" s="25" t="n">
        <x:v>57.25</x:v>
      </x:c>
      <x:c r="M94" s="34" t="b">
        <x:v>0</x:v>
      </x:c>
      <x:c r="N94" s="25" t="n">
        <x:v>-11.358944922675947</x:v>
      </x:c>
    </x:row>
    <x:row r="95" ht="15" hidden="0" customHeight="1">
      <x:c r="A95" s="25" t="n">
        <x:v>6</x:v>
      </x:c>
      <x:c r="B95" s="25" t="n">
        <x:v>4</x:v>
      </x:c>
      <x:c r="C95" s="25" t="n">
        <x:v>2</x:v>
      </x:c>
      <x:c r="D95" s="25" t="n">
        <x:v>30</x:v>
      </x:c>
      <x:c r="E95" s="25" t="str">
        <x:v>Conservateur</x:v>
      </x:c>
      <x:c r="F95" s="25" t="n">
        <x:v>0.8</x:v>
      </x:c>
      <x:c r="G95" s="25" t="n">
        <x:v>0.13257299835690095</x:v>
      </x:c>
      <x:c r="H95" s="25" t="n">
        <x:v>-1.2576365954473414</x:v>
      </x:c>
      <x:c r="I95" s="25" t="n">
        <x:v>6431.652466403736</x:v>
      </x:c>
      <x:c r="J95" s="25" t="n">
        <x:v>22842.27746640373</x:v>
      </x:c>
      <x:c r="K95" s="25" t="n">
        <x:v>4.158973332304886</x:v>
      </x:c>
      <x:c r="L95" s="25" t="n">
        <x:v>63.25</x:v>
      </x:c>
      <x:c r="M95" s="34" t="b">
        <x:v>0</x:v>
      </x:c>
      <x:c r="N95" s="25" t="n">
        <x:v>-11.499399976553983</x:v>
      </x:c>
    </x:row>
    <x:row r="96" ht="15" hidden="0" customHeight="1">
      <x:c r="A96" s="25" t="n">
        <x:v>8</x:v>
      </x:c>
      <x:c r="B96" s="25" t="n">
        <x:v>4</x:v>
      </x:c>
      <x:c r="C96" s="25" t="n">
        <x:v>3</x:v>
      </x:c>
      <x:c r="D96" s="25" t="n">
        <x:v>40</x:v>
      </x:c>
      <x:c r="E96" s="25" t="str">
        <x:v>Conservateur</x:v>
      </x:c>
      <x:c r="F96" s="25" t="n">
        <x:v>1</x:v>
      </x:c>
      <x:c r="G96" s="25" t="n">
        <x:v>0.18879908785518756</x:v>
      </x:c>
      <x:c r="H96" s="25" t="n">
        <x:v>-1.3550349094958676</x:v>
      </x:c>
      <x:c r="I96" s="25" t="n">
        <x:v>9159.40752723712</x:v>
      </x:c>
      <x:c r="J96" s="25" t="n">
        <x:v>25570.032527237112</x:v>
      </x:c>
      <x:c r="K96" s="25" t="n">
        <x:v>5.1987166653811085</x:v>
      </x:c>
      <x:c r="L96" s="25" t="n">
        <x:v>59.25</x:v>
      </x:c>
      <x:c r="M96" s="34" t="b">
        <x:v>0</x:v>
      </x:c>
      <x:c r="N96" s="25" t="n">
        <x:v>-11.641922905361373</x:v>
      </x:c>
    </x:row>
    <x:row r="97" ht="15" hidden="0" customHeight="1">
      <x:c r="A97" s="25" t="n">
        <x:v>6</x:v>
      </x:c>
      <x:c r="B97" s="25" t="n">
        <x:v>3</x:v>
      </x:c>
      <x:c r="C97" s="25" t="n">
        <x:v>3</x:v>
      </x:c>
      <x:c r="D97" s="25" t="n">
        <x:v>30</x:v>
      </x:c>
      <x:c r="E97" s="25" t="str">
        <x:v>Équilibré</x:v>
      </x:c>
      <x:c r="F97" s="25" t="n">
        <x:v>1</x:v>
      </x:c>
      <x:c r="G97" s="25" t="n">
        <x:v>0.18374378486792017</x:v>
      </x:c>
      <x:c r="H97" s="25" t="n">
        <x:v>-1.4336503479937914</x:v>
      </x:c>
      <x:c r="I97" s="25" t="n">
        <x:v>9579.640243744001</x:v>
      </x:c>
      <x:c r="J97" s="25" t="n">
        <x:v>25990.26524374399</x:v>
      </x:c>
      <x:c r="K97" s="25" t="n">
        <x:v>5.1987166653811085</x:v>
      </x:c>
      <x:c r="L97" s="25" t="n">
        <x:v>70.25</x:v>
      </x:c>
      <x:c r="M97" s="34" t="b">
        <x:v>0</x:v>
      </x:c>
      <x:c r="N97" s="25" t="n">
        <x:v>-11.685350532109176</x:v>
      </x:c>
    </x:row>
    <x:row r="98" ht="15" hidden="0" customHeight="1">
      <x:c r="A98" s="25" t="n">
        <x:v>8</x:v>
      </x:c>
      <x:c r="B98" s="25" t="n">
        <x:v>4</x:v>
      </x:c>
      <x:c r="C98" s="25" t="n">
        <x:v>3</x:v>
      </x:c>
      <x:c r="D98" s="25" t="n">
        <x:v>40</x:v>
      </x:c>
      <x:c r="E98" s="25" t="str">
        <x:v>Conservateur</x:v>
      </x:c>
      <x:c r="F98" s="25" t="n">
        <x:v>1.2</x:v>
      </x:c>
      <x:c r="G98" s="25" t="n">
        <x:v>0.18879908785518756</x:v>
      </x:c>
      <x:c r="H98" s="25" t="n">
        <x:v>-1.3807853301577067</x:v>
      </x:c>
      <x:c r="I98" s="25" t="n">
        <x:v>9159.40752723712</x:v>
      </x:c>
      <x:c r="J98" s="25" t="n">
        <x:v>25570.032527237112</x:v>
      </x:c>
      <x:c r="K98" s="25" t="n">
        <x:v>6.238459998457328</x:v>
      </x:c>
      <x:c r="L98" s="25" t="n">
        <x:v>62.25</x:v>
      </x:c>
      <x:c r="M98" s="34" t="b">
        <x:v>0</x:v>
      </x:c>
      <x:c r="N98" s="25" t="n">
        <x:v>-11.685683421907347</x:v>
      </x:c>
    </x:row>
    <x:row r="99" ht="15" hidden="0" customHeight="1">
      <x:c r="A99" s="25" t="n">
        <x:v>6</x:v>
      </x:c>
      <x:c r="B99" s="25" t="n">
        <x:v>3</x:v>
      </x:c>
      <x:c r="C99" s="25" t="n">
        <x:v>3</x:v>
      </x:c>
      <x:c r="D99" s="25" t="n">
        <x:v>30</x:v>
      </x:c>
      <x:c r="E99" s="25" t="str">
        <x:v>Équilibré</x:v>
      </x:c>
      <x:c r="F99" s="25" t="n">
        <x:v>1.2</x:v>
      </x:c>
      <x:c r="G99" s="25" t="n">
        <x:v>0.18374378486792017</x:v>
      </x:c>
      <x:c r="H99" s="25" t="n">
        <x:v>-1.4612715119407589</x:v>
      </x:c>
      <x:c r="I99" s="25" t="n">
        <x:v>9579.640243744001</x:v>
      </x:c>
      <x:c r="J99" s="25" t="n">
        <x:v>25990.26524374399</x:v>
      </x:c>
      <x:c r="K99" s="25" t="n">
        <x:v>6.238459998457328</x:v>
      </x:c>
      <x:c r="L99" s="25" t="n">
        <x:v>73.25</x:v>
      </x:c>
      <x:c r="M99" s="34" t="b">
        <x:v>0</x:v>
      </x:c>
      <x:c r="N99" s="25" t="n">
        <x:v>-11.77587963078336</x:v>
      </x:c>
    </x:row>
    <x:row r="100" ht="15" hidden="0" customHeight="1">
      <x:c r="A100" s="25" t="n">
        <x:v>10</x:v>
      </x:c>
      <x:c r="B100" s="25" t="n">
        <x:v>4</x:v>
      </x:c>
      <x:c r="C100" s="25" t="n">
        <x:v>1.5</x:v>
      </x:c>
      <x:c r="D100" s="25" t="n">
        <x:v>30</x:v>
      </x:c>
      <x:c r="E100" s="25" t="str">
        <x:v>Conservateur</x:v>
      </x:c>
      <x:c r="F100" s="25" t="n">
        <x:v>0.8</x:v>
      </x:c>
      <x:c r="G100" s="25" t="n">
        <x:v>0.1310535746325081</x:v>
      </x:c>
      <x:c r="H100" s="25" t="n">
        <x:v>-1.1621594258046002</x:v>
      </x:c>
      <x:c r="I100" s="25" t="n">
        <x:v>6357.939074795928</x:v>
      </x:c>
      <x:c r="J100" s="25" t="n">
        <x:v>22768.564074795926</x:v>
      </x:c>
      <x:c r="K100" s="25" t="n">
        <x:v>4.158973332304886</x:v>
      </x:c>
      <x:c r="L100" s="25" t="n">
        <x:v>50.25</x:v>
      </x:c>
      <x:c r="M100" s="34" t="b">
        <x:v>0</x:v>
      </x:c>
      <x:c r="N100" s="25" t="n">
        <x:v>-11.79603904032706</x:v>
      </x:c>
    </x:row>
    <x:row r="101" ht="15" hidden="0" customHeight="1">
      <x:c r="A101" s="25" t="n">
        <x:v>8</x:v>
      </x:c>
      <x:c r="B101" s="25" t="n">
        <x:v>4</x:v>
      </x:c>
      <x:c r="C101" s="25" t="n">
        <x:v>3</x:v>
      </x:c>
      <x:c r="D101" s="25" t="n">
        <x:v>35</x:v>
      </x:c>
      <x:c r="E101" s="25" t="str">
        <x:v>Équilibré</x:v>
      </x:c>
      <x:c r="F101" s="25" t="n">
        <x:v>0.8</x:v>
      </x:c>
      <x:c r="G101" s="25" t="n">
        <x:v>0.1859412847041564</x:v>
      </x:c>
      <x:c r="H101" s="25" t="n">
        <x:v>-1.350878220467207</x:v>
      </x:c>
      <x:c r="I101" s="25" t="n">
        <x:v>9239.178481983996</x:v>
      </x:c>
      <x:c r="J101" s="25" t="n">
        <x:v>25649.803481983992</x:v>
      </x:c>
      <x:c r="K101" s="25" t="n">
        <x:v>4.158973332304886</x:v>
      </x:c>
      <x:c r="L101" s="25" t="n">
        <x:v>57.75</x:v>
      </x:c>
      <x:c r="M101" s="34" t="b">
        <x:v>0</x:v>
      </x:c>
      <x:c r="N101" s="25" t="n">
        <x:v>-11.99518485295157</x:v>
      </x:c>
    </x:row>
    <x:row r="102" ht="15" hidden="0" customHeight="1">
      <x:c r="A102" s="25" t="n">
        <x:v>10</x:v>
      </x:c>
      <x:c r="B102" s="25" t="n">
        <x:v>2</x:v>
      </x:c>
      <x:c r="C102" s="25" t="n">
        <x:v>3</x:v>
      </x:c>
      <x:c r="D102" s="25" t="n">
        <x:v>40</x:v>
      </x:c>
      <x:c r="E102" s="25" t="str">
        <x:v>Conservateur</x:v>
      </x:c>
      <x:c r="F102" s="25" t="n">
        <x:v>0.8</x:v>
      </x:c>
      <x:c r="G102" s="25" t="n">
        <x:v>0.19087021447313088</x:v>
      </x:c>
      <x:c r="H102" s="25" t="n">
        <x:v>-1.3729601167391983</x:v>
      </x:c>
      <x:c r="I102" s="25" t="n">
        <x:v>10218.982333450236</x:v>
      </x:c>
      <x:c r="J102" s="25" t="n">
        <x:v>26629.607333450233</x:v>
      </x:c>
      <x:c r="K102" s="25" t="n">
        <x:v>4.158973332304886</x:v>
      </x:c>
      <x:c r="L102" s="25" t="n">
        <x:v>58.25</x:v>
      </x:c>
      <x:c r="M102" s="34" t="b">
        <x:v>0</x:v>
      </x:c>
      <x:c r="N102" s="25" t="n">
        <x:v>-12.176141122457755</x:v>
      </x:c>
    </x:row>
    <x:row r="103" ht="15" hidden="0" customHeight="1">
      <x:c r="A103" s="25" t="n">
        <x:v>6</x:v>
      </x:c>
      <x:c r="B103" s="25" t="n">
        <x:v>4</x:v>
      </x:c>
      <x:c r="C103" s="25" t="n">
        <x:v>3</x:v>
      </x:c>
      <x:c r="D103" s="25" t="n">
        <x:v>40</x:v>
      </x:c>
      <x:c r="E103" s="25" t="str">
        <x:v>Conservateur</x:v>
      </x:c>
      <x:c r="F103" s="25" t="n">
        <x:v>0.8</x:v>
      </x:c>
      <x:c r="G103" s="25" t="n">
        <x:v>0.1744064247067894</x:v>
      </x:c>
      <x:c r="H103" s="25" t="n">
        <x:v>-1.3876354763812118</x:v>
      </x:c>
      <x:c r="I103" s="25" t="n">
        <x:v>8461.161213253117</x:v>
      </x:c>
      <x:c r="J103" s="25" t="n">
        <x:v>24871.78621325311</x:v>
      </x:c>
      <x:c r="K103" s="25" t="n">
        <x:v>4.158973332304886</x:v>
      </x:c>
      <x:c r="L103" s="25" t="n">
        <x:v>64.25</x:v>
      </x:c>
      <x:c r="M103" s="34" t="b">
        <x:v>0</x:v>
      </x:c>
      <x:c r="N103" s="25" t="n">
        <x:v>-12.248533550656873</x:v>
      </x:c>
    </x:row>
    <x:row r="104" ht="15" hidden="0" customHeight="1">
      <x:c r="A104" s="25" t="n">
        <x:v>8</x:v>
      </x:c>
      <x:c r="B104" s="25" t="n">
        <x:v>3</x:v>
      </x:c>
      <x:c r="C104" s="25" t="n">
        <x:v>2</x:v>
      </x:c>
      <x:c r="D104" s="25" t="n">
        <x:v>30</x:v>
      </x:c>
      <x:c r="E104" s="25" t="str">
        <x:v>Conservateur</x:v>
      </x:c>
      <x:c r="F104" s="25" t="n">
        <x:v>1.2</x:v>
      </x:c>
      <x:c r="G104" s="25" t="n">
        <x:v>0.13794168150048142</x:v>
      </x:c>
      <x:c r="H104" s="25" t="n">
        <x:v>-1.325057109336157</x:v>
      </x:c>
      <x:c r="I104" s="25" t="n">
        <x:v>6989.167982513149</x:v>
      </x:c>
      <x:c r="J104" s="25" t="n">
        <x:v>23399.792982513147</x:v>
      </x:c>
      <x:c r="K104" s="25" t="n">
        <x:v>6.238459998457328</x:v>
      </x:c>
      <x:c r="L104" s="25" t="n">
        <x:v>66.25</x:v>
      </x:c>
      <x:c r="M104" s="34" t="b">
        <x:v>0</x:v>
      </x:c>
      <x:c r="N104" s="25" t="n">
        <x:v>-12.289635250877446</x:v>
      </x:c>
    </x:row>
    <x:row r="105" ht="15" hidden="0" customHeight="1">
      <x:c r="A105" s="25" t="n">
        <x:v>8</x:v>
      </x:c>
      <x:c r="B105" s="25" t="n">
        <x:v>3</x:v>
      </x:c>
      <x:c r="C105" s="25" t="n">
        <x:v>2</x:v>
      </x:c>
      <x:c r="D105" s="25" t="n">
        <x:v>30</x:v>
      </x:c>
      <x:c r="E105" s="25" t="str">
        <x:v>Conservateur</x:v>
      </x:c>
      <x:c r="F105" s="25" t="n">
        <x:v>1</x:v>
      </x:c>
      <x:c r="G105" s="25" t="n">
        <x:v>0.13794168150048142</x:v>
      </x:c>
      <x:c r="H105" s="25" t="n">
        <x:v>-1.3033202995963853</x:v>
      </x:c>
      <x:c r="I105" s="25" t="n">
        <x:v>6989.167982513149</x:v>
      </x:c>
      <x:c r="J105" s="25" t="n">
        <x:v>23399.792982513147</x:v>
      </x:c>
      <x:c r="K105" s="25" t="n">
        <x:v>5.1987166653811085</x:v>
      </x:c>
      <x:c r="L105" s="25" t="n">
        <x:v>63.25</x:v>
      </x:c>
      <x:c r="M105" s="34" t="b">
        <x:v>0</x:v>
      </x:c>
      <x:c r="N105" s="25" t="n">
        <x:v>-12.346215007383156</x:v>
      </x:c>
    </x:row>
    <x:row r="106" ht="15" hidden="0" customHeight="1">
      <x:c r="A106" s="25" t="n">
        <x:v>8</x:v>
      </x:c>
      <x:c r="B106" s="25" t="n">
        <x:v>2</x:v>
      </x:c>
      <x:c r="C106" s="25" t="n">
        <x:v>2</x:v>
      </x:c>
      <x:c r="D106" s="25" t="n">
        <x:v>30</x:v>
      </x:c>
      <x:c r="E106" s="25" t="str">
        <x:v>Conservateur</x:v>
      </x:c>
      <x:c r="F106" s="25" t="n">
        <x:v>0.8</x:v>
      </x:c>
      <x:c r="G106" s="25" t="n">
        <x:v>0.1307759853930375</x:v>
      </x:c>
      <x:c r="H106" s="25" t="n">
        <x:v>-1.304133917478616</x:v>
      </x:c>
      <x:c r="I106" s="25" t="n">
        <x:v>7001.603094856496</x:v>
      </x:c>
      <x:c r="J106" s="25" t="n">
        <x:v>23412.22809485649</x:v>
      </x:c>
      <x:c r="K106" s="25" t="n">
        <x:v>4.158973332304886</x:v>
      </x:c>
      <x:c r="L106" s="25" t="n">
        <x:v>65.25</x:v>
      </x:c>
      <x:c r="M106" s="34" t="b">
        <x:v>0</x:v>
      </x:c>
      <x:c r="N106" s="25" t="n">
        <x:v>-12.360668740348334</x:v>
      </x:c>
    </x:row>
    <x:row r="107" ht="15" hidden="0" customHeight="1">
      <x:c r="A107" s="25" t="n">
        <x:v>10</x:v>
      </x:c>
      <x:c r="B107" s="25" t="n">
        <x:v>3</x:v>
      </x:c>
      <x:c r="C107" s="25" t="n">
        <x:v>3</x:v>
      </x:c>
      <x:c r="D107" s="25" t="n">
        <x:v>40</x:v>
      </x:c>
      <x:c r="E107" s="25" t="str">
        <x:v>Conservateur</x:v>
      </x:c>
      <x:c r="F107" s="25" t="n">
        <x:v>1</x:v>
      </x:c>
      <x:c r="G107" s="25" t="n">
        <x:v>0.19365208972873937</x:v>
      </x:c>
      <x:c r="H107" s="25" t="n">
        <x:v>-1.3728699902641381</x:v>
      </x:c>
      <x:c r="I107" s="25" t="n">
        <x:v>9811.878255769596</x:v>
      </x:c>
      <x:c r="J107" s="25" t="n">
        <x:v>26222.50325576959</x:v>
      </x:c>
      <x:c r="K107" s="25" t="n">
        <x:v>5.1987166653811085</x:v>
      </x:c>
      <x:c r="L107" s="25" t="n">
        <x:v>56.25</x:v>
      </x:c>
      <x:c r="M107" s="34" t="b">
        <x:v>0</x:v>
      </x:c>
      <x:c r="N107" s="25" t="n">
        <x:v>-12.420884821522787</x:v>
      </x:c>
    </x:row>
    <x:row r="108" ht="15" hidden="0" customHeight="1">
      <x:c r="A108" s="25" t="n">
        <x:v>10</x:v>
      </x:c>
      <x:c r="B108" s="25" t="n">
        <x:v>3</x:v>
      </x:c>
      <x:c r="C108" s="25" t="n">
        <x:v>3</x:v>
      </x:c>
      <x:c r="D108" s="25" t="n">
        <x:v>40</x:v>
      </x:c>
      <x:c r="E108" s="25" t="str">
        <x:v>Conservateur</x:v>
      </x:c>
      <x:c r="F108" s="25" t="n">
        <x:v>1.2</x:v>
      </x:c>
      <x:c r="G108" s="25" t="n">
        <x:v>0.19365208972873937</x:v>
      </x:c>
      <x:c r="H108" s="25" t="n">
        <x:v>-1.3994340333053377</x:v>
      </x:c>
      <x:c r="I108" s="25" t="n">
        <x:v>9811.878255769596</x:v>
      </x:c>
      <x:c r="J108" s="25" t="n">
        <x:v>26222.50325576959</x:v>
      </x:c>
      <x:c r="K108" s="25" t="n">
        <x:v>6.238459998457328</x:v>
      </x:c>
      <x:c r="L108" s="25" t="n">
        <x:v>59.25</x:v>
      </x:c>
      <x:c r="M108" s="34" t="b">
        <x:v>0</x:v>
      </x:c>
      <x:c r="N108" s="25" t="n">
        <x:v>-12.484985897552772</x:v>
      </x:c>
    </x:row>
    <x:row r="109" ht="15" hidden="0" customHeight="1">
      <x:c r="A109" s="25" t="n">
        <x:v>10</x:v>
      </x:c>
      <x:c r="B109" s="25" t="n">
        <x:v>3</x:v>
      </x:c>
      <x:c r="C109" s="25" t="n">
        <x:v>3</x:v>
      </x:c>
      <x:c r="D109" s="25" t="n">
        <x:v>35</x:v>
      </x:c>
      <x:c r="E109" s="25" t="str">
        <x:v>Équilibré</x:v>
      </x:c>
      <x:c r="F109" s="25" t="n">
        <x:v>0.8</x:v>
      </x:c>
      <x:c r="G109" s="25" t="n">
        <x:v>0.1923940692398668</x:v>
      </x:c>
      <x:c r="H109" s="25" t="n">
        <x:v>-1.361170290809366</x:v>
      </x:c>
      <x:c r="I109" s="25" t="n">
        <x:v>10030.630258719997</x:v>
      </x:c>
      <x:c r="J109" s="25" t="n">
        <x:v>26441.255258719993</x:v>
      </x:c>
      <x:c r="K109" s="25" t="n">
        <x:v>4.158973332304886</x:v>
      </x:c>
      <x:c r="L109" s="25" t="n">
        <x:v>54.75</x:v>
      </x:c>
      <x:c r="M109" s="34" t="b">
        <x:v>0</x:v>
      </x:c>
      <x:c r="N109" s="25" t="n">
        <x:v>-12.49758346204147</x:v>
      </x:c>
    </x:row>
    <x:row r="110" ht="15" hidden="0" customHeight="1">
      <x:c r="A110" s="25" t="n">
        <x:v>6</x:v>
      </x:c>
      <x:c r="B110" s="25" t="n">
        <x:v>2</x:v>
      </x:c>
      <x:c r="C110" s="25" t="n">
        <x:v>3</x:v>
      </x:c>
      <x:c r="D110" s="25" t="n">
        <x:v>35</x:v>
      </x:c>
      <x:c r="E110" s="25" t="str">
        <x:v>Conservateur</x:v>
      </x:c>
      <x:c r="F110" s="25" t="n">
        <x:v>1</x:v>
      </x:c>
      <x:c r="G110" s="25" t="n">
        <x:v>0.17684011364043667</x:v>
      </x:c>
      <x:c r="H110" s="25" t="n">
        <x:v>-1.4799925204363455</x:v>
      </x:c>
      <x:c r="I110" s="25" t="n">
        <x:v>9467.826093899772</x:v>
      </x:c>
      <x:c r="J110" s="25" t="n">
        <x:v>25878.451093899766</x:v>
      </x:c>
      <x:c r="K110" s="25" t="n">
        <x:v>5.1987166653811085</x:v>
      </x:c>
      <x:c r="L110" s="25" t="n">
        <x:v>73.75</x:v>
      </x:c>
      <x:c r="M110" s="34" t="b">
        <x:v>0</x:v>
      </x:c>
      <x:c r="N110" s="25" t="n">
        <x:v>-12.523606760684622</x:v>
      </x:c>
    </x:row>
    <x:row r="111" ht="15" hidden="0" customHeight="1">
      <x:c r="A111" s="25" t="n">
        <x:v>10</x:v>
      </x:c>
      <x:c r="B111" s="25" t="n">
        <x:v>4</x:v>
      </x:c>
      <x:c r="C111" s="25" t="n">
        <x:v>3</x:v>
      </x:c>
      <x:c r="D111" s="25" t="n">
        <x:v>35</x:v>
      </x:c>
      <x:c r="E111" s="25" t="str">
        <x:v>Équilibré</x:v>
      </x:c>
      <x:c r="F111" s="25" t="n">
        <x:v>1</x:v>
      </x:c>
      <x:c r="G111" s="25" t="n">
        <x:v>0.19375898050807866</x:v>
      </x:c>
      <x:c r="H111" s="25" t="n">
        <x:v>-1.3532553293748886</x:v>
      </x:c>
      <x:c r="I111" s="25" t="n">
        <x:v>9627.629529663998</x:v>
      </x:c>
      <x:c r="J111" s="25" t="n">
        <x:v>26038.25452966399</x:v>
      </x:c>
      <x:c r="K111" s="25" t="n">
        <x:v>5.1987166653811085</x:v>
      </x:c>
      <x:c r="L111" s="25" t="n">
        <x:v>52.75</x:v>
      </x:c>
      <x:c r="M111" s="34" t="b">
        <x:v>0</x:v>
      </x:c>
      <x:c r="N111" s="25" t="n">
        <x:v>-12.624639306427884</x:v>
      </x:c>
    </x:row>
    <x:row r="112" ht="15" hidden="0" customHeight="1">
      <x:c r="A112" s="25" t="n">
        <x:v>6</x:v>
      </x:c>
      <x:c r="B112" s="25" t="n">
        <x:v>2</x:v>
      </x:c>
      <x:c r="C112" s="25" t="n">
        <x:v>3</x:v>
      </x:c>
      <x:c r="D112" s="25" t="n">
        <x:v>35</x:v>
      </x:c>
      <x:c r="E112" s="25" t="str">
        <x:v>Conservateur</x:v>
      </x:c>
      <x:c r="F112" s="25" t="n">
        <x:v>1.2</x:v>
      </x:c>
      <x:c r="G112" s="25" t="n">
        <x:v>0.17684011364043667</x:v>
      </x:c>
      <x:c r="H112" s="25" t="n">
        <x:v>-1.5085823810283274</x:v>
      </x:c>
      <x:c r="I112" s="25" t="n">
        <x:v>9467.826093899772</x:v>
      </x:c>
      <x:c r="J112" s="25" t="n">
        <x:v>25878.451093899766</x:v>
      </x:c>
      <x:c r="K112" s="25" t="n">
        <x:v>6.238459998457328</x:v>
      </x:c>
      <x:c r="L112" s="25" t="n">
        <x:v>76.75</x:v>
      </x:c>
      <x:c r="M112" s="34" t="b">
        <x:v>0</x:v>
      </x:c>
      <x:c r="N112" s="25" t="n">
        <x:v>-12.638353275484164</x:v>
      </x:c>
    </x:row>
    <x:row r="113" ht="15" hidden="0" customHeight="1">
      <x:c r="A113" s="25" t="n">
        <x:v>10</x:v>
      </x:c>
      <x:c r="B113" s="25" t="n">
        <x:v>4</x:v>
      </x:c>
      <x:c r="C113" s="25" t="n">
        <x:v>3</x:v>
      </x:c>
      <x:c r="D113" s="25" t="n">
        <x:v>35</x:v>
      </x:c>
      <x:c r="E113" s="25" t="str">
        <x:v>Équilibré</x:v>
      </x:c>
      <x:c r="F113" s="25" t="n">
        <x:v>1.2</x:v>
      </x:c>
      <x:c r="G113" s="25" t="n">
        <x:v>0.19375898050807866</x:v>
      </x:c>
      <x:c r="H113" s="25" t="n">
        <x:v>-1.3792793864803938</x:v>
      </x:c>
      <x:c r="I113" s="25" t="n">
        <x:v>9627.629529663998</x:v>
      </x:c>
      <x:c r="J113" s="25" t="n">
        <x:v>26038.25452966399</x:v>
      </x:c>
      <x:c r="K113" s="25" t="n">
        <x:v>6.238459998457328</x:v>
      </x:c>
      <x:c r="L113" s="25" t="n">
        <x:v>55.75</x:v>
      </x:c>
      <x:c r="M113" s="34" t="b">
        <x:v>0</x:v>
      </x:c>
      <x:c r="N113" s="25" t="n">
        <x:v>-12.675240734065516</x:v>
      </x:c>
    </x:row>
    <x:row r="114" ht="15" hidden="0" customHeight="1">
      <x:c r="A114" s="25" t="n">
        <x:v>10</x:v>
      </x:c>
      <x:c r="B114" s="25" t="n">
        <x:v>4</x:v>
      </x:c>
      <x:c r="C114" s="25" t="n">
        <x:v>3</x:v>
      </x:c>
      <x:c r="D114" s="25" t="n">
        <x:v>30</x:v>
      </x:c>
      <x:c r="E114" s="25" t="str">
        <x:v>Agressif</x:v>
      </x:c>
      <x:c r="F114" s="25" t="n">
        <x:v>0.8</x:v>
      </x:c>
      <x:c r="G114" s="25" t="n">
        <x:v>0.19387645395979475</x:v>
      </x:c>
      <x:c r="H114" s="25" t="n">
        <x:v>-1.345788951863985</x:v>
      </x:c>
      <x:c r="I114" s="25" t="n">
        <x:v>10050.981777393536</x:v>
      </x:c>
      <x:c r="J114" s="25" t="n">
        <x:v>26461.606777393532</x:v>
      </x:c>
      <x:c r="K114" s="25" t="n">
        <x:v>4.158973332304886</x:v>
      </x:c>
      <x:c r="L114" s="25" t="n">
        <x:v>51.25</x:v>
      </x:c>
      <x:c r="M114" s="34" t="b">
        <x:v>0</x:v>
      </x:c>
      <x:c r="N114" s="25" t="n">
        <x:v>-12.73151882881091</x:v>
      </x:c>
    </x:row>
    <x:row r="115" ht="15" hidden="0" customHeight="1">
      <x:c r="A115" s="25" t="n">
        <x:v>6</x:v>
      </x:c>
      <x:c r="B115" s="25" t="n">
        <x:v>2</x:v>
      </x:c>
      <x:c r="C115" s="25" t="n">
        <x:v>3</x:v>
      </x:c>
      <x:c r="D115" s="25" t="n">
        <x:v>30</x:v>
      </x:c>
      <x:c r="E115" s="25" t="str">
        <x:v>Équilibré</x:v>
      </x:c>
      <x:c r="F115" s="25" t="n">
        <x:v>1</x:v>
      </x:c>
      <x:c r="G115" s="25" t="n">
        <x:v>0.17543466518666234</x:v>
      </x:c>
      <x:c r="H115" s="25" t="n">
        <x:v>-1.5087564088035583</x:v>
      </x:c>
      <x:c r="I115" s="25" t="n">
        <x:v>9718.862210617599</x:v>
      </x:c>
      <x:c r="J115" s="25" t="n">
        <x:v>26129.48721061759</x:v>
      </x:c>
      <x:c r="K115" s="25" t="n">
        <x:v>5.1987166653811085</x:v>
      </x:c>
      <x:c r="L115" s="25" t="n">
        <x:v>75.25</x:v>
      </x:c>
      <x:c r="M115" s="34" t="b">
        <x:v>0</x:v>
      </x:c>
      <x:c r="N115" s="25" t="n">
        <x:v>-13.020003634822526</x:v>
      </x:c>
    </x:row>
    <x:row r="116" ht="15" hidden="0" customHeight="1">
      <x:c r="A116" s="25" t="n">
        <x:v>6</x:v>
      </x:c>
      <x:c r="B116" s="25" t="n">
        <x:v>3</x:v>
      </x:c>
      <x:c r="C116" s="25" t="n">
        <x:v>2</x:v>
      </x:c>
      <x:c r="D116" s="25" t="n">
        <x:v>30</x:v>
      </x:c>
      <x:c r="E116" s="25" t="str">
        <x:v>Conservateur</x:v>
      </x:c>
      <x:c r="F116" s="25" t="n">
        <x:v>0.8</x:v>
      </x:c>
      <x:c r="G116" s="25" t="n">
        <x:v>0.12056862325211402</x:v>
      </x:c>
      <x:c r="H116" s="25" t="n">
        <x:v>-1.3326302207273248</x:v>
      </x:c>
      <x:c r="I116" s="25" t="n">
        <x:v>6108.917566924286</x:v>
      </x:c>
      <x:c r="J116" s="25" t="n">
        <x:v>22519.542566924283</x:v>
      </x:c>
      <x:c r="K116" s="25" t="n">
        <x:v>4.158973332304886</x:v>
      </x:c>
      <x:c r="L116" s="25" t="n">
        <x:v>68.25</x:v>
      </x:c>
      <x:c r="M116" s="34" t="b">
        <x:v>0</x:v>
      </x:c>
      <x:c r="N116" s="25" t="n">
        <x:v>-13.034481239316852</x:v>
      </x:c>
    </x:row>
    <x:row r="117" ht="15" hidden="0" customHeight="1">
      <x:c r="A117" s="25" t="n">
        <x:v>6</x:v>
      </x:c>
      <x:c r="B117" s="25" t="n">
        <x:v>2</x:v>
      </x:c>
      <x:c r="C117" s="25" t="n">
        <x:v>3</x:v>
      </x:c>
      <x:c r="D117" s="25" t="n">
        <x:v>30</x:v>
      </x:c>
      <x:c r="E117" s="25" t="str">
        <x:v>Équilibré</x:v>
      </x:c>
      <x:c r="F117" s="25" t="n">
        <x:v>1.2</x:v>
      </x:c>
      <x:c r="G117" s="25" t="n">
        <x:v>0.17543466518666234</x:v>
      </x:c>
      <x:c r="H117" s="25" t="n">
        <x:v>-1.5380816253394272</x:v>
      </x:c>
      <x:c r="I117" s="25" t="n">
        <x:v>9718.862210617599</x:v>
      </x:c>
      <x:c r="J117" s="25" t="n">
        <x:v>26129.48721061759</x:v>
      </x:c>
      <x:c r="K117" s="25" t="n">
        <x:v>6.238459998457328</x:v>
      </x:c>
      <x:c r="L117" s="25" t="n">
        <x:v>78.25</x:v>
      </x:c>
      <x:c r="M117" s="34" t="b">
        <x:v>0</x:v>
      </x:c>
      <x:c r="N117" s="25" t="n">
        <x:v>-13.153134048219249</x:v>
      </x:c>
    </x:row>
    <x:row r="118" ht="15" hidden="0" customHeight="1">
      <x:c r="A118" s="25" t="n">
        <x:v>10</x:v>
      </x:c>
      <x:c r="B118" s="25" t="n">
        <x:v>4</x:v>
      </x:c>
      <x:c r="C118" s="25" t="n">
        <x:v>1.5</x:v>
      </x:c>
      <x:c r="D118" s="25" t="n">
        <x:v>30</x:v>
      </x:c>
      <x:c r="E118" s="25" t="str">
        <x:v>Conservateur</x:v>
      </x:c>
      <x:c r="F118" s="25" t="n">
        <x:v>1.2</x:v>
      </x:c>
      <x:c r="G118" s="25" t="n">
        <x:v>0.12351933763129251</x:v>
      </x:c>
      <x:c r="H118" s="25" t="n">
        <x:v>-1.2506508097767148</x:v>
      </x:c>
      <x:c r="I118" s="25" t="n">
        <x:v>5992.422758563225</x:v>
      </x:c>
      <x:c r="J118" s="25" t="n">
        <x:v>22403.04775856322</x:v>
      </x:c>
      <x:c r="K118" s="25" t="n">
        <x:v>6.238459998457328</x:v>
      </x:c>
      <x:c r="L118" s="25" t="n">
        <x:v>56.25</x:v>
      </x:c>
      <x:c r="M118" s="34" t="b">
        <x:v>0</x:v>
      </x:c>
      <x:c r="N118" s="25" t="n">
        <x:v>-13.222706674696784</x:v>
      </x:c>
    </x:row>
    <x:row r="119" ht="15" hidden="0" customHeight="1">
      <x:c r="A119" s="25" t="n">
        <x:v>8</x:v>
      </x:c>
      <x:c r="B119" s="25" t="n">
        <x:v>2</x:v>
      </x:c>
      <x:c r="C119" s="25" t="n">
        <x:v>3</x:v>
      </x:c>
      <x:c r="D119" s="25" t="n">
        <x:v>40</x:v>
      </x:c>
      <x:c r="E119" s="25" t="str">
        <x:v>Conservateur</x:v>
      </x:c>
      <x:c r="F119" s="25" t="n">
        <x:v>0.8</x:v>
      </x:c>
      <x:c r="G119" s="25" t="n">
        <x:v>0.17599802335097423</x:v>
      </x:c>
      <x:c r="H119" s="25" t="n">
        <x:v>-1.4472159250881254</x:v>
      </x:c>
      <x:c r="I119" s="25" t="n">
        <x:v>9422.741501655035</x:v>
      </x:c>
      <x:c r="J119" s="25" t="n">
        <x:v>25833.36650165503</x:v>
      </x:c>
      <x:c r="K119" s="25" t="n">
        <x:v>4.158973332304886</x:v>
      </x:c>
      <x:c r="L119" s="25" t="n">
        <x:v>66.25</x:v>
      </x:c>
      <x:c r="M119" s="34" t="b">
        <x:v>0</x:v>
      </x:c>
      <x:c r="N119" s="25" t="n">
        <x:v>-13.25050684289955</x:v>
      </x:c>
    </x:row>
    <x:row r="120" ht="15" hidden="0" customHeight="1">
      <x:c r="A120" s="25" t="n">
        <x:v>10</x:v>
      </x:c>
      <x:c r="B120" s="25" t="n">
        <x:v>2</x:v>
      </x:c>
      <x:c r="C120" s="25" t="n">
        <x:v>2</x:v>
      </x:c>
      <x:c r="D120" s="25" t="n">
        <x:v>30</x:v>
      </x:c>
      <x:c r="E120" s="25" t="str">
        <x:v>Conservateur</x:v>
      </x:c>
      <x:c r="F120" s="25" t="n">
        <x:v>1.2</x:v>
      </x:c>
      <x:c r="G120" s="25" t="n">
        <x:v>0.13799190844451995</x:v>
      </x:c>
      <x:c r="H120" s="25" t="n">
        <x:v>-1.3404073746361476</x:v>
      </x:c>
      <x:c r="I120" s="25" t="n">
        <x:v>7387.935715617583</x:v>
      </x:c>
      <x:c r="J120" s="25" t="n">
        <x:v>23798.56071561758</x:v>
      </x:c>
      <x:c r="K120" s="25" t="n">
        <x:v>6.238459998457328</x:v>
      </x:c>
      <x:c r="L120" s="25" t="n">
        <x:v>63.25</x:v>
      </x:c>
      <x:c r="M120" s="34" t="b">
        <x:v>0</x:v>
      </x:c>
      <x:c r="N120" s="25" t="n">
        <x:v>-13.270629401455095</x:v>
      </x:c>
    </x:row>
    <x:row r="121" ht="15" hidden="0" customHeight="1">
      <x:c r="A121" s="25" t="n">
        <x:v>6</x:v>
      </x:c>
      <x:c r="B121" s="25" t="n">
        <x:v>4</x:v>
      </x:c>
      <x:c r="C121" s="25" t="n">
        <x:v>2</x:v>
      </x:c>
      <x:c r="D121" s="25" t="n">
        <x:v>30</x:v>
      </x:c>
      <x:c r="E121" s="25" t="str">
        <x:v>Conservateur</x:v>
      </x:c>
      <x:c r="F121" s="25" t="n">
        <x:v>1.2</x:v>
      </x:c>
      <x:c r="G121" s="25" t="n">
        <x:v>0.12393323965235238</x:v>
      </x:c>
      <x:c r="H121" s="25" t="n">
        <x:v>-1.3586414081400042</x:v>
      </x:c>
      <x:c r="I121" s="25" t="n">
        <x:v>6012.502820020632</x:v>
      </x:c>
      <x:c r="J121" s="25" t="n">
        <x:v>22423.12782002063</x:v>
      </x:c>
      <x:c r="K121" s="25" t="n">
        <x:v>6.238459998457328</x:v>
      </x:c>
      <x:c r="L121" s="25" t="n">
        <x:v>69.25</x:v>
      </x:c>
      <x:c r="M121" s="34" t="b">
        <x:v>0</x:v>
      </x:c>
      <x:c r="N121" s="25" t="n">
        <x:v>-13.299707022620723</x:v>
      </x:c>
    </x:row>
    <x:row r="122" ht="15" hidden="0" customHeight="1">
      <x:c r="A122" s="25" t="n">
        <x:v>10</x:v>
      </x:c>
      <x:c r="B122" s="25" t="n">
        <x:v>2</x:v>
      </x:c>
      <x:c r="C122" s="25" t="n">
        <x:v>2</x:v>
      </x:c>
      <x:c r="D122" s="25" t="n">
        <x:v>30</x:v>
      </x:c>
      <x:c r="E122" s="25" t="str">
        <x:v>Conservateur</x:v>
      </x:c>
      <x:c r="F122" s="25" t="n">
        <x:v>1</x:v>
      </x:c>
      <x:c r="G122" s="25" t="n">
        <x:v>0.13799190844451995</x:v>
      </x:c>
      <x:c r="H122" s="25" t="n">
        <x:v>-1.3180097288162824</x:v>
      </x:c>
      <x:c r="I122" s="25" t="n">
        <x:v>7387.935715617583</x:v>
      </x:c>
      <x:c r="J122" s="25" t="n">
        <x:v>23798.56071561758</x:v>
      </x:c>
      <x:c r="K122" s="25" t="n">
        <x:v>5.1987166653811085</x:v>
      </x:c>
      <x:c r="L122" s="25" t="n">
        <x:v>60.25</x:v>
      </x:c>
      <x:c r="M122" s="34" t="b">
        <x:v>0</x:v>
      </x:c>
      <x:c r="N122" s="25" t="n">
        <x:v>-13.310688255958464</x:v>
      </x:c>
    </x:row>
    <x:row r="123" ht="15" hidden="0" customHeight="1">
      <x:c r="A123" s="25" t="n">
        <x:v>10</x:v>
      </x:c>
      <x:c r="B123" s="25" t="n">
        <x:v>4</x:v>
      </x:c>
      <x:c r="C123" s="25" t="n">
        <x:v>1.5</x:v>
      </x:c>
      <x:c r="D123" s="25" t="n">
        <x:v>30</x:v>
      </x:c>
      <x:c r="E123" s="25" t="str">
        <x:v>Conservateur</x:v>
      </x:c>
      <x:c r="F123" s="25" t="n">
        <x:v>1</x:v>
      </x:c>
      <x:c r="G123" s="25" t="n">
        <x:v>0.12351933763129251</x:v>
      </x:c>
      <x:c r="H123" s="25" t="n">
        <x:v>-1.2316486486112348</x:v>
      </x:c>
      <x:c r="I123" s="25" t="n">
        <x:v>5992.422758563225</x:v>
      </x:c>
      <x:c r="J123" s="25" t="n">
        <x:v>22403.04775856322</x:v>
      </x:c>
      <x:c r="K123" s="25" t="n">
        <x:v>5.1987166653811085</x:v>
      </x:c>
      <x:c r="L123" s="25" t="n">
        <x:v>53.25</x:v>
      </x:c>
      <x:c r="M123" s="34" t="b">
        <x:v>0</x:v>
      </x:c>
      <x:c r="N123" s="25" t="n">
        <x:v>-13.347652645559782</x:v>
      </x:c>
    </x:row>
    <x:row r="124" ht="15" hidden="0" customHeight="1">
      <x:c r="A124" s="25" t="n">
        <x:v>6</x:v>
      </x:c>
      <x:c r="B124" s="25" t="n">
        <x:v>4</x:v>
      </x:c>
      <x:c r="C124" s="25" t="n">
        <x:v>2</x:v>
      </x:c>
      <x:c r="D124" s="25" t="n">
        <x:v>30</x:v>
      </x:c>
      <x:c r="E124" s="25" t="str">
        <x:v>Conservateur</x:v>
      </x:c>
      <x:c r="F124" s="25" t="n">
        <x:v>1</x:v>
      </x:c>
      <x:c r="G124" s="25" t="n">
        <x:v>0.12393323965235238</x:v>
      </x:c>
      <x:c r="H124" s="25" t="n">
        <x:v>-1.3369313295976393</x:v>
      </x:c>
      <x:c r="I124" s="25" t="n">
        <x:v>6012.502820020632</x:v>
      </x:c>
      <x:c r="J124" s="25" t="n">
        <x:v>22423.12782002063</x:v>
      </x:c>
      <x:c r="K124" s="25" t="n">
        <x:v>5.1987166653811085</x:v>
      </x:c>
      <x:c r="L124" s="25" t="n">
        <x:v>66.25</x:v>
      </x:c>
      <x:c r="M124" s="34" t="b">
        <x:v>0</x:v>
      </x:c>
      <x:c r="N124" s="25" t="n">
        <x:v>-13.356955059061598</x:v>
      </x:c>
    </x:row>
    <x:row r="125" ht="15" hidden="0" customHeight="1">
      <x:c r="A125" s="25" t="n">
        <x:v>8</x:v>
      </x:c>
      <x:c r="B125" s="25" t="n">
        <x:v>4</x:v>
      </x:c>
      <x:c r="C125" s="25" t="n">
        <x:v>1.5</x:v>
      </x:c>
      <x:c r="D125" s="25" t="n">
        <x:v>30</x:v>
      </x:c>
      <x:c r="E125" s="25" t="str">
        <x:v>Conservateur</x:v>
      </x:c>
      <x:c r="F125" s="25" t="n">
        <x:v>0.8</x:v>
      </x:c>
      <x:c r="G125" s="25" t="n">
        <x:v>0.1103305901499752</x:v>
      </x:c>
      <x:c r="H125" s="25" t="n">
        <x:v>-1.2445679723232685</x:v>
      </x:c>
      <x:c r="I125" s="25" t="n">
        <x:v>5352.583263957912</x:v>
      </x:c>
      <x:c r="J125" s="25" t="n">
        <x:v>21763.20826395791</x:v>
      </x:c>
      <x:c r="K125" s="25" t="n">
        <x:v>4.158973332304886</x:v>
      </x:c>
      <x:c r="L125" s="25" t="n">
        <x:v>58.25</x:v>
      </x:c>
      <x:c r="M125" s="34" t="b">
        <x:v>0</x:v>
      </x:c>
      <x:c r="N125" s="25" t="n">
        <x:v>-13.396016849833076</x:v>
      </x:c>
    </x:row>
    <x:row r="126" ht="15" hidden="0" customHeight="1">
      <x:c r="A126" s="25" t="n">
        <x:v>8</x:v>
      </x:c>
      <x:c r="B126" s="25" t="n">
        <x:v>3</x:v>
      </x:c>
      <x:c r="C126" s="25" t="n">
        <x:v>3</x:v>
      </x:c>
      <x:c r="D126" s="25" t="n">
        <x:v>40</x:v>
      </x:c>
      <x:c r="E126" s="25" t="str">
        <x:v>Conservateur</x:v>
      </x:c>
      <x:c r="F126" s="25" t="n">
        <x:v>1</x:v>
      </x:c>
      <x:c r="G126" s="25" t="n">
        <x:v>0.17739424830727973</x:v>
      </x:c>
      <x:c r="H126" s="25" t="n">
        <x:v>-1.456897418394808</x:v>
      </x:c>
      <x:c r="I126" s="25" t="n">
        <x:v>8988.133152102397</x:v>
      </x:c>
      <x:c r="J126" s="25" t="n">
        <x:v>25398.75815210239</x:v>
      </x:c>
      <x:c r="K126" s="25" t="n">
        <x:v>5.1987166653811085</x:v>
      </x:c>
      <x:c r="L126" s="25" t="n">
        <x:v>64.25</x:v>
      </x:c>
      <x:c r="M126" s="34" t="b">
        <x:v>0</x:v>
      </x:c>
      <x:c r="N126" s="25" t="n">
        <x:v>-13.815751802969814</x:v>
      </x:c>
    </x:row>
    <x:row r="127" ht="15" hidden="0" customHeight="1">
      <x:c r="A127" s="25" t="n">
        <x:v>8</x:v>
      </x:c>
      <x:c r="B127" s="25" t="n">
        <x:v>3</x:v>
      </x:c>
      <x:c r="C127" s="25" t="n">
        <x:v>3</x:v>
      </x:c>
      <x:c r="D127" s="25" t="n">
        <x:v>40</x:v>
      </x:c>
      <x:c r="E127" s="25" t="str">
        <x:v>Conservateur</x:v>
      </x:c>
      <x:c r="F127" s="25" t="n">
        <x:v>1.2</x:v>
      </x:c>
      <x:c r="G127" s="25" t="n">
        <x:v>0.17739424830727973</x:v>
      </x:c>
      <x:c r="H127" s="25" t="n">
        <x:v>-1.484765123189387</x:v>
      </x:c>
      <x:c r="I127" s="25" t="n">
        <x:v>8988.133152102397</x:v>
      </x:c>
      <x:c r="J127" s="25" t="n">
        <x:v>25398.75815210239</x:v>
      </x:c>
      <x:c r="K127" s="25" t="n">
        <x:v>6.238459998457328</x:v>
      </x:c>
      <x:c r="L127" s="25" t="n">
        <x:v>67.25</x:v>
      </x:c>
      <x:c r="M127" s="34" t="b">
        <x:v>0</x:v>
      </x:c>
      <x:c r="N127" s="25" t="n">
        <x:v>-13.912444422834293</x:v>
      </x:c>
    </x:row>
    <x:row r="128" ht="15" hidden="0" customHeight="1">
      <x:c r="A128" s="25" t="n">
        <x:v>6</x:v>
      </x:c>
      <x:c r="B128" s="25" t="n">
        <x:v>3</x:v>
      </x:c>
      <x:c r="C128" s="25" t="n">
        <x:v>3</x:v>
      </x:c>
      <x:c r="D128" s="25" t="n">
        <x:v>40</x:v>
      </x:c>
      <x:c r="E128" s="25" t="str">
        <x:v>Conservateur</x:v>
      </x:c>
      <x:c r="F128" s="25" t="n">
        <x:v>0.8</x:v>
      </x:c>
      <x:c r="G128" s="25" t="n">
        <x:v>0.16502469179618304</x:v>
      </x:c>
      <x:c r="H128" s="25" t="n">
        <x:v>-1.4741270874071457</x:v>
      </x:c>
      <x:c r="I128" s="25" t="n">
        <x:v>8361.397944985596</x:v>
      </x:c>
      <x:c r="J128" s="25" t="n">
        <x:v>24772.02294498559</x:v>
      </x:c>
      <x:c r="K128" s="25" t="n">
        <x:v>4.158973332304886</x:v>
      </x:c>
      <x:c r="L128" s="25" t="n">
        <x:v>69.25</x:v>
      </x:c>
      <x:c r="M128" s="34" t="b">
        <x:v>0</x:v>
      </x:c>
      <x:c r="N128" s="25" t="n">
        <x:v>-13.926819136388573</x:v>
      </x:c>
    </x:row>
    <x:row r="129" ht="15" hidden="0" customHeight="1">
      <x:c r="A129" s="25" t="n">
        <x:v>8</x:v>
      </x:c>
      <x:c r="B129" s="25" t="n">
        <x:v>3</x:v>
      </x:c>
      <x:c r="C129" s="25" t="n">
        <x:v>3</x:v>
      </x:c>
      <x:c r="D129" s="25" t="n">
        <x:v>35</x:v>
      </x:c>
      <x:c r="E129" s="25" t="str">
        <x:v>Équilibré</x:v>
      </x:c>
      <x:c r="F129" s="25" t="n">
        <x:v>0.8</x:v>
      </x:c>
      <x:c r="G129" s="25" t="n">
        <x:v>0.17503904475115598</x:v>
      </x:c>
      <x:c r="H129" s="25" t="n">
        <x:v>-1.4476806708744483</x:v>
      </x:c>
      <x:c r="I129" s="25" t="n">
        <x:v>9125.811131679999</x:v>
      </x:c>
      <x:c r="J129" s="25" t="n">
        <x:v>25536.43613167999</x:v>
      </x:c>
      <x:c r="K129" s="25" t="n">
        <x:v>4.158973332304886</x:v>
      </x:c>
      <x:c r="L129" s="25" t="n">
        <x:v>62.75</x:v>
      </x:c>
      <x:c r="M129" s="34" t="b">
        <x:v>0</x:v>
      </x:c>
      <x:c r="N129" s="25" t="n">
        <x:v>-14.014869310547628</x:v>
      </x:c>
    </x:row>
    <x:row r="130" ht="15" hidden="0" customHeight="1">
      <x:c r="A130" s="25" t="n">
        <x:v>10</x:v>
      </x:c>
      <x:c r="B130" s="25" t="n">
        <x:v>4</x:v>
      </x:c>
      <x:c r="C130" s="25" t="n">
        <x:v>2</x:v>
      </x:c>
      <x:c r="D130" s="25" t="n">
        <x:v>35</x:v>
      </x:c>
      <x:c r="E130" s="25" t="str">
        <x:v>Conservateur</x:v>
      </x:c>
      <x:c r="F130" s="25" t="n">
        <x:v>0.8</x:v>
      </x:c>
      <x:c r="G130" s="25" t="n">
        <x:v>0.13273894446053697</x:v>
      </x:c>
      <x:c r="H130" s="25" t="n">
        <x:v>-1.2619298039500495</x:v>
      </x:c>
      <x:c r="I130" s="25" t="n">
        <x:v>6439.703183216126</x:v>
      </x:c>
      <x:c r="J130" s="25" t="n">
        <x:v>22850.32818321612</x:v>
      </x:c>
      <x:c r="K130" s="25" t="n">
        <x:v>4.158973332304886</x:v>
      </x:c>
      <x:c r="L130" s="25" t="n">
        <x:v>50.75</x:v>
      </x:c>
      <x:c r="M130" s="34" t="b">
        <x:v>0</x:v>
      </x:c>
      <x:c r="N130" s="25" t="n">
        <x:v>-14.097603153421703</x:v>
      </x:c>
    </x:row>
    <x:row r="131" ht="15" hidden="0" customHeight="1">
      <x:c r="A131" s="25" t="n">
        <x:v>10</x:v>
      </x:c>
      <x:c r="B131" s="25" t="n">
        <x:v>3</x:v>
      </x:c>
      <x:c r="C131" s="25" t="n">
        <x:v>1.5</x:v>
      </x:c>
      <x:c r="D131" s="25" t="n">
        <x:v>30</x:v>
      </x:c>
      <x:c r="E131" s="25" t="str">
        <x:v>Conservateur</x:v>
      </x:c>
      <x:c r="F131" s="25" t="n">
        <x:v>0.8</x:v>
      </x:c>
      <x:c r="G131" s="25" t="n">
        <x:v>0.11278374608773495</x:v>
      </x:c>
      <x:c r="H131" s="25" t="n">
        <x:v>-1.2569486549552642</x:v>
      </x:c>
      <x:c r="I131" s="25" t="n">
        <x:v>5714.476861017087</x:v>
      </x:c>
      <x:c r="J131" s="25" t="n">
        <x:v>22125.101861017087</x:v>
      </x:c>
      <x:c r="K131" s="25" t="n">
        <x:v>4.158973332304886</x:v>
      </x:c>
      <x:c r="L131" s="25" t="n">
        <x:v>55.25</x:v>
      </x:c>
      <x:c r="M131" s="34" t="b">
        <x:v>0</x:v>
      </x:c>
      <x:c r="N131" s="25" t="n">
        <x:v>-14.170610339056179</x:v>
      </x:c>
    </x:row>
    <x:row r="132" ht="15" hidden="0" customHeight="1">
      <x:c r="A132" s="25" t="n">
        <x:v>8</x:v>
      </x:c>
      <x:c r="B132" s="25" t="n">
        <x:v>2</x:v>
      </x:c>
      <x:c r="C132" s="25" t="n">
        <x:v>2</x:v>
      </x:c>
      <x:c r="D132" s="25" t="n">
        <x:v>30</x:v>
      </x:c>
      <x:c r="E132" s="25" t="str">
        <x:v>Conservateur</x:v>
      </x:c>
      <x:c r="F132" s="25" t="n">
        <x:v>1.2</x:v>
      </x:c>
      <x:c r="G132" s="25" t="n">
        <x:v>0.12111721743566681</x:v>
      </x:c>
      <x:c r="H132" s="25" t="n">
        <x:v>-1.4126332326042037</x:v>
      </x:c>
      <x:c r="I132" s="25" t="n">
        <x:v>6484.483232065328</x:v>
      </x:c>
      <x:c r="J132" s="25" t="n">
        <x:v>22895.108232065326</x:v>
      </x:c>
      <x:c r="K132" s="25" t="n">
        <x:v>6.238459998457328</x:v>
      </x:c>
      <x:c r="L132" s="25" t="n">
        <x:v>71.25</x:v>
      </x:c>
      <x:c r="M132" s="34" t="b">
        <x:v>0</x:v>
      </x:c>
      <x:c r="N132" s="25" t="n">
        <x:v>-14.404383856143419</x:v>
      </x:c>
    </x:row>
    <x:row r="133" ht="15" hidden="0" customHeight="1">
      <x:c r="A133" s="25" t="n">
        <x:v>8</x:v>
      </x:c>
      <x:c r="B133" s="25" t="n">
        <x:v>2</x:v>
      </x:c>
      <x:c r="C133" s="25" t="n">
        <x:v>2</x:v>
      </x:c>
      <x:c r="D133" s="25" t="n">
        <x:v>30</x:v>
      </x:c>
      <x:c r="E133" s="25" t="str">
        <x:v>Conservateur</x:v>
      </x:c>
      <x:c r="F133" s="25" t="n">
        <x:v>1</x:v>
      </x:c>
      <x:c r="G133" s="25" t="n">
        <x:v>0.12111721743566681</x:v>
      </x:c>
      <x:c r="H133" s="25" t="n">
        <x:v>-1.3892834934403975</x:v>
      </x:c>
      <x:c r="I133" s="25" t="n">
        <x:v>6484.483232065328</x:v>
      </x:c>
      <x:c r="J133" s="25" t="n">
        <x:v>22895.108232065326</x:v>
      </x:c>
      <x:c r="K133" s="25" t="n">
        <x:v>5.1987166653811085</x:v>
      </x:c>
      <x:c r="L133" s="25" t="n">
        <x:v>68.25</x:v>
      </x:c>
      <x:c r="M133" s="34" t="b">
        <x:v>0</x:v>
      </x:c>
      <x:c r="N133" s="25" t="n">
        <x:v>-14.420640377048263</x:v>
      </x:c>
    </x:row>
    <x:row r="134" ht="15" hidden="0" customHeight="1">
      <x:c r="A134" s="25" t="n">
        <x:v>8</x:v>
      </x:c>
      <x:c r="B134" s="25" t="n">
        <x:v>4</x:v>
      </x:c>
      <x:c r="C134" s="25" t="n">
        <x:v>3</x:v>
      </x:c>
      <x:c r="D134" s="25" t="n">
        <x:v>35</x:v>
      </x:c>
      <x:c r="E134" s="25" t="str">
        <x:v>Équilibré</x:v>
      </x:c>
      <x:c r="F134" s="25" t="n">
        <x:v>1</x:v>
      </x:c>
      <x:c r="G134" s="25" t="n">
        <x:v>0.174920206148812</x:v>
      </x:c>
      <x:c r="H134" s="25" t="n">
        <x:v>-1.451474177068139</x:v>
      </x:c>
      <x:c r="I134" s="25" t="n">
        <x:v>8691.555548223998</x:v>
      </x:c>
      <x:c r="J134" s="25" t="n">
        <x:v>25102.18054822399</x:v>
      </x:c>
      <x:c r="K134" s="25" t="n">
        <x:v>5.1987166653811085</x:v>
      </x:c>
      <x:c r="L134" s="25" t="n">
        <x:v>60.75</x:v>
      </x:c>
      <x:c r="M134" s="34" t="b">
        <x:v>0</x:v>
      </x:c>
      <x:c r="N134" s="25" t="n">
        <x:v>-14.516243088518811</x:v>
      </x:c>
    </x:row>
    <x:row r="135" ht="15" hidden="0" customHeight="1">
      <x:c r="A135" s="25" t="n">
        <x:v>8</x:v>
      </x:c>
      <x:c r="B135" s="25" t="n">
        <x:v>4</x:v>
      </x:c>
      <x:c r="C135" s="25" t="n">
        <x:v>3</x:v>
      </x:c>
      <x:c r="D135" s="25" t="n">
        <x:v>35</x:v>
      </x:c>
      <x:c r="E135" s="25" t="str">
        <x:v>Équilibré</x:v>
      </x:c>
      <x:c r="F135" s="25" t="n">
        <x:v>1.2</x:v>
      </x:c>
      <x:c r="G135" s="25" t="n">
        <x:v>0.174920206148812</x:v>
      </x:c>
      <x:c r="H135" s="25" t="n">
        <x:v>-1.4790220717829496</x:v>
      </x:c>
      <x:c r="I135" s="25" t="n">
        <x:v>8691.555548223998</x:v>
      </x:c>
      <x:c r="J135" s="25" t="n">
        <x:v>25102.18054822399</x:v>
      </x:c>
      <x:c r="K135" s="25" t="n">
        <x:v>6.238459998457328</x:v>
      </x:c>
      <x:c r="L135" s="25" t="n">
        <x:v>63.75</x:v>
      </x:c>
      <x:c r="M135" s="34" t="b">
        <x:v>0</x:v>
      </x:c>
      <x:c r="N135" s="25" t="n">
        <x:v>-14.60494045638908</x:v>
      </x:c>
    </x:row>
    <x:row r="136" ht="15" hidden="0" customHeight="1">
      <x:c r="A136" s="25" t="n">
        <x:v>10</x:v>
      </x:c>
      <x:c r="B136" s="25" t="n">
        <x:v>4</x:v>
      </x:c>
      <x:c r="C136" s="25" t="n">
        <x:v>2</x:v>
      </x:c>
      <x:c r="D136" s="25" t="n">
        <x:v>30</x:v>
      </x:c>
      <x:c r="E136" s="25" t="str">
        <x:v>Équilibré</x:v>
      </x:c>
      <x:c r="F136" s="25" t="n">
        <x:v>0.8</x:v>
      </x:c>
      <x:c r="G136" s="25" t="n">
        <x:v>0.12951837205950778</x:v>
      </x:c>
      <x:c r="H136" s="25" t="n">
        <x:v>-1.2893904324200363</x:v>
      </x:c>
      <x:c r="I136" s="25" t="n">
        <x:v>6435.597979532798</x:v>
      </x:c>
      <x:c r="J136" s="25" t="n">
        <x:v>22846.22297953279</x:v>
      </x:c>
      <x:c r="K136" s="25" t="n">
        <x:v>4.158973332304886</x:v>
      </x:c>
      <x:c r="L136" s="25" t="n">
        <x:v>52.25</x:v>
      </x:c>
      <x:c r="M136" s="34" t="b">
        <x:v>0</x:v>
      </x:c>
      <x:c r="N136" s="25" t="n">
        <x:v>-14.661250347227979</x:v>
      </x:c>
    </x:row>
    <x:row r="137" ht="15" hidden="0" customHeight="1">
      <x:c r="A137" s="25" t="n">
        <x:v>6</x:v>
      </x:c>
      <x:c r="B137" s="25" t="n">
        <x:v>2</x:v>
      </x:c>
      <x:c r="C137" s="25" t="n">
        <x:v>2</x:v>
      </x:c>
      <x:c r="D137" s="25" t="n">
        <x:v>30</x:v>
      </x:c>
      <x:c r="E137" s="25" t="str">
        <x:v>Conservateur</x:v>
      </x:c>
      <x:c r="F137" s="25" t="n">
        <x:v>0.8</x:v>
      </x:c>
      <x:c r="G137" s="25" t="n">
        <x:v>0.1060650070807416</x:v>
      </x:c>
      <x:c r="H137" s="25" t="n">
        <x:v>-1.405873194251909</x:v>
      </x:c>
      <x:c r="I137" s="25" t="n">
        <x:v>5678.604367618352</x:v>
      </x:c>
      <x:c r="J137" s="25" t="n">
        <x:v>22089.229367618344</x:v>
      </x:c>
      <x:c r="K137" s="25" t="n">
        <x:v>4.158973332304886</x:v>
      </x:c>
      <x:c r="L137" s="25" t="n">
        <x:v>73.25</x:v>
      </x:c>
      <x:c r="M137" s="34" t="b">
        <x:v>0</x:v>
      </x:c>
      <x:c r="N137" s="25" t="n">
        <x:v>-14.663254466856932</x:v>
      </x:c>
    </x:row>
    <x:row r="138" ht="15" hidden="0" customHeight="1">
      <x:c r="A138" s="25" t="n">
        <x:v>10</x:v>
      </x:c>
      <x:c r="B138" s="25" t="n">
        <x:v>2</x:v>
      </x:c>
      <x:c r="C138" s="25" t="n">
        <x:v>3</x:v>
      </x:c>
      <x:c r="D138" s="25" t="n">
        <x:v>35</x:v>
      </x:c>
      <x:c r="E138" s="25" t="str">
        <x:v>Équilibré</x:v>
      </x:c>
      <x:c r="F138" s="25" t="n">
        <x:v>0.8</x:v>
      </x:c>
      <x:c r="G138" s="25" t="n">
        <x:v>0.17833385629901147</x:v>
      </x:c>
      <x:c r="H138" s="25" t="n">
        <x:v>-1.4605880939287592</x:v>
      </x:c>
      <x:c r="I138" s="25" t="n">
        <x:v>9879.473791647997</x:v>
      </x:c>
      <x:c r="J138" s="25" t="n">
        <x:v>26290.098791647993</x:v>
      </x:c>
      <x:c r="K138" s="25" t="n">
        <x:v>4.158973332304886</x:v>
      </x:c>
      <x:c r="L138" s="25" t="n">
        <x:v>59.75</x:v>
      </x:c>
      <x:c r="M138" s="34" t="b">
        <x:v>0</x:v>
      </x:c>
      <x:c r="N138" s="25" t="n">
        <x:v>-14.75634025177335</x:v>
      </x:c>
    </x:row>
    <x:row r="139" ht="15" hidden="0" customHeight="1">
      <x:c r="A139" s="25" t="n">
        <x:v>6</x:v>
      </x:c>
      <x:c r="B139" s="25" t="n">
        <x:v>4</x:v>
      </x:c>
      <x:c r="C139" s="25" t="n">
        <x:v>3</x:v>
      </x:c>
      <x:c r="D139" s="25" t="n">
        <x:v>40</x:v>
      </x:c>
      <x:c r="E139" s="25" t="str">
        <x:v>Conservateur</x:v>
      </x:c>
      <x:c r="F139" s="25" t="n">
        <x:v>1</x:v>
      </x:c>
      <x:c r="G139" s="25" t="n">
        <x:v>0.1633298109830092</x:v>
      </x:c>
      <x:c r="H139" s="25" t="n">
        <x:v>-1.4892953919585177</x:v>
      </x:c>
      <x:c r="I139" s="25" t="n">
        <x:v>7923.789871736317</x:v>
      </x:c>
      <x:c r="J139" s="25" t="n">
        <x:v>24334.414871736313</x:v>
      </x:c>
      <x:c r="K139" s="25" t="n">
        <x:v>5.1987166653811085</x:v>
      </x:c>
      <x:c r="L139" s="25" t="n">
        <x:v>67.25</x:v>
      </x:c>
      <x:c r="M139" s="34" t="b">
        <x:v>0</x:v>
      </x:c>
      <x:c r="N139" s="25" t="n">
        <x:v>-14.799245194897432</x:v>
      </x:c>
    </x:row>
    <x:row r="140" ht="15" hidden="0" customHeight="1">
      <x:c r="A140" s="25" t="n">
        <x:v>10</x:v>
      </x:c>
      <x:c r="B140" s="25" t="n">
        <x:v>2</x:v>
      </x:c>
      <x:c r="C140" s="25" t="n">
        <x:v>3</x:v>
      </x:c>
      <x:c r="D140" s="25" t="n">
        <x:v>40</x:v>
      </x:c>
      <x:c r="E140" s="25" t="str">
        <x:v>Conservateur</x:v>
      </x:c>
      <x:c r="F140" s="25" t="n">
        <x:v>1</x:v>
      </x:c>
      <x:c r="G140" s="25" t="n">
        <x:v>0.1790009035884538</x:v>
      </x:c>
      <x:c r="H140" s="25" t="n">
        <x:v>-1.477706265268936</x:v>
      </x:c>
      <x:c r="I140" s="25" t="n">
        <x:v>9583.512422256637</x:v>
      </x:c>
      <x:c r="J140" s="25" t="n">
        <x:v>25994.13742225663</x:v>
      </x:c>
      <x:c r="K140" s="25" t="n">
        <x:v>5.1987166653811085</x:v>
      </x:c>
      <x:c r="L140" s="25" t="n">
        <x:v>61.25</x:v>
      </x:c>
      <x:c r="M140" s="34" t="b">
        <x:v>0</x:v>
      </x:c>
      <x:c r="N140" s="25" t="n">
        <x:v>-14.847606934358435</x:v>
      </x:c>
    </x:row>
    <x:row r="141" ht="15" hidden="0" customHeight="1">
      <x:c r="A141" s="25" t="n">
        <x:v>8</x:v>
      </x:c>
      <x:c r="B141" s="25" t="n">
        <x:v>4</x:v>
      </x:c>
      <x:c r="C141" s="25" t="n">
        <x:v>3</x:v>
      </x:c>
      <x:c r="D141" s="25" t="n">
        <x:v>30</x:v>
      </x:c>
      <x:c r="E141" s="25" t="str">
        <x:v>Agressif</x:v>
      </x:c>
      <x:c r="F141" s="25" t="n">
        <x:v>0.8</x:v>
      </x:c>
      <x:c r="G141" s="25" t="n">
        <x:v>0.1731572896389121</x:v>
      </x:c>
      <x:c r="H141" s="25" t="n">
        <x:v>-1.449194425210873</x:v>
      </x:c>
      <x:c r="I141" s="25" t="n">
        <x:v>8976.85473009774</x:v>
      </x:c>
      <x:c r="J141" s="25" t="n">
        <x:v>25387.479730097733</x:v>
      </x:c>
      <x:c r="K141" s="25" t="n">
        <x:v>4.158973332304886</x:v>
      </x:c>
      <x:c r="L141" s="25" t="n">
        <x:v>59.25</x:v>
      </x:c>
      <x:c r="M141" s="34" t="b">
        <x:v>0</x:v>
      </x:c>
      <x:c r="N141" s="25" t="n">
        <x:v>-14.856209700131664</x:v>
      </x:c>
    </x:row>
    <x:row r="142" ht="15" hidden="0" customHeight="1">
      <x:c r="A142" s="25" t="n">
        <x:v>6</x:v>
      </x:c>
      <x:c r="B142" s="25" t="n">
        <x:v>4</x:v>
      </x:c>
      <x:c r="C142" s="25" t="n">
        <x:v>3</x:v>
      </x:c>
      <x:c r="D142" s="25" t="n">
        <x:v>40</x:v>
      </x:c>
      <x:c r="E142" s="25" t="str">
        <x:v>Conservateur</x:v>
      </x:c>
      <x:c r="F142" s="25" t="n">
        <x:v>1.2</x:v>
      </x:c>
      <x:c r="G142" s="25" t="n">
        <x:v>0.1633298109830092</x:v>
      </x:c>
      <x:c r="H142" s="25" t="n">
        <x:v>-1.5171288259871905</x:v>
      </x:c>
      <x:c r="I142" s="25" t="n">
        <x:v>7923.789871736317</x:v>
      </x:c>
      <x:c r="J142" s="25" t="n">
        <x:v>24334.414871736313</x:v>
      </x:c>
      <x:c r="K142" s="25" t="n">
        <x:v>6.238459998457328</x:v>
      </x:c>
      <x:c r="L142" s="25" t="n">
        <x:v>70.25</x:v>
      </x:c>
      <x:c r="M142" s="34" t="b">
        <x:v>0</x:v>
      </x:c>
      <x:c r="N142" s="25" t="n">
        <x:v>-14.895081045614251</x:v>
      </x:c>
    </x:row>
    <x:row r="143" ht="15" hidden="0" customHeight="1">
      <x:c r="A143" s="25" t="n">
        <x:v>10</x:v>
      </x:c>
      <x:c r="B143" s="25" t="n">
        <x:v>3</x:v>
      </x:c>
      <x:c r="C143" s="25" t="n">
        <x:v>3</x:v>
      </x:c>
      <x:c r="D143" s="25" t="n">
        <x:v>30</x:v>
      </x:c>
      <x:c r="E143" s="25" t="str">
        <x:v>Agressif</x:v>
      </x:c>
      <x:c r="F143" s="25" t="n">
        <x:v>0.8</x:v>
      </x:c>
      <x:c r="G143" s="25" t="n">
        <x:v>0.18220754460634458</x:v>
      </x:c>
      <x:c r="H143" s="25" t="n">
        <x:v>-1.4483643697031194</x:v>
      </x:c>
      <x:c r="I143" s="25" t="n">
        <x:v>9990.029558024471</x:v>
      </x:c>
      <x:c r="J143" s="25" t="n">
        <x:v>26400.654558024467</x:v>
      </x:c>
      <x:c r="K143" s="25" t="n">
        <x:v>4.158973332304886</x:v>
      </x:c>
      <x:c r="L143" s="25" t="n">
        <x:v>56.25</x:v>
      </x:c>
      <x:c r="M143" s="34" t="b">
        <x:v>0</x:v>
      </x:c>
      <x:c r="N143" s="25" t="n">
        <x:v>-14.937694289229036</x:v>
      </x:c>
    </x:row>
    <x:row r="144" ht="15" hidden="0" customHeight="1">
      <x:c r="A144" s="25" t="n">
        <x:v>10</x:v>
      </x:c>
      <x:c r="B144" s="25" t="n">
        <x:v>2</x:v>
      </x:c>
      <x:c r="C144" s="25" t="n">
        <x:v>3</x:v>
      </x:c>
      <x:c r="D144" s="25" t="n">
        <x:v>40</x:v>
      </x:c>
      <x:c r="E144" s="25" t="str">
        <x:v>Conservateur</x:v>
      </x:c>
      <x:c r="F144" s="25" t="n">
        <x:v>1.2</x:v>
      </x:c>
      <x:c r="G144" s="25" t="n">
        <x:v>0.1790009035884538</x:v>
      </x:c>
      <x:c r="H144" s="25" t="n">
        <x:v>-1.5064211958072242</x:v>
      </x:c>
      <x:c r="I144" s="25" t="n">
        <x:v>9583.512422256637</x:v>
      </x:c>
      <x:c r="J144" s="25" t="n">
        <x:v>25994.13742225663</x:v>
      </x:c>
      <x:c r="K144" s="25" t="n">
        <x:v>6.238459998457328</x:v>
      </x:c>
      <x:c r="L144" s="25" t="n">
        <x:v>64.25</x:v>
      </x:c>
      <x:c r="M144" s="34" t="b">
        <x:v>0</x:v>
      </x:c>
      <x:c r="N144" s="25" t="n">
        <x:v>-14.96548019781564</x:v>
      </x:c>
    </x:row>
    <x:row r="145" ht="15" hidden="0" customHeight="1">
      <x:c r="A145" s="25" t="n">
        <x:v>8</x:v>
      </x:c>
      <x:c r="B145" s="25" t="n">
        <x:v>4</x:v>
      </x:c>
      <x:c r="C145" s="25" t="n">
        <x:v>1.5</x:v>
      </x:c>
      <x:c r="D145" s="25" t="n">
        <x:v>30</x:v>
      </x:c>
      <x:c r="E145" s="25" t="str">
        <x:v>Conservateur</x:v>
      </x:c>
      <x:c r="F145" s="25" t="n">
        <x:v>1.2</x:v>
      </x:c>
      <x:c r="G145" s="25" t="n">
        <x:v>0.1023541444674264</x:v>
      </x:c>
      <x:c r="H145" s="25" t="n">
        <x:v>-1.3380647277836029</x:v>
      </x:c>
      <x:c r="I145" s="25" t="n">
        <x:v>4965.613615665047</x:v>
      </x:c>
      <x:c r="J145" s="25" t="n">
        <x:v>21376.238615665043</x:v>
      </x:c>
      <x:c r="K145" s="25" t="n">
        <x:v>6.238459998457328</x:v>
      </x:c>
      <x:c r="L145" s="25" t="n">
        <x:v>64.25</x:v>
      </x:c>
      <x:c r="M145" s="34" t="b">
        <x:v>0</x:v>
      </x:c>
      <x:c r="N145" s="25" t="n">
        <x:v>-14.972140248881615</x:v>
      </x:c>
    </x:row>
    <x:row r="146" ht="15" hidden="0" customHeight="1">
      <x:c r="A146" s="25" t="n">
        <x:v>6</x:v>
      </x:c>
      <x:c r="B146" s="25" t="n">
        <x:v>3</x:v>
      </x:c>
      <x:c r="C146" s="25" t="n">
        <x:v>2</x:v>
      </x:c>
      <x:c r="D146" s="25" t="n">
        <x:v>30</x:v>
      </x:c>
      <x:c r="E146" s="25" t="str">
        <x:v>Conservateur</x:v>
      </x:c>
      <x:c r="F146" s="25" t="n">
        <x:v>1.2</x:v>
      </x:c>
      <x:c r="G146" s="25" t="n">
        <x:v>0.11119520286766162</x:v>
      </x:c>
      <x:c r="H146" s="25" t="n">
        <x:v>-1.4407652638018105</x:v>
      </x:c>
      <x:c r="I146" s="25" t="n">
        <x:v>5633.989257184766</x:v>
      </x:c>
      <x:c r="J146" s="25" t="n">
        <x:v>22044.614257184763</x:v>
      </x:c>
      <x:c r="K146" s="25" t="n">
        <x:v>6.238459998457328</x:v>
      </x:c>
      <x:c r="L146" s="25" t="n">
        <x:v>74.25</x:v>
      </x:c>
      <x:c r="M146" s="34" t="b">
        <x:v>0</x:v>
      </x:c>
      <x:c r="N146" s="25" t="n">
        <x:v>-15.053395437323868</x:v>
      </x:c>
    </x:row>
    <x:row r="147" ht="15" hidden="0" customHeight="1">
      <x:c r="A147" s="25" t="n">
        <x:v>8</x:v>
      </x:c>
      <x:c r="B147" s="25" t="n">
        <x:v>4</x:v>
      </x:c>
      <x:c r="C147" s="25" t="n">
        <x:v>1.5</x:v>
      </x:c>
      <x:c r="D147" s="25" t="n">
        <x:v>30</x:v>
      </x:c>
      <x:c r="E147" s="25" t="str">
        <x:v>Conservateur</x:v>
      </x:c>
      <x:c r="F147" s="25" t="n">
        <x:v>1</x:v>
      </x:c>
      <x:c r="G147" s="25" t="n">
        <x:v>0.1023541444674264</x:v>
      </x:c>
      <x:c r="H147" s="25" t="n">
        <x:v>-1.3179793996673688</x:v>
      </x:c>
      <x:c r="I147" s="25" t="n">
        <x:v>4965.613615665047</x:v>
      </x:c>
      <x:c r="J147" s="25" t="n">
        <x:v>21376.238615665043</x:v>
      </x:c>
      <x:c r="K147" s="25" t="n">
        <x:v>5.1987166653811085</x:v>
      </x:c>
      <x:c r="L147" s="25" t="n">
        <x:v>61.25</x:v>
      </x:c>
      <x:c r="M147" s="34" t="b">
        <x:v>0</x:v>
      </x:c>
      <x:c r="N147" s="25" t="n">
        <x:v>-15.070007045975764</x:v>
      </x:c>
    </x:row>
    <x:row r="148" ht="15" hidden="0" customHeight="1">
      <x:c r="A148" s="25" t="n">
        <x:v>6</x:v>
      </x:c>
      <x:c r="B148" s="25" t="n">
        <x:v>3</x:v>
      </x:c>
      <x:c r="C148" s="25" t="n">
        <x:v>2</x:v>
      </x:c>
      <x:c r="D148" s="25" t="n">
        <x:v>30</x:v>
      </x:c>
      <x:c r="E148" s="25" t="str">
        <x:v>Conservateur</x:v>
      </x:c>
      <x:c r="F148" s="25" t="n">
        <x:v>1</x:v>
      </x:c>
      <x:c r="G148" s="25" t="n">
        <x:v>0.11119520286766162</x:v>
      </x:c>
      <x:c r="H148" s="25" t="n">
        <x:v>-1.4175031698105844</x:v>
      </x:c>
      <x:c r="I148" s="25" t="n">
        <x:v>5633.989257184766</x:v>
      </x:c>
      <x:c r="J148" s="25" t="n">
        <x:v>22044.614257184763</x:v>
      </x:c>
      <x:c r="K148" s="25" t="n">
        <x:v>5.1987166653811085</x:v>
      </x:c>
      <x:c r="L148" s="25" t="n">
        <x:v>71.25</x:v>
      </x:c>
      <x:c r="M148" s="34" t="b">
        <x:v>0</x:v>
      </x:c>
      <x:c r="N148" s="25" t="n">
        <x:v>-15.071843087543218</x:v>
      </x:c>
    </x:row>
    <x:row r="149" ht="15" hidden="0" customHeight="1">
      <x:c r="A149" s="25" t="n">
        <x:v>10</x:v>
      </x:c>
      <x:c r="B149" s="25" t="n">
        <x:v>3</x:v>
      </x:c>
      <x:c r="C149" s="25" t="n">
        <x:v>3</x:v>
      </x:c>
      <x:c r="D149" s="25" t="n">
        <x:v>35</x:v>
      </x:c>
      <x:c r="E149" s="25" t="str">
        <x:v>Équilibré</x:v>
      </x:c>
      <x:c r="F149" s="25" t="n">
        <x:v>1</x:v>
      </x:c>
      <x:c r="G149" s="25" t="n">
        <x:v>0.18093112030606198</x:v>
      </x:c>
      <x:c r="H149" s="25" t="n">
        <x:v>-1.464489034134281</x:v>
      </x:c>
      <x:c r="I149" s="25" t="n">
        <x:v>9432.99955792</x:v>
      </x:c>
      <x:c r="J149" s="25" t="n">
        <x:v>25843.624557919997</x:v>
      </x:c>
      <x:c r="K149" s="25" t="n">
        <x:v>5.1987166653811085</x:v>
      </x:c>
      <x:c r="L149" s="25" t="n">
        <x:v>57.75</x:v>
      </x:c>
      <x:c r="M149" s="34" t="b">
        <x:v>0</x:v>
      </x:c>
      <x:c r="N149" s="25" t="n">
        <x:v>-15.111014236523616</x:v>
      </x:c>
    </x:row>
    <x:row r="150" ht="15" hidden="0" customHeight="1">
      <x:c r="A150" s="25" t="n">
        <x:v>10</x:v>
      </x:c>
      <x:c r="B150" s="25" t="n">
        <x:v>3</x:v>
      </x:c>
      <x:c r="C150" s="25" t="n">
        <x:v>3</x:v>
      </x:c>
      <x:c r="D150" s="25" t="n">
        <x:v>35</x:v>
      </x:c>
      <x:c r="E150" s="25" t="str">
        <x:v>Équilibré</x:v>
      </x:c>
      <x:c r="F150" s="25" t="n">
        <x:v>1.2</x:v>
      </x:c>
      <x:c r="G150" s="25" t="n">
        <x:v>0.18093112030606198</x:v>
      </x:c>
      <x:c r="H150" s="25" t="n">
        <x:v>-1.492804418662984</x:v>
      </x:c>
      <x:c r="I150" s="25" t="n">
        <x:v>9432.99955792</x:v>
      </x:c>
      <x:c r="J150" s="25" t="n">
        <x:v>25843.624557919997</x:v>
      </x:c>
      <x:c r="K150" s="25" t="n">
        <x:v>6.238459998457328</x:v>
      </x:c>
      <x:c r="L150" s="25" t="n">
        <x:v>60.75</x:v>
      </x:c>
      <x:c r="M150" s="34" t="b">
        <x:v>0</x:v>
      </x:c>
      <x:c r="N150" s="25" t="n">
        <x:v>-15.218898849741196</x:v>
      </x:c>
    </x:row>
    <x:row r="151" ht="15" hidden="0" customHeight="1">
      <x:c r="A151" s="25" t="n">
        <x:v>10</x:v>
      </x:c>
      <x:c r="B151" s="25" t="n">
        <x:v>4</x:v>
      </x:c>
      <x:c r="C151" s="25" t="n">
        <x:v>3</x:v>
      </x:c>
      <x:c r="D151" s="25" t="n">
        <x:v>30</x:v>
      </x:c>
      <x:c r="E151" s="25" t="str">
        <x:v>Agressif</x:v>
      </x:c>
      <x:c r="F151" s="25" t="n">
        <x:v>1</x:v>
      </x:c>
      <x:c r="G151" s="25" t="n">
        <x:v>0.1825689039855523</x:v>
      </x:c>
      <x:c r="H151" s="25" t="n">
        <x:v>-1.4477605546113734</x:v>
      </x:c>
      <x:c r="I151" s="25" t="n">
        <x:v>9464.773517355698</x:v>
      </x:c>
      <x:c r="J151" s="25" t="n">
        <x:v>25875.39851735569</x:v>
      </x:c>
      <x:c r="K151" s="25" t="n">
        <x:v>5.1987166653811085</x:v>
      </x:c>
      <x:c r="L151" s="25" t="n">
        <x:v>54.25</x:v>
      </x:c>
      <x:c r="M151" s="34" t="b">
        <x:v>0</x:v>
      </x:c>
      <x:c r="N151" s="25" t="n">
        <x:v>-15.302724146078955</x:v>
      </x:c>
    </x:row>
    <x:row r="152" ht="15" hidden="0" customHeight="1">
      <x:c r="A152" s="25" t="n">
        <x:v>6</x:v>
      </x:c>
      <x:c r="B152" s="25" t="n">
        <x:v>4</x:v>
      </x:c>
      <x:c r="C152" s="25" t="n">
        <x:v>3</x:v>
      </x:c>
      <x:c r="D152" s="25" t="n">
        <x:v>35</x:v>
      </x:c>
      <x:c r="E152" s="25" t="str">
        <x:v>Équilibré</x:v>
      </x:c>
      <x:c r="F152" s="25" t="n">
        <x:v>0.8</x:v>
      </x:c>
      <x:c r="G152" s="25" t="n">
        <x:v>0.1586266433805618</x:v>
      </x:c>
      <x:c r="H152" s="25" t="n">
        <x:v>-1.4899296477291717</x:v>
      </x:c>
      <x:c r="I152" s="25" t="n">
        <x:v>7881.949791423997</x:v>
      </x:c>
      <x:c r="J152" s="25" t="n">
        <x:v>24292.57479142399</x:v>
      </x:c>
      <x:c r="K152" s="25" t="n">
        <x:v>4.158973332304886</x:v>
      </x:c>
      <x:c r="L152" s="25" t="n">
        <x:v>65.75</x:v>
      </x:c>
      <x:c r="M152" s="34" t="b">
        <x:v>0</x:v>
      </x:c>
      <x:c r="N152" s="25" t="n">
        <x:v>-15.373775807298392</x:v>
      </x:c>
    </x:row>
    <x:row r="153" ht="15" hidden="0" customHeight="1">
      <x:c r="A153" s="25" t="n">
        <x:v>10</x:v>
      </x:c>
      <x:c r="B153" s="25" t="n">
        <x:v>4</x:v>
      </x:c>
      <x:c r="C153" s="25" t="n">
        <x:v>3</x:v>
      </x:c>
      <x:c r="D153" s="25" t="n">
        <x:v>30</x:v>
      </x:c>
      <x:c r="E153" s="25" t="str">
        <x:v>Agressif</x:v>
      </x:c>
      <x:c r="F153" s="25" t="n">
        <x:v>1.2</x:v>
      </x:c>
      <x:c r="G153" s="25" t="n">
        <x:v>0.1825689039855523</x:v>
      </x:c>
      <x:c r="H153" s="25" t="n">
        <x:v>-1.4757085815616475</x:v>
      </x:c>
      <x:c r="I153" s="25" t="n">
        <x:v>9464.773517355698</x:v>
      </x:c>
      <x:c r="J153" s="25" t="n">
        <x:v>25875.39851735569</x:v>
      </x:c>
      <x:c r="K153" s="25" t="n">
        <x:v>6.238459998457328</x:v>
      </x:c>
      <x:c r="L153" s="25" t="n">
        <x:v>57.25</x:v>
      </x:c>
      <x:c r="M153" s="34" t="b">
        <x:v>0</x:v>
      </x:c>
      <x:c r="N153" s="25" t="n">
        <x:v>-15.401424819835809</x:v>
      </x:c>
    </x:row>
    <x:row r="154" ht="15" hidden="0" customHeight="1">
      <x:c r="A154" s="25" t="n">
        <x:v>10</x:v>
      </x:c>
      <x:c r="B154" s="25" t="n">
        <x:v>4</x:v>
      </x:c>
      <x:c r="C154" s="25" t="n">
        <x:v>3</x:v>
      </x:c>
      <x:c r="D154" s="25" t="n">
        <x:v>40</x:v>
      </x:c>
      <x:c r="E154" s="25" t="str">
        <x:v>Équilibré</x:v>
      </x:c>
      <x:c r="F154" s="25" t="n">
        <x:v>0.8</x:v>
      </x:c>
      <x:c r="G154" s="25" t="n">
        <x:v>0.1734367199101735</x:v>
      </x:c>
      <x:c r="H154" s="25" t="n">
        <x:v>-1.4238778545686517</x:v>
      </x:c>
      <x:c r="I154" s="25" t="n">
        <x:v>8617.843063359996</x:v>
      </x:c>
      <x:c r="J154" s="25" t="n">
        <x:v>25028.468063359986</x:v>
      </x:c>
      <x:c r="K154" s="25" t="n">
        <x:v>4.158973332304886</x:v>
      </x:c>
      <x:c r="L154" s="25" t="n">
        <x:v>53.25</x:v>
      </x:c>
      <x:c r="M154" s="34" t="b">
        <x:v>0</x:v>
      </x:c>
      <x:c r="N154" s="25" t="n">
        <x:v>-15.40792676915675</x:v>
      </x:c>
    </x:row>
    <x:row r="155" ht="15" hidden="0" customHeight="1">
      <x:c r="A155" s="25" t="n">
        <x:v>8</x:v>
      </x:c>
      <x:c r="B155" s="25" t="n">
        <x:v>3</x:v>
      </x:c>
      <x:c r="C155" s="25" t="n">
        <x:v>1.5</x:v>
      </x:c>
      <x:c r="D155" s="25" t="n">
        <x:v>30</x:v>
      </x:c>
      <x:c r="E155" s="25" t="str">
        <x:v>Conservateur</x:v>
      </x:c>
      <x:c r="F155" s="25" t="n">
        <x:v>0.8</x:v>
      </x:c>
      <x:c r="G155" s="25" t="n">
        <x:v>0.09294154578574572</x:v>
      </x:c>
      <x:c r="H155" s="25" t="n">
        <x:v>-1.3343122033308266</x:v>
      </x:c>
      <x:c r="I155" s="25" t="n">
        <x:v>4709.12105017907</x:v>
      </x:c>
      <x:c r="J155" s="25" t="n">
        <x:v>21119.746050179067</x:v>
      </x:c>
      <x:c r="K155" s="25" t="n">
        <x:v>4.158973332304886</x:v>
      </x:c>
      <x:c r="L155" s="25" t="n">
        <x:v>63.25</x:v>
      </x:c>
      <x:c r="M155" s="34" t="b">
        <x:v>0</x:v>
      </x:c>
      <x:c r="N155" s="25" t="n">
        <x:v>-15.596020065054647</x:v>
      </x:c>
    </x:row>
    <x:row r="156" ht="15" hidden="0" customHeight="1">
      <x:c r="A156" s="25" t="n">
        <x:v>6</x:v>
      </x:c>
      <x:c r="B156" s="25" t="n">
        <x:v>2</x:v>
      </x:c>
      <x:c r="C156" s="25" t="n">
        <x:v>3</x:v>
      </x:c>
      <x:c r="D156" s="25" t="n">
        <x:v>40</x:v>
      </x:c>
      <x:c r="E156" s="25" t="str">
        <x:v>Conservateur</x:v>
      </x:c>
      <x:c r="F156" s="25" t="n">
        <x:v>0.8</x:v>
      </x:c>
      <x:c r="G156" s="25" t="n">
        <x:v>0.1536897366677393</x:v>
      </x:c>
      <x:c r="H156" s="25" t="n">
        <x:v>-1.558599637611516</x:v>
      </x:c>
      <x:c r="I156" s="25" t="n">
        <x:v>8228.380253962236</x:v>
      </x:c>
      <x:c r="J156" s="25" t="n">
        <x:v>24639.00525396223</x:v>
      </x:c>
      <x:c r="K156" s="25" t="n">
        <x:v>4.158973332304886</x:v>
      </x:c>
      <x:c r="L156" s="25" t="n">
        <x:v>74.25</x:v>
      </x:c>
      <x:c r="M156" s="34" t="b">
        <x:v>0</x:v>
      </x:c>
      <x:c r="N156" s="25" t="n">
        <x:v>-15.662055423562244</x:v>
      </x:c>
    </x:row>
    <x:row r="157" ht="15" hidden="0" customHeight="1">
      <x:c r="A157" s="25" t="n">
        <x:v>10</x:v>
      </x:c>
      <x:c r="B157" s="25" t="n">
        <x:v>3</x:v>
      </x:c>
      <x:c r="C157" s="25" t="n">
        <x:v>1.5</x:v>
      </x:c>
      <x:c r="D157" s="25" t="n">
        <x:v>30</x:v>
      </x:c>
      <x:c r="E157" s="25" t="str">
        <x:v>Conservateur</x:v>
      </x:c>
      <x:c r="F157" s="25" t="n">
        <x:v>1.2</x:v>
      </x:c>
      <x:c r="G157" s="25" t="n">
        <x:v>0.10446885967526992</x:v>
      </x:c>
      <x:c r="H157" s="25" t="n">
        <x:v>-1.353336333356269</x:v>
      </x:c>
      <x:c r="I157" s="25" t="n">
        <x:v>5293.181881427967</x:v>
      </x:c>
      <x:c r="J157" s="25" t="n">
        <x:v>21703.806881427965</x:v>
      </x:c>
      <x:c r="K157" s="25" t="n">
        <x:v>6.238459998457328</x:v>
      </x:c>
      <x:c r="L157" s="25" t="n">
        <x:v>61.25</x:v>
      </x:c>
      <x:c r="M157" s="34" t="b">
        <x:v>0</x:v>
      </x:c>
      <x:c r="N157" s="25" t="n">
        <x:v>-15.837621051766881</x:v>
      </x:c>
    </x:row>
    <x:row r="158" ht="15" hidden="0" customHeight="1">
      <x:c r="A158" s="25" t="n">
        <x:v>8</x:v>
      </x:c>
      <x:c r="B158" s="25" t="n">
        <x:v>4</x:v>
      </x:c>
      <x:c r="C158" s="25" t="n">
        <x:v>2</x:v>
      </x:c>
      <x:c r="D158" s="25" t="n">
        <x:v>35</x:v>
      </x:c>
      <x:c r="E158" s="25" t="str">
        <x:v>Conservateur</x:v>
      </x:c>
      <x:c r="F158" s="25" t="n">
        <x:v>0.8</x:v>
      </x:c>
      <x:c r="G158" s="25" t="n">
        <x:v>0.11196663670200922</x:v>
      </x:c>
      <x:c r="H158" s="25" t="n">
        <x:v>-1.3504188199717013</x:v>
      </x:c>
      <x:c r="I158" s="25" t="n">
        <x:v>5431.954500725245</x:v>
      </x:c>
      <x:c r="J158" s="25" t="n">
        <x:v>21842.57950072524</x:v>
      </x:c>
      <x:c r="K158" s="25" t="n">
        <x:v>4.158973332304886</x:v>
      </x:c>
      <x:c r="L158" s="25" t="n">
        <x:v>58.75</x:v>
      </x:c>
      <x:c r="M158" s="34" t="b">
        <x:v>0</x:v>
      </x:c>
      <x:c r="N158" s="25" t="n">
        <x:v>-15.852305480682023</x:v>
      </x:c>
    </x:row>
    <x:row r="159" ht="15" hidden="0" customHeight="1">
      <x:c r="A159" s="25" t="n">
        <x:v>10</x:v>
      </x:c>
      <x:c r="B159" s="25" t="n">
        <x:v>3</x:v>
      </x:c>
      <x:c r="C159" s="25" t="n">
        <x:v>1.5</x:v>
      </x:c>
      <x:c r="D159" s="25" t="n">
        <x:v>30</x:v>
      </x:c>
      <x:c r="E159" s="25" t="str">
        <x:v>Conservateur</x:v>
      </x:c>
      <x:c r="F159" s="25" t="n">
        <x:v>1</x:v>
      </x:c>
      <x:c r="G159" s="25" t="n">
        <x:v>0.10446885967526992</x:v>
      </x:c>
      <x:c r="H159" s="25" t="n">
        <x:v>-1.332616379784134</x:v>
      </x:c>
      <x:c r="I159" s="25" t="n">
        <x:v>5293.181881427967</x:v>
      </x:c>
      <x:c r="J159" s="25" t="n">
        <x:v>21703.806881427965</x:v>
      </x:c>
      <x:c r="K159" s="25" t="n">
        <x:v>5.1987166653811085</x:v>
      </x:c>
      <x:c r="L159" s="25" t="n">
        <x:v>58.25</x:v>
      </x:c>
      <x:c r="M159" s="34" t="b">
        <x:v>0</x:v>
      </x:c>
      <x:c r="N159" s="25" t="n">
        <x:v>-15.919622212463507</x:v>
      </x:c>
    </x:row>
    <x:row r="160" ht="15" hidden="0" customHeight="1">
      <x:c r="A160" s="25" t="n">
        <x:v>10</x:v>
      </x:c>
      <x:c r="B160" s="25" t="n">
        <x:v>4</x:v>
      </x:c>
      <x:c r="C160" s="25" t="n">
        <x:v>2</x:v>
      </x:c>
      <x:c r="D160" s="25" t="n">
        <x:v>35</x:v>
      </x:c>
      <x:c r="E160" s="25" t="str">
        <x:v>Conservateur</x:v>
      </x:c>
      <x:c r="F160" s="25" t="n">
        <x:v>1.2</x:v>
      </x:c>
      <x:c r="G160" s="25" t="n">
        <x:v>0.12404559407451897</x:v>
      </x:c>
      <x:c r="H160" s="25" t="n">
        <x:v>-1.3640352469947974</x:v>
      </x:c>
      <x:c r="I160" s="25" t="n">
        <x:v>6017.953587563006</x:v>
      </x:c>
      <x:c r="J160" s="25" t="n">
        <x:v>22428.578587563</x:v>
      </x:c>
      <x:c r="K160" s="25" t="n">
        <x:v>6.238459998457328</x:v>
      </x:c>
      <x:c r="L160" s="25" t="n">
        <x:v>56.75</x:v>
      </x:c>
      <x:c r="M160" s="34" t="b">
        <x:v>0</x:v>
      </x:c>
      <x:c r="N160" s="25" t="n">
        <x:v>-15.92837350077139</x:v>
      </x:c>
    </x:row>
    <x:row r="161" ht="15" hidden="0" customHeight="1">
      <x:c r="A161" s="25" t="n">
        <x:v>10</x:v>
      </x:c>
      <x:c r="B161" s="25" t="n">
        <x:v>4</x:v>
      </x:c>
      <x:c r="C161" s="25" t="n">
        <x:v>2</x:v>
      </x:c>
      <x:c r="D161" s="25" t="n">
        <x:v>35</x:v>
      </x:c>
      <x:c r="E161" s="25" t="str">
        <x:v>Conservateur</x:v>
      </x:c>
      <x:c r="F161" s="25" t="n">
        <x:v>1</x:v>
      </x:c>
      <x:c r="G161" s="25" t="n">
        <x:v>0.12404559407451897</x:v>
      </x:c>
      <x:c r="H161" s="25" t="n">
        <x:v>-1.342109676419243</x:v>
      </x:c>
      <x:c r="I161" s="25" t="n">
        <x:v>6017.953587563006</x:v>
      </x:c>
      <x:c r="J161" s="25" t="n">
        <x:v>22428.578587563</x:v>
      </x:c>
      <x:c r="K161" s="25" t="n">
        <x:v>5.1987166653811085</x:v>
      </x:c>
      <x:c r="L161" s="25" t="n">
        <x:v>53.75</x:v>
      </x:c>
      <x:c r="M161" s="34" t="b">
        <x:v>0</x:v>
      </x:c>
      <x:c r="N161" s="25" t="n">
        <x:v>-15.980234236382532</x:v>
      </x:c>
    </x:row>
    <x:row r="162" ht="15" hidden="0" customHeight="1">
      <x:c r="A162" s="25" t="n">
        <x:v>8</x:v>
      </x:c>
      <x:c r="B162" s="25" t="n">
        <x:v>2</x:v>
      </x:c>
      <x:c r="C162" s="25" t="n">
        <x:v>3</x:v>
      </x:c>
      <x:c r="D162" s="25" t="n">
        <x:v>40</x:v>
      </x:c>
      <x:c r="E162" s="25" t="str">
        <x:v>Conservateur</x:v>
      </x:c>
      <x:c r="F162" s="25" t="n">
        <x:v>1</x:v>
      </x:c>
      <x:c r="G162" s="25" t="n">
        <x:v>0.16361498750819137</x:v>
      </x:c>
      <x:c r="H162" s="25" t="n">
        <x:v>-1.5563820481160509</x:v>
      </x:c>
      <x:c r="I162" s="25" t="n">
        <x:v>8759.767318589438</x:v>
      </x:c>
      <x:c r="J162" s="25" t="n">
        <x:v>25170.39231858943</x:v>
      </x:c>
      <x:c r="K162" s="25" t="n">
        <x:v>5.1987166653811085</x:v>
      </x:c>
      <x:c r="L162" s="25" t="n">
        <x:v>69.25</x:v>
      </x:c>
      <x:c r="M162" s="34" t="b">
        <x:v>0</x:v>
      </x:c>
      <x:c r="N162" s="25" t="n">
        <x:v>-16.060726889950743</x:v>
      </x:c>
    </x:row>
    <x:row r="163" ht="15" hidden="0" customHeight="1">
      <x:c r="A163" s="25" t="n">
        <x:v>8</x:v>
      </x:c>
      <x:c r="B163" s="25" t="n">
        <x:v>2</x:v>
      </x:c>
      <x:c r="C163" s="25" t="n">
        <x:v>3</x:v>
      </x:c>
      <x:c r="D163" s="25" t="n">
        <x:v>35</x:v>
      </x:c>
      <x:c r="E163" s="25" t="str">
        <x:v>Équilibré</x:v>
      </x:c>
      <x:c r="F163" s="25" t="n">
        <x:v>0.8</x:v>
      </x:c>
      <x:c r="G163" s="25" t="n">
        <x:v>0.16200101432978023</x:v>
      </x:c>
      <x:c r="H163" s="25" t="n">
        <x:v>-1.5411227971775838</x:v>
      </x:c>
      <x:c r="I163" s="25" t="n">
        <x:v>8974.654664607997</x:v>
      </x:c>
      <x:c r="J163" s="25" t="n">
        <x:v>25385.27966460799</x:v>
      </x:c>
      <x:c r="K163" s="25" t="n">
        <x:v>4.158973332304886</x:v>
      </x:c>
      <x:c r="L163" s="25" t="n">
        <x:v>67.75</x:v>
      </x:c>
      <x:c r="M163" s="34" t="b">
        <x:v>0</x:v>
      </x:c>
      <x:c r="N163" s="25" t="n">
        <x:v>-16.068014141301685</x:v>
      </x:c>
    </x:row>
    <x:row r="164" ht="15" hidden="0" customHeight="1">
      <x:c r="A164" s="25" t="n">
        <x:v>8</x:v>
      </x:c>
      <x:c r="B164" s="25" t="n">
        <x:v>2</x:v>
      </x:c>
      <x:c r="C164" s="25" t="n">
        <x:v>3</x:v>
      </x:c>
      <x:c r="D164" s="25" t="n">
        <x:v>40</x:v>
      </x:c>
      <x:c r="E164" s="25" t="str">
        <x:v>Conservateur</x:v>
      </x:c>
      <x:c r="F164" s="25" t="n">
        <x:v>1.2</x:v>
      </x:c>
      <x:c r="G164" s="25" t="n">
        <x:v>0.16361498750819137</x:v>
      </x:c>
      <x:c r="H164" s="25" t="n">
        <x:v>-1.5863176111465713</x:v>
      </x:c>
      <x:c r="I164" s="25" t="n">
        <x:v>8759.767318589438</x:v>
      </x:c>
      <x:c r="J164" s="25" t="n">
        <x:v>25170.39231858943</x:v>
      </x:c>
      <x:c r="K164" s="25" t="n">
        <x:v>6.238459998457328</x:v>
      </x:c>
      <x:c r="L164" s="25" t="n">
        <x:v>72.25</x:v>
      </x:c>
      <x:c r="M164" s="34" t="b">
        <x:v>0</x:v>
      </x:c>
      <x:c r="N164" s="25" t="n">
        <x:v>-16.209115965713757</x:v>
      </x:c>
    </x:row>
    <x:row r="165" ht="15" hidden="0" customHeight="1">
      <x:c r="A165" s="25" t="n">
        <x:v>10</x:v>
      </x:c>
      <x:c r="B165" s="25" t="n">
        <x:v>4</x:v>
      </x:c>
      <x:c r="C165" s="25" t="n">
        <x:v>2</x:v>
      </x:c>
      <x:c r="D165" s="25" t="n">
        <x:v>30</x:v>
      </x:c>
      <x:c r="E165" s="25" t="str">
        <x:v>Équilibré</x:v>
      </x:c>
      <x:c r="F165" s="25" t="n">
        <x:v>1.2</x:v>
      </x:c>
      <x:c r="G165" s="25" t="n">
        <x:v>0.1205119156581635</x:v>
      </x:c>
      <x:c r="H165" s="25" t="n">
        <x:v>-1.3943456009383777</x:v>
      </x:c>
      <x:c r="I165" s="25" t="n">
        <x:v>5988.078977420798</x:v>
      </x:c>
      <x:c r="J165" s="25" t="n">
        <x:v>22398.70397742079</x:v>
      </x:c>
      <x:c r="K165" s="25" t="n">
        <x:v>6.238459998457328</x:v>
      </x:c>
      <x:c r="L165" s="25" t="n">
        <x:v>58.25</x:v>
      </x:c>
      <x:c r="M165" s="34" t="b">
        <x:v>0</x:v>
      </x:c>
      <x:c r="N165" s="25" t="n">
        <x:v>-16.580484662260453</x:v>
      </x:c>
    </x:row>
    <x:row r="166" ht="15" hidden="0" customHeight="1">
      <x:c r="A166" s="25" t="n">
        <x:v>6</x:v>
      </x:c>
      <x:c r="B166" s="25" t="n">
        <x:v>4</x:v>
      </x:c>
      <x:c r="C166" s="25" t="n">
        <x:v>1.5</x:v>
      </x:c>
      <x:c r="D166" s="25" t="n">
        <x:v>30</x:v>
      </x:c>
      <x:c r="E166" s="25" t="str">
        <x:v>Conservateur</x:v>
      </x:c>
      <x:c r="F166" s="25" t="n">
        <x:v>0.8</x:v>
      </x:c>
      <x:c r="G166" s="25" t="n">
        <x:v>0.07924611342617582</x:v>
      </x:c>
      <x:c r="H166" s="25" t="n">
        <x:v>-1.3681807921012707</x:v>
      </x:c>
      <x:c r="I166" s="25" t="n">
        <x:v>3844.549547700887</x:v>
      </x:c>
      <x:c r="J166" s="25" t="n">
        <x:v>20255.174547700888</x:v>
      </x:c>
      <x:c r="K166" s="25" t="n">
        <x:v>4.158973332304886</x:v>
      </x:c>
      <x:c r="L166" s="25" t="n">
        <x:v>66.25</x:v>
      </x:c>
      <x:c r="M166" s="34" t="b">
        <x:v>0</x:v>
      </x:c>
      <x:c r="N166" s="25" t="n">
        <x:v>-16.5959835640921</x:v>
      </x:c>
    </x:row>
    <x:row r="167" ht="15" hidden="0" customHeight="1">
      <x:c r="A167" s="25" t="n">
        <x:v>10</x:v>
      </x:c>
      <x:c r="B167" s="25" t="n">
        <x:v>4</x:v>
      </x:c>
      <x:c r="C167" s="25" t="n">
        <x:v>2</x:v>
      </x:c>
      <x:c r="D167" s="25" t="n">
        <x:v>30</x:v>
      </x:c>
      <x:c r="E167" s="25" t="str">
        <x:v>Équilibré</x:v>
      </x:c>
      <x:c r="F167" s="25" t="n">
        <x:v>1</x:v>
      </x:c>
      <x:c r="G167" s="25" t="n">
        <x:v>0.1205119156581635</x:v>
      </x:c>
      <x:c r="H167" s="25" t="n">
        <x:v>-1.3717914181136066</x:v>
      </x:c>
      <x:c r="I167" s="25" t="n">
        <x:v>5988.078977420798</x:v>
      </x:c>
      <x:c r="J167" s="25" t="n">
        <x:v>22398.70397742079</x:v>
      </x:c>
      <x:c r="K167" s="25" t="n">
        <x:v>5.1987166653811085</x:v>
      </x:c>
      <x:c r="L167" s="25" t="n">
        <x:v>55.25</x:v>
      </x:c>
      <x:c r="M167" s="34" t="b">
        <x:v>0</x:v>
      </x:c>
      <x:c r="N167" s="25" t="n">
        <x:v>-16.616630091641174</x:v>
      </x:c>
    </x:row>
    <x:row r="168" ht="15" hidden="0" customHeight="1">
      <x:c r="A168" s="25" t="n">
        <x:v>8</x:v>
      </x:c>
      <x:c r="B168" s="25" t="n">
        <x:v>4</x:v>
      </x:c>
      <x:c r="C168" s="25" t="n">
        <x:v>2</x:v>
      </x:c>
      <x:c r="D168" s="25" t="n">
        <x:v>30</x:v>
      </x:c>
      <x:c r="E168" s="25" t="str">
        <x:v>Équilibré</x:v>
      </x:c>
      <x:c r="F168" s="25" t="n">
        <x:v>0.8</x:v>
      </x:c>
      <x:c r="G168" s="25" t="n">
        <x:v>0.10727034465560449</x:v>
      </x:c>
      <x:c r="H168" s="25" t="n">
        <x:v>-1.3830401198767674</x:v>
      </x:c>
      <x:c r="I168" s="25" t="n">
        <x:v>5330.122687244797</x:v>
      </x:c>
      <x:c r="J168" s="25" t="n">
        <x:v>21740.74768724479</x:v>
      </x:c>
      <x:c r="K168" s="25" t="n">
        <x:v>4.158973332304886</x:v>
      </x:c>
      <x:c r="L168" s="25" t="n">
        <x:v>60.25</x:v>
      </x:c>
      <x:c r="M168" s="34" t="b">
        <x:v>0</x:v>
      </x:c>
      <x:c r="N168" s="25" t="n">
        <x:v>-16.626134040860936</x:v>
      </x:c>
    </x:row>
    <x:row r="169" ht="15" hidden="0" customHeight="1">
      <x:c r="A169" s="25" t="n">
        <x:v>10</x:v>
      </x:c>
      <x:c r="B169" s="25" t="n">
        <x:v>2</x:v>
      </x:c>
      <x:c r="C169" s="25" t="n">
        <x:v>1.5</x:v>
      </x:c>
      <x:c r="D169" s="25" t="n">
        <x:v>30</x:v>
      </x:c>
      <x:c r="E169" s="25" t="str">
        <x:v>Conservateur</x:v>
      </x:c>
      <x:c r="F169" s="25" t="n">
        <x:v>0.8</x:v>
      </x:c>
      <x:c r="G169" s="25" t="n">
        <x:v>0.09071024551672148</x:v>
      </x:c>
      <x:c r="H169" s="25" t="n">
        <x:v>-1.3495251236241406</x:v>
      </x:c>
      <x:c r="I169" s="25" t="n">
        <x:v>4856.527242645295</x:v>
      </x:c>
      <x:c r="J169" s="25" t="n">
        <x:v>21267.152242645294</x:v>
      </x:c>
      <x:c r="K169" s="25" t="n">
        <x:v>4.158973332304886</x:v>
      </x:c>
      <x:c r="L169" s="25" t="n">
        <x:v>60.25</x:v>
      </x:c>
      <x:c r="M169" s="34" t="b">
        <x:v>0</x:v>
      </x:c>
      <x:c r="N169" s="25" t="n">
        <x:v>-16.699064587183834</x:v>
      </x:c>
    </x:row>
    <x:row r="170" ht="15" hidden="0" customHeight="1">
      <x:c r="A170" s="25" t="n">
        <x:v>6</x:v>
      </x:c>
      <x:c r="B170" s="25" t="n">
        <x:v>3</x:v>
      </x:c>
      <x:c r="C170" s="25" t="n">
        <x:v>3</x:v>
      </x:c>
      <x:c r="D170" s="25" t="n">
        <x:v>40</x:v>
      </x:c>
      <x:c r="E170" s="25" t="str">
        <x:v>Conservateur</x:v>
      </x:c>
      <x:c r="F170" s="25" t="n">
        <x:v>1</x:v>
      </x:c>
      <x:c r="G170" s="25" t="n">
        <x:v>0.15300748617509022</x:v>
      </x:c>
      <x:c r="H170" s="25" t="n">
        <x:v>-1.5829385605908126</x:v>
      </x:c>
      <x:c r="I170" s="25" t="n">
        <x:v>7752.515496601595</x:v>
      </x:c>
      <x:c r="J170" s="25" t="n">
        <x:v>24163.140496601594</x:v>
      </x:c>
      <x:c r="K170" s="25" t="n">
        <x:v>5.1987166653811085</x:v>
      </x:c>
      <x:c r="L170" s="25" t="n">
        <x:v>72.25</x:v>
      </x:c>
      <x:c r="M170" s="34" t="b">
        <x:v>0</x:v>
      </x:c>
      <x:c r="N170" s="25" t="n">
        <x:v>-16.708052275140354</x:v>
      </x:c>
    </x:row>
    <x:row r="171" ht="15" hidden="0" customHeight="1">
      <x:c r="A171" s="25" t="n">
        <x:v>10</x:v>
      </x:c>
      <x:c r="B171" s="25" t="n">
        <x:v>3</x:v>
      </x:c>
      <x:c r="C171" s="25" t="n">
        <x:v>2</x:v>
      </x:c>
      <x:c r="D171" s="25" t="n">
        <x:v>35</x:v>
      </x:c>
      <x:c r="E171" s="25" t="str">
        <x:v>Conservateur</x:v>
      </x:c>
      <x:c r="F171" s="25" t="n">
        <x:v>0.8</x:v>
      </x:c>
      <x:c r="G171" s="25" t="n">
        <x:v>0.11427469309394137</x:v>
      </x:c>
      <x:c r="H171" s="25" t="n">
        <x:v>-1.3667844648561673</x:v>
      </x:c>
      <x:c r="I171" s="25" t="n">
        <x:v>5790.01950313984</x:v>
      </x:c>
      <x:c r="J171" s="25" t="n">
        <x:v>22200.644503139833</x:v>
      </x:c>
      <x:c r="K171" s="25" t="n">
        <x:v>4.158973332304886</x:v>
      </x:c>
      <x:c r="L171" s="25" t="n">
        <x:v>55.75</x:v>
      </x:c>
      <x:c r="M171" s="34" t="b">
        <x:v>0</x:v>
      </x:c>
      <x:c r="N171" s="25" t="n">
        <x:v>-16.734503501237413</x:v>
      </x:c>
    </x:row>
    <x:row r="172" ht="15" hidden="0" customHeight="1">
      <x:c r="A172" s="25" t="n">
        <x:v>8</x:v>
      </x:c>
      <x:c r="B172" s="25" t="n">
        <x:v>3</x:v>
      </x:c>
      <x:c r="C172" s="25" t="n">
        <x:v>3</x:v>
      </x:c>
      <x:c r="D172" s="25" t="n">
        <x:v>35</x:v>
      </x:c>
      <x:c r="E172" s="25" t="str">
        <x:v>Équilibré</x:v>
      </x:c>
      <x:c r="F172" s="25" t="n">
        <x:v>1</x:v>
      </x:c>
      <x:c r="G172" s="25" t="n">
        <x:v>0.16297660720433121</x:v>
      </x:c>
      <x:c r="H172" s="25" t="n">
        <x:v>-1.5561488251642195</x:v>
      </x:c>
      <x:c r="I172" s="25" t="n">
        <x:v>8496.92557648</x:v>
      </x:c>
      <x:c r="J172" s="25" t="n">
        <x:v>24907.550576479993</x:v>
      </x:c>
      <x:c r="K172" s="25" t="n">
        <x:v>5.1987166653811085</x:v>
      </x:c>
      <x:c r="L172" s="25" t="n">
        <x:v>65.75</x:v>
      </x:c>
      <x:c r="M172" s="34" t="b">
        <x:v>0</x:v>
      </x:c>
      <x:c r="N172" s="25" t="n">
        <x:v>-16.790007232867268</x:v>
      </x:c>
    </x:row>
    <x:row r="173" ht="15" hidden="0" customHeight="1">
      <x:c r="A173" s="25" t="n">
        <x:v>8</x:v>
      </x:c>
      <x:c r="B173" s="25" t="n">
        <x:v>3</x:v>
      </x:c>
      <x:c r="C173" s="25" t="n">
        <x:v>3</x:v>
      </x:c>
      <x:c r="D173" s="25" t="n">
        <x:v>30</x:v>
      </x:c>
      <x:c r="E173" s="25" t="str">
        <x:v>Agressif</x:v>
      </x:c>
      <x:c r="F173" s="25" t="n">
        <x:v>0.8</x:v>
      </x:c>
      <x:c r="G173" s="25" t="n">
        <x:v>0.16261660638676517</x:v>
      </x:c>
      <x:c r="H173" s="25" t="n">
        <x:v>-1.5439217374207548</x:v>
      </x:c>
      <x:c r="I173" s="25" t="n">
        <x:v>8915.902510728676</x:v>
      </x:c>
      <x:c r="J173" s="25" t="n">
        <x:v>25326.52751072867</x:v>
      </x:c>
      <x:c r="K173" s="25" t="n">
        <x:v>4.158973332304886</x:v>
      </x:c>
      <x:c r="L173" s="25" t="n">
        <x:v>64.25</x:v>
      </x:c>
      <x:c r="M173" s="34" t="b">
        <x:v>0</x:v>
      </x:c>
      <x:c r="N173" s="25" t="n">
        <x:v>-16.804130084246783</x:v>
      </x:c>
    </x:row>
    <x:row r="174" ht="15" hidden="0" customHeight="1">
      <x:c r="A174" s="25" t="n">
        <x:v>6</x:v>
      </x:c>
      <x:c r="B174" s="25" t="n">
        <x:v>3</x:v>
      </x:c>
      <x:c r="C174" s="25" t="n">
        <x:v>3</x:v>
      </x:c>
      <x:c r="D174" s="25" t="n">
        <x:v>40</x:v>
      </x:c>
      <x:c r="E174" s="25" t="str">
        <x:v>Conservateur</x:v>
      </x:c>
      <x:c r="F174" s="25" t="n">
        <x:v>1.2</x:v>
      </x:c>
      <x:c r="G174" s="25" t="n">
        <x:v>0.15300748617509022</x:v>
      </x:c>
      <x:c r="H174" s="25" t="n">
        <x:v>-1.6127617580154612</x:v>
      </x:c>
      <x:c r="I174" s="25" t="n">
        <x:v>7752.515496601595</x:v>
      </x:c>
      <x:c r="J174" s="25" t="n">
        <x:v>24163.140496601594</x:v>
      </x:c>
      <x:c r="K174" s="25" t="n">
        <x:v>6.238459998457328</x:v>
      </x:c>
      <x:c r="L174" s="25" t="n">
        <x:v>75.25</x:v>
      </x:c>
      <x:c r="M174" s="34" t="b">
        <x:v>0</x:v>
      </x:c>
      <x:c r="N174" s="25" t="n">
        <x:v>-16.85363221075657</x:v>
      </x:c>
    </x:row>
    <x:row r="175" ht="15" hidden="0" customHeight="1">
      <x:c r="A175" s="25" t="n">
        <x:v>6</x:v>
      </x:c>
      <x:c r="B175" s="25" t="n">
        <x:v>2</x:v>
      </x:c>
      <x:c r="C175" s="25" t="n">
        <x:v>2</x:v>
      </x:c>
      <x:c r="D175" s="25" t="n">
        <x:v>30</x:v>
      </x:c>
      <x:c r="E175" s="25" t="str">
        <x:v>Conservateur</x:v>
      </x:c>
      <x:c r="F175" s="25" t="n">
        <x:v>1</x:v>
      </x:c>
      <x:c r="G175" s="25" t="n">
        <x:v>0.09580518092238707</x:v>
      </x:c>
      <x:c r="H175" s="25" t="n">
        <x:v>-1.4961941403765702</x:v>
      </x:c>
      <x:c r="I175" s="25" t="n">
        <x:v>5129.304506736943</x:v>
      </x:c>
      <x:c r="J175" s="25" t="n">
        <x:v>21539.929506736942</x:v>
      </x:c>
      <x:c r="K175" s="25" t="n">
        <x:v>5.1987166653811085</x:v>
      </x:c>
      <x:c r="L175" s="25" t="n">
        <x:v>76.25</x:v>
      </x:c>
      <x:c r="M175" s="34" t="b">
        <x:v>0</x:v>
      </x:c>
      <x:c r="N175" s="25" t="n">
        <x:v>-16.885568558682962</x:v>
      </x:c>
    </x:row>
    <x:row r="176" ht="15" hidden="0" customHeight="1">
      <x:c r="A176" s="25" t="n">
        <x:v>6</x:v>
      </x:c>
      <x:c r="B176" s="25" t="n">
        <x:v>2</x:v>
      </x:c>
      <x:c r="C176" s="25" t="n">
        <x:v>2</x:v>
      </x:c>
      <x:c r="D176" s="25" t="n">
        <x:v>30</x:v>
      </x:c>
      <x:c r="E176" s="25" t="str">
        <x:v>Conservateur</x:v>
      </x:c>
      <x:c r="F176" s="25" t="n">
        <x:v>1.2</x:v>
      </x:c>
      <x:c r="G176" s="25" t="n">
        <x:v>0.09580518092238707</x:v>
      </x:c>
      <x:c r="H176" s="25" t="n">
        <x:v>-1.5209720195562877</x:v>
      </x:c>
      <x:c r="I176" s="25" t="n">
        <x:v>5129.304506736943</x:v>
      </x:c>
      <x:c r="J176" s="25" t="n">
        <x:v>21539.929506736942</x:v>
      </x:c>
      <x:c r="K176" s="25" t="n">
        <x:v>6.238459998457328</x:v>
      </x:c>
      <x:c r="L176" s="25" t="n">
        <x:v>79.25</x:v>
      </x:c>
      <x:c r="M176" s="34" t="b">
        <x:v>0</x:v>
      </x:c>
      <x:c r="N176" s="25" t="n">
        <x:v>-16.905015538175903</x:v>
      </x:c>
    </x:row>
    <x:row r="177" ht="15" hidden="0" customHeight="1">
      <x:c r="A177" s="25" t="n">
        <x:v>8</x:v>
      </x:c>
      <x:c r="B177" s="25" t="n">
        <x:v>3</x:v>
      </x:c>
      <x:c r="C177" s="25" t="n">
        <x:v>3</x:v>
      </x:c>
      <x:c r="D177" s="25" t="n">
        <x:v>35</x:v>
      </x:c>
      <x:c r="E177" s="25" t="str">
        <x:v>Équilibré</x:v>
      </x:c>
      <x:c r="F177" s="25" t="n">
        <x:v>1.2</x:v>
      </x:c>
      <x:c r="G177" s="25" t="n">
        <x:v>0.16297660720433121</x:v>
      </x:c>
      <x:c r="H177" s="25" t="n">
        <x:v>-1.585886285395426</x:v>
      </x:c>
      <x:c r="I177" s="25" t="n">
        <x:v>8496.92557648</x:v>
      </x:c>
      <x:c r="J177" s="25" t="n">
        <x:v>24907.550576479993</x:v>
      </x:c>
      <x:c r="K177" s="25" t="n">
        <x:v>6.238459998457328</x:v>
      </x:c>
      <x:c r="L177" s="25" t="n">
        <x:v>68.75</x:v>
      </x:c>
      <x:c r="M177" s="34" t="b">
        <x:v>0</x:v>
      </x:c>
      <x:c r="N177" s="25" t="n">
        <x:v>-16.933443738647433</x:v>
      </x:c>
    </x:row>
    <x:row r="178" ht="15" hidden="0" customHeight="1">
      <x:c r="A178" s="25" t="n">
        <x:v>6</x:v>
      </x:c>
      <x:c r="B178" s="25" t="n">
        <x:v>3</x:v>
      </x:c>
      <x:c r="C178" s="25" t="n">
        <x:v>3</x:v>
      </x:c>
      <x:c r="D178" s="25" t="n">
        <x:v>35</x:v>
      </x:c>
      <x:c r="E178" s="25" t="str">
        <x:v>Équilibré</x:v>
      </x:c>
      <x:c r="F178" s="25" t="n">
        <x:v>0.8</x:v>
      </x:c>
      <x:c r="G178" s="25" t="n">
        <x:v>0.14900650801808973</x:v>
      </x:c>
      <x:c r="H178" s="25" t="n">
        <x:v>-1.5774462409720722</x:v>
      </x:c>
      <x:c r="I178" s="25" t="n">
        <x:v>7768.58244112</x:v>
      </x:c>
      <x:c r="J178" s="25" t="n">
        <x:v>24179.207441119997</x:v>
      </x:c>
      <x:c r="K178" s="25" t="n">
        <x:v>4.158973332304886</x:v>
      </x:c>
      <x:c r="L178" s="25" t="n">
        <x:v>70.75</x:v>
      </x:c>
      <x:c r="M178" s="34" t="b">
        <x:v>0</x:v>
      </x:c>
      <x:c r="N178" s="25" t="n">
        <x:v>-17.090798083306865</x:v>
      </x:c>
    </x:row>
    <x:row r="179" ht="15" hidden="0" customHeight="1">
      <x:c r="A179" s="25" t="n">
        <x:v>10</x:v>
      </x:c>
      <x:c r="B179" s="25" t="n">
        <x:v>2</x:v>
      </x:c>
      <x:c r="C179" s="25" t="n">
        <x:v>3</x:v>
      </x:c>
      <x:c r="D179" s="25" t="n">
        <x:v>30</x:v>
      </x:c>
      <x:c r="E179" s="25" t="str">
        <x:v>Agressif</x:v>
      </x:c>
      <x:c r="F179" s="25" t="n">
        <x:v>0.8</x:v>
      </x:c>
      <x:c r="G179" s="25" t="n">
        <x:v>0.16849201920025084</x:v>
      </x:c>
      <x:c r="H179" s="25" t="n">
        <x:v>-1.5454958973344628</x:v>
      </x:c>
      <x:c r="I179" s="25" t="n">
        <x:v>9908.75993219905</x:v>
      </x:c>
      <x:c r="J179" s="25" t="n">
        <x:v>26319.384932199042</x:v>
      </x:c>
      <x:c r="K179" s="25" t="n">
        <x:v>4.158973332304886</x:v>
      </x:c>
      <x:c r="L179" s="25" t="n">
        <x:v>61.25</x:v>
      </x:c>
      <x:c r="M179" s="34" t="b">
        <x:v>0</x:v>
      </x:c>
      <x:c r="N179" s="25" t="n">
        <x:v>-17.120336377347776</x:v>
      </x:c>
    </x:row>
    <x:row r="180" ht="15" hidden="0" customHeight="1">
      <x:c r="A180" s="25" t="n">
        <x:v>10</x:v>
      </x:c>
      <x:c r="B180" s="25" t="n">
        <x:v>3</x:v>
      </x:c>
      <x:c r="C180" s="25" t="n">
        <x:v>2</x:v>
      </x:c>
      <x:c r="D180" s="25" t="n">
        <x:v>30</x:v>
      </x:c>
      <x:c r="E180" s="25" t="str">
        <x:v>Équilibré</x:v>
      </x:c>
      <x:c r="F180" s="25" t="n">
        <x:v>0.8</x:v>
      </x:c>
      <x:c r="G180" s="25" t="n">
        <x:v>0.11125786741762779</x:v>
      </x:c>
      <x:c r="H180" s="25" t="n">
        <x:v>-1.3928076133782576</x:v>
      </x:c>
      <x:c r="I180" s="25" t="n">
        <x:v>5800.524599584001</x:v>
      </x:c>
      <x:c r="J180" s="25" t="n">
        <x:v>22211.149599583998</x:v>
      </x:c>
      <x:c r="K180" s="25" t="n">
        <x:v>4.158973332304886</x:v>
      </x:c>
      <x:c r="L180" s="25" t="n">
        <x:v>57.25</x:v>
      </x:c>
      <x:c r="M180" s="34" t="b">
        <x:v>0</x:v>
      </x:c>
      <x:c r="N180" s="25" t="n">
        <x:v>-17.25100762648691</x:v>
      </x:c>
    </x:row>
    <x:row r="181" ht="15" hidden="0" customHeight="1">
      <x:c r="A181" s="25" t="n">
        <x:v>8</x:v>
      </x:c>
      <x:c r="B181" s="25" t="n">
        <x:v>3</x:v>
      </x:c>
      <x:c r="C181" s="25" t="n">
        <x:v>1.5</x:v>
      </x:c>
      <x:c r="D181" s="25" t="n">
        <x:v>30</x:v>
      </x:c>
      <x:c r="E181" s="25" t="str">
        <x:v>Conservateur</x:v>
      </x:c>
      <x:c r="F181" s="25" t="n">
        <x:v>1.2</x:v>
      </x:c>
      <x:c r="G181" s="25" t="n">
        <x:v>0.08420324578448572</x:v>
      </x:c>
      <x:c r="H181" s="25" t="n">
        <x:v>-1.4353988276012237</x:v>
      </x:c>
      <x:c r="I181" s="25" t="n">
        <x:v>4266.37273852979</x:v>
      </x:c>
      <x:c r="J181" s="25" t="n">
        <x:v>20676.997738529786</x:v>
      </x:c>
      <x:c r="K181" s="25" t="n">
        <x:v>6.238459998457328</x:v>
      </x:c>
      <x:c r="L181" s="25" t="n">
        <x:v>69.25</x:v>
      </x:c>
      <x:c r="M181" s="34" t="b">
        <x:v>0</x:v>
      </x:c>
      <x:c r="N181" s="25" t="n">
        <x:v>-17.403792171883875</x:v>
      </x:c>
    </x:row>
    <x:row r="182" ht="15" hidden="0" customHeight="1">
      <x:c r="A182" s="25" t="n">
        <x:v>8</x:v>
      </x:c>
      <x:c r="B182" s="25" t="n">
        <x:v>3</x:v>
      </x:c>
      <x:c r="C182" s="25" t="n">
        <x:v>1.5</x:v>
      </x:c>
      <x:c r="D182" s="25" t="n">
        <x:v>30</x:v>
      </x:c>
      <x:c r="E182" s="25" t="str">
        <x:v>Conservateur</x:v>
      </x:c>
      <x:c r="F182" s="25" t="n">
        <x:v>1</x:v>
      </x:c>
      <x:c r="G182" s="25" t="n">
        <x:v>0.08420324578448572</x:v>
      </x:c>
      <x:c r="H182" s="25" t="n">
        <x:v>-1.4136620178614523</x:v>
      </x:c>
      <x:c r="I182" s="25" t="n">
        <x:v>4266.37273852979</x:v>
      </x:c>
      <x:c r="J182" s="25" t="n">
        <x:v>20676.997738529786</x:v>
      </x:c>
      <x:c r="K182" s="25" t="n">
        <x:v>5.1987166653811085</x:v>
      </x:c>
      <x:c r="L182" s="25" t="n">
        <x:v>66.25</x:v>
      </x:c>
      <x:c r="M182" s="34" t="b">
        <x:v>0</x:v>
      </x:c>
      <x:c r="N182" s="25" t="n">
        <x:v>-17.460371928389595</x:v>
      </x:c>
    </x:row>
    <x:row r="183" ht="15" hidden="0" customHeight="1">
      <x:c r="A183" s="25" t="n">
        <x:v>8</x:v>
      </x:c>
      <x:c r="B183" s="25" t="n">
        <x:v>4</x:v>
      </x:c>
      <x:c r="C183" s="25" t="n">
        <x:v>3</x:v>
      </x:c>
      <x:c r="D183" s="25" t="n">
        <x:v>40</x:v>
      </x:c>
      <x:c r="E183" s="25" t="str">
        <x:v>Équilibré</x:v>
      </x:c>
      <x:c r="F183" s="25" t="n">
        <x:v>0.8</x:v>
      </x:c>
      <x:c r="G183" s="25" t="n">
        <x:v>0.15336787475169397</x:v>
      </x:c>
      <x:c r="H183" s="25" t="n">
        <x:v>-1.5264461447200883</x:v>
      </x:c>
      <x:c r="I183" s="25" t="n">
        <x:v>7620.648477759996</x:v>
      </x:c>
      <x:c r="J183" s="25" t="n">
        <x:v>24031.273477759994</x:v>
      </x:c>
      <x:c r="K183" s="25" t="n">
        <x:v>4.158973332304886</x:v>
      </x:c>
      <x:c r="L183" s="25" t="n">
        <x:v>61.25</x:v>
      </x:c>
      <x:c r="M183" s="34" t="b">
        <x:v>0</x:v>
      </x:c>
      <x:c r="N183" s="25" t="n">
        <x:v>-17.475920506659044</x:v>
      </x:c>
    </x:row>
    <x:row r="184" ht="15" hidden="0" customHeight="1">
      <x:c r="A184" s="25" t="n">
        <x:v>8</x:v>
      </x:c>
      <x:c r="B184" s="25" t="n">
        <x:v>4</x:v>
      </x:c>
      <x:c r="C184" s="25" t="n">
        <x:v>3</x:v>
      </x:c>
      <x:c r="D184" s="25" t="n">
        <x:v>30</x:v>
      </x:c>
      <x:c r="E184" s="25" t="str">
        <x:v>Agressif</x:v>
      </x:c>
      <x:c r="F184" s="25" t="n">
        <x:v>1</x:v>
      </x:c>
      <x:c r="G184" s="25" t="n">
        <x:v>0.16113579589359528</x:v>
      </x:c>
      <x:c r="H184" s="25" t="n">
        <x:v>-1.5573132908023126</x:v>
      </x:c>
      <x:c r="I184" s="25" t="n">
        <x:v>8353.634054748032</x:v>
      </x:c>
      <x:c r="J184" s="25" t="n">
        <x:v>24764.259054748025</x:v>
      </x:c>
      <x:c r="K184" s="25" t="n">
        <x:v>5.1987166653811085</x:v>
      </x:c>
      <x:c r="L184" s="25" t="n">
        <x:v>62.25</x:v>
      </x:c>
      <x:c r="M184" s="34" t="b">
        <x:v>0</x:v>
      </x:c>
      <x:c r="N184" s="25" t="n">
        <x:v>-17.620363495910077</x:v>
      </x:c>
    </x:row>
    <x:row r="185" ht="15" hidden="0" customHeight="1">
      <x:c r="A185" s="25" t="n">
        <x:v>10</x:v>
      </x:c>
      <x:c r="B185" s="25" t="n">
        <x:v>2</x:v>
      </x:c>
      <x:c r="C185" s="25" t="n">
        <x:v>3</x:v>
      </x:c>
      <x:c r="D185" s="25" t="n">
        <x:v>35</x:v>
      </x:c>
      <x:c r="E185" s="25" t="str">
        <x:v>Équilibré</x:v>
      </x:c>
      <x:c r="F185" s="25" t="n">
        <x:v>1</x:v>
      </x:c>
      <x:c r="G185" s="25" t="n">
        <x:v>0.16559023327036446</x:v>
      </x:c>
      <x:c r="H185" s="25" t="n">
        <x:v>-1.571861459579777</x:v>
      </x:c>
      <x:c r="I185" s="25" t="n">
        <x:v>9173.492928928</x:v>
      </x:c>
      <x:c r="J185" s="25" t="n">
        <x:v>25584.11792892799</x:v>
      </x:c>
      <x:c r="K185" s="25" t="n">
        <x:v>5.1987166653811085</x:v>
      </x:c>
      <x:c r="L185" s="25" t="n">
        <x:v>62.75</x:v>
      </x:c>
      <x:c r="M185" s="34" t="b">
        <x:v>0</x:v>
      </x:c>
      <x:c r="N185" s="25" t="n">
        <x:v>-17.639073659624383</x:v>
      </x:c>
    </x:row>
    <x:row r="186" ht="15" hidden="0" customHeight="1">
      <x:c r="A186" s="25" t="n">
        <x:v>8</x:v>
      </x:c>
      <x:c r="B186" s="25" t="n">
        <x:v>4</x:v>
      </x:c>
      <x:c r="C186" s="25" t="n">
        <x:v>3</x:v>
      </x:c>
      <x:c r="D186" s="25" t="n">
        <x:v>30</x:v>
      </x:c>
      <x:c r="E186" s="25" t="str">
        <x:v>Agressif</x:v>
      </x:c>
      <x:c r="F186" s="25" t="n">
        <x:v>1.2</x:v>
      </x:c>
      <x:c r="G186" s="25" t="n">
        <x:v>0.16113579589359528</x:v>
      </x:c>
      <x:c r="H186" s="25" t="n">
        <x:v>-1.586958963014752</x:v>
      </x:c>
      <x:c r="I186" s="25" t="n">
        <x:v>8353.634054748032</x:v>
      </x:c>
      <x:c r="J186" s="25" t="n">
        <x:v>24764.259054748025</x:v>
      </x:c>
      <x:c r="K186" s="25" t="n">
        <x:v>6.238459998457328</x:v>
      </x:c>
      <x:c r="L186" s="25" t="n">
        <x:v>65.25</x:v>
      </x:c>
      <x:c r="M186" s="34" t="b">
        <x:v>0</x:v>
      </x:c>
      <x:c r="N186" s="25" t="n">
        <x:v>-17.761505301221064</x:v>
      </x:c>
    </x:row>
    <x:row r="187" ht="15" hidden="0" customHeight="1">
      <x:c r="A187" s="25" t="n">
        <x:v>10</x:v>
      </x:c>
      <x:c r="B187" s="25" t="n">
        <x:v>3</x:v>
      </x:c>
      <x:c r="C187" s="25" t="n">
        <x:v>3</x:v>
      </x:c>
      <x:c r="D187" s="25" t="n">
        <x:v>30</x:v>
      </x:c>
      <x:c r="E187" s="25" t="str">
        <x:v>Agressif</x:v>
      </x:c>
      <x:c r="F187" s="25" t="n">
        <x:v>1</x:v>
      </x:c>
      <x:c r="G187" s="25" t="n">
        <x:v>0.16976055289491568</x:v>
      </x:c>
      <x:c r="H187" s="25" t="n">
        <x:v>-1.5586920306095617</x:v>
      </x:c>
      <x:c r="I187" s="25" t="n">
        <x:v>9307.589018175768</x:v>
      </x:c>
      <x:c r="J187" s="25" t="n">
        <x:v>25718.21401817576</x:v>
      </x:c>
      <x:c r="K187" s="25" t="n">
        <x:v>5.1987166653811085</x:v>
      </x:c>
      <x:c r="L187" s="25" t="n">
        <x:v>59.25</x:v>
      </x:c>
      <x:c r="M187" s="34" t="b">
        <x:v>0</x:v>
      </x:c>
      <x:c r="N187" s="25" t="n">
        <x:v>-17.780470356018682</x:v>
      </x:c>
    </x:row>
    <x:row r="188" ht="15" hidden="0" customHeight="1">
      <x:c r="A188" s="25" t="n">
        <x:v>10</x:v>
      </x:c>
      <x:c r="B188" s="25" t="n">
        <x:v>2</x:v>
      </x:c>
      <x:c r="C188" s="25" t="n">
        <x:v>3</x:v>
      </x:c>
      <x:c r="D188" s="25" t="n">
        <x:v>35</x:v>
      </x:c>
      <x:c r="E188" s="25" t="str">
        <x:v>Équilibré</x:v>
      </x:c>
      <x:c r="F188" s="25" t="n">
        <x:v>1.2</x:v>
      </x:c>
      <x:c r="G188" s="25" t="n">
        <x:v>0.16559023327036446</x:v>
      </x:c>
      <x:c r="H188" s="25" t="n">
        <x:v>-1.6023886321942107</x:v>
      </x:c>
      <x:c r="I188" s="25" t="n">
        <x:v>9173.492928928</x:v>
      </x:c>
      <x:c r="J188" s="25" t="n">
        <x:v>25584.11792892799</x:v>
      </x:c>
      <x:c r="K188" s="25" t="n">
        <x:v>6.238459998457328</x:v>
      </x:c>
      <x:c r="L188" s="25" t="n">
        <x:v>65.75</x:v>
      </x:c>
      <x:c r="M188" s="34" t="b">
        <x:v>0</x:v>
      </x:c>
      <x:c r="N188" s="25" t="n">
        <x:v>-17.802252974985223</x:v>
      </x:c>
    </x:row>
    <x:row r="189" ht="15" hidden="0" customHeight="1">
      <x:c r="A189" s="25" t="n">
        <x:v>8</x:v>
      </x:c>
      <x:c r="B189" s="25" t="n">
        <x:v>4</x:v>
      </x:c>
      <x:c r="C189" s="25" t="n">
        <x:v>2</x:v>
      </x:c>
      <x:c r="D189" s="25" t="n">
        <x:v>35</x:v>
      </x:c>
      <x:c r="E189" s="25" t="str">
        <x:v>Conservateur</x:v>
      </x:c>
      <x:c r="F189" s="25" t="n">
        <x:v>1.2</x:v>
      </x:c>
      <x:c r="G189" s="25" t="n">
        <x:v>0.10276304552983752</x:v>
      </x:c>
      <x:c r="H189" s="25" t="n">
        <x:v>-1.4582996916567024</x:v>
      </x:c>
      <x:c r="I189" s="25" t="n">
        <x:v>4985.451060387325</x:v>
      </x:c>
      <x:c r="J189" s="25" t="n">
        <x:v>21396.07606038732</x:v>
      </x:c>
      <x:c r="K189" s="25" t="n">
        <x:v>6.238459998457328</x:v>
      </x:c>
      <x:c r="L189" s="25" t="n">
        <x:v>64.75</x:v>
      </x:c>
      <x:c r="M189" s="34" t="b">
        <x:v>0</x:v>
      </x:c>
      <x:c r="N189" s="25" t="n">
        <x:v>-17.855524787276494</x:v>
      </x:c>
    </x:row>
    <x:row r="190" ht="15" hidden="0" customHeight="1">
      <x:c r="A190" s="25" t="n">
        <x:v>8</x:v>
      </x:c>
      <x:c r="B190" s="25" t="n">
        <x:v>4</x:v>
      </x:c>
      <x:c r="C190" s="25" t="n">
        <x:v>2</x:v>
      </x:c>
      <x:c r="D190" s="25" t="n">
        <x:v>35</x:v>
      </x:c>
      <x:c r="E190" s="25" t="str">
        <x:v>Conservateur</x:v>
      </x:c>
      <x:c r="F190" s="25" t="n">
        <x:v>1</x:v>
      </x:c>
      <x:c r="G190" s="25" t="n">
        <x:v>0.10276304552983752</x:v>
      </x:c>
      <x:c r="H190" s="25" t="n">
        <x:v>-1.4351243130610474</x:v>
      </x:c>
      <x:c r="I190" s="25" t="n">
        <x:v>4985.451060387325</x:v>
      </x:c>
      <x:c r="J190" s="25" t="n">
        <x:v>21396.07606038732</x:v>
      </x:c>
      <x:c r="K190" s="25" t="n">
        <x:v>5.1987166653811085</x:v>
      </x:c>
      <x:c r="L190" s="25" t="n">
        <x:v>61.75</x:v>
      </x:c>
      <x:c r="M190" s="34" t="b">
        <x:v>0</x:v>
      </x:c>
      <x:c r="N190" s="25" t="n">
        <x:v>-17.87614032238512</x:v>
      </x:c>
    </x:row>
    <x:row r="191" ht="15" hidden="0" customHeight="1">
      <x:c r="A191" s="25" t="n">
        <x:v>10</x:v>
      </x:c>
      <x:c r="B191" s="25" t="n">
        <x:v>3</x:v>
      </x:c>
      <x:c r="C191" s="25" t="n">
        <x:v>3</x:v>
      </x:c>
      <x:c r="D191" s="25" t="n">
        <x:v>30</x:v>
      </x:c>
      <x:c r="E191" s="25" t="str">
        <x:v>Agressif</x:v>
      </x:c>
      <x:c r="F191" s="25" t="n">
        <x:v>1.2</x:v>
      </x:c>
      <x:c r="G191" s="25" t="n">
        <x:v>0.16976055289491568</x:v>
      </x:c>
      <x:c r="H191" s="25" t="n">
        <x:v>-1.5889638357591092</x:v>
      </x:c>
      <x:c r="I191" s="25" t="n">
        <x:v>9307.589018175768</x:v>
      </x:c>
      <x:c r="J191" s="25" t="n">
        <x:v>25718.21401817576</x:v>
      </x:c>
      <x:c r="K191" s="25" t="n">
        <x:v>6.238459998457328</x:v>
      </x:c>
      <x:c r="L191" s="25" t="n">
        <x:v>62.25</x:v>
      </x:c>
      <x:c r="M191" s="34" t="b">
        <x:v>0</x:v>
      </x:c>
      <x:c r="N191" s="25" t="n">
        <x:v>-17.93726548475736</x:v>
      </x:c>
    </x:row>
    <x:row r="192" ht="15" hidden="0" customHeight="1">
      <x:c r="A192" s="25" t="n">
        <x:v>8</x:v>
      </x:c>
      <x:c r="B192" s="25" t="n">
        <x:v>2</x:v>
      </x:c>
      <x:c r="C192" s="25" t="n">
        <x:v>1.5</x:v>
      </x:c>
      <x:c r="D192" s="25" t="n">
        <x:v>30</x:v>
      </x:c>
      <x:c r="E192" s="25" t="str">
        <x:v>Conservateur</x:v>
      </x:c>
      <x:c r="F192" s="25" t="n">
        <x:v>0.8</x:v>
      </x:c>
      <x:c r="G192" s="25" t="n">
        <x:v>0.07193220353808623</x:v>
      </x:c>
      <x:c r="H192" s="25" t="n">
        <x:v>-1.4219614443313835</x:v>
      </x:c>
      <x:c r="I192" s="25" t="n">
        <x:v>3851.171431807278</x:v>
      </x:c>
      <x:c r="J192" s="25" t="n">
        <x:v>20261.796431807277</x:v>
      </x:c>
      <x:c r="K192" s="25" t="n">
        <x:v>4.158973332304886</x:v>
      </x:c>
      <x:c r="L192" s="25" t="n">
        <x:v>68.25</x:v>
      </x:c>
      <x:c r="M192" s="34" t="b">
        <x:v>0</x:v>
      </x:c>
      <x:c r="N192" s="25" t="n">
        <x:v>-17.94276491368985</x:v>
      </x:c>
    </x:row>
    <x:row r="193" ht="15" hidden="0" customHeight="1">
      <x:c r="A193" s="25" t="n">
        <x:v>10</x:v>
      </x:c>
      <x:c r="B193" s="25" t="n">
        <x:v>4</x:v>
      </x:c>
      <x:c r="C193" s="25" t="n">
        <x:v>3</x:v>
      </x:c>
      <x:c r="D193" s="25" t="n">
        <x:v>40</x:v>
      </x:c>
      <x:c r="E193" s="25" t="str">
        <x:v>Équilibré</x:v>
      </x:c>
      <x:c r="F193" s="25" t="n">
        <x:v>1</x:v>
      </x:c>
      <x:c r="G193" s="25" t="n">
        <x:v>0.1618899809340911</x:v>
      </x:c>
      <x:c r="H193" s="25" t="n">
        <x:v>-1.5295201439193828</x:v>
      </x:c>
      <x:c r="I193" s="25" t="n">
        <x:v>8044.100752959998</x:v>
      </x:c>
      <x:c r="J193" s="25" t="n">
        <x:v>24454.725752959992</x:v>
      </x:c>
      <x:c r="K193" s="25" t="n">
        <x:v>5.1987166653811085</x:v>
      </x:c>
      <x:c r="L193" s="25" t="n">
        <x:v>56.25</x:v>
      </x:c>
      <x:c r="M193" s="34" t="b">
        <x:v>0</x:v>
      </x:c>
      <x:c r="N193" s="25" t="n">
        <x:v>-18.084054646609562</x:v>
      </x:c>
    </x:row>
    <x:row r="194" ht="15" hidden="0" customHeight="1">
      <x:c r="A194" s="25" t="n">
        <x:v>6</x:v>
      </x:c>
      <x:c r="B194" s="25" t="n">
        <x:v>4</x:v>
      </x:c>
      <x:c r="C194" s="25" t="n">
        <x:v>3</x:v>
      </x:c>
      <x:c r="D194" s="25" t="n">
        <x:v>35</x:v>
      </x:c>
      <x:c r="E194" s="25" t="str">
        <x:v>Équilibré</x:v>
      </x:c>
      <x:c r="F194" s="25" t="n">
        <x:v>1</x:v>
      </x:c>
      <x:c r="G194" s="25" t="n">
        <x:v>0.146662044609912</x:v>
      </x:c>
      <x:c r="H194" s="25" t="n">
        <x:v>-1.5988024486080152</x:v>
      </x:c>
      <x:c r="I194" s="25" t="n">
        <x:v>7287.444576063996</x:v>
      </x:c>
      <x:c r="J194" s="25" t="n">
        <x:v>23698.06957606399</x:v>
      </x:c>
      <x:c r="K194" s="25" t="n">
        <x:v>5.1987166653811085</x:v>
      </x:c>
      <x:c r="L194" s="25" t="n">
        <x:v>68.75</x:v>
      </x:c>
      <x:c r="M194" s="34" t="b">
        <x:v>0</x:v>
      </x:c>
      <x:c r="N194" s="25" t="n">
        <x:v>-18.15364876165522</x:v>
      </x:c>
    </x:row>
    <x:row r="195" ht="15" hidden="0" customHeight="1">
      <x:c r="A195" s="25" t="n">
        <x:v>10</x:v>
      </x:c>
      <x:c r="B195" s="25" t="n">
        <x:v>3</x:v>
      </x:c>
      <x:c r="C195" s="25" t="n">
        <x:v>3</x:v>
      </x:c>
      <x:c r="D195" s="25" t="n">
        <x:v>40</x:v>
      </x:c>
      <x:c r="E195" s="25" t="str">
        <x:v>Équilibré</x:v>
      </x:c>
      <x:c r="F195" s="25" t="n">
        <x:v>0.8</x:v>
      </x:c>
      <x:c r="G195" s="25" t="n">
        <x:v>0.15851468683551023</x:v>
      </x:c>
      <x:c r="H195" s="25" t="n">
        <x:v>-1.5418958476851574</x:v>
      </x:c>
      <x:c r="I195" s="25" t="n">
        <x:v>8264.299520800001</x:v>
      </x:c>
      <x:c r="J195" s="25" t="n">
        <x:v>24674.924520799992</x:v>
      </x:c>
      <x:c r="K195" s="25" t="n">
        <x:v>4.158973332304886</x:v>
      </x:c>
      <x:c r="L195" s="25" t="n">
        <x:v>58.25</x:v>
      </x:c>
      <x:c r="M195" s="34" t="b">
        <x:v>0</x:v>
      </x:c>
      <x:c r="N195" s="25" t="n">
        <x:v>-18.179088416175873</x:v>
      </x:c>
    </x:row>
    <x:row r="196" ht="15" hidden="0" customHeight="1">
      <x:c r="A196" s="25" t="n">
        <x:v>10</x:v>
      </x:c>
      <x:c r="B196" s="25" t="n">
        <x:v>4</x:v>
      </x:c>
      <x:c r="C196" s="25" t="n">
        <x:v>3</x:v>
      </x:c>
      <x:c r="D196" s="25" t="n">
        <x:v>40</x:v>
      </x:c>
      <x:c r="E196" s="25" t="str">
        <x:v>Équilibré</x:v>
      </x:c>
      <x:c r="F196" s="25" t="n">
        <x:v>1.2</x:v>
      </x:c>
      <x:c r="G196" s="25" t="n">
        <x:v>0.1618899809340911</x:v>
      </x:c>
      <x:c r="H196" s="25" t="n">
        <x:v>-1.5584357629255</x:v>
      </x:c>
      <x:c r="I196" s="25" t="n">
        <x:v>8044.100752959998</x:v>
      </x:c>
      <x:c r="J196" s="25" t="n">
        <x:v>24454.725752959992</x:v>
      </x:c>
      <x:c r="K196" s="25" t="n">
        <x:v>6.238459998457328</x:v>
      </x:c>
      <x:c r="L196" s="25" t="n">
        <x:v>59.25</x:v>
      </x:c>
      <x:c r="M196" s="34" t="b">
        <x:v>0</x:v>
      </x:c>
      <x:c r="N196" s="25" t="n">
        <x:v>-18.206945121762484</x:v>
      </x:c>
    </x:row>
    <x:row r="197" ht="15" hidden="0" customHeight="1">
      <x:c r="A197" s="25" t="n">
        <x:v>6</x:v>
      </x:c>
      <x:c r="B197" s="25" t="n">
        <x:v>4</x:v>
      </x:c>
      <x:c r="C197" s="25" t="n">
        <x:v>3</x:v>
      </x:c>
      <x:c r="D197" s="25" t="n">
        <x:v>35</x:v>
      </x:c>
      <x:c r="E197" s="25" t="str">
        <x:v>Équilibré</x:v>
      </x:c>
      <x:c r="F197" s="25" t="n">
        <x:v>1.2</x:v>
      </x:c>
      <x:c r="G197" s="25" t="n">
        <x:v>0.146662044609912</x:v>
      </x:c>
      <x:c r="H197" s="25" t="n">
        <x:v>-1.6286360997367837</x:v>
      </x:c>
      <x:c r="I197" s="25" t="n">
        <x:v>7287.444576063996</x:v>
      </x:c>
      <x:c r="J197" s="25" t="n">
        <x:v>23698.06957606399</x:v>
      </x:c>
      <x:c r="K197" s="25" t="n">
        <x:v>6.238459998457328</x:v>
      </x:c>
      <x:c r="L197" s="25" t="n">
        <x:v>71.75</x:v>
      </x:c>
      <x:c r="M197" s="34" t="b">
        <x:v>0</x:v>
      </x:c>
      <x:c r="N197" s="25" t="n">
        <x:v>-18.299490039874428</x:v>
      </x:c>
    </x:row>
    <x:row r="198" ht="15" hidden="0" customHeight="1">
      <x:c r="A198" s="25" t="n">
        <x:v>8</x:v>
      </x:c>
      <x:c r="B198" s="25" t="n">
        <x:v>3</x:v>
      </x:c>
      <x:c r="C198" s="25" t="n">
        <x:v>2</x:v>
      </x:c>
      <x:c r="D198" s="25" t="n">
        <x:v>35</x:v>
      </x:c>
      <x:c r="E198" s="25" t="str">
        <x:v>Conservateur</x:v>
      </x:c>
      <x:c r="F198" s="25" t="n">
        <x:v>0.8</x:v>
      </x:c>
      <x:c r="G198" s="25" t="n">
        <x:v>0.09438526589166343</x:v>
      </x:c>
      <x:c r="H198" s="25" t="n">
        <x:v>-1.449856240307833</x:v>
      </x:c>
      <x:c r="I198" s="25" t="n">
        <x:v>4782.270820648958</x:v>
      </x:c>
      <x:c r="J198" s="25" t="n">
        <x:v>21192.895820648955</x:v>
      </x:c>
      <x:c r="K198" s="25" t="n">
        <x:v>4.158973332304886</x:v>
      </x:c>
      <x:c r="L198" s="25" t="n">
        <x:v>63.75</x:v>
      </x:c>
      <x:c r="M198" s="34" t="b">
        <x:v>0</x:v>
      </x:c>
      <x:c r="N198" s="25" t="n">
        <x:v>-18.305216383654336</x:v>
      </x:c>
    </x:row>
    <x:row r="199" ht="15" hidden="0" customHeight="1">
      <x:c r="A199" s="25" t="n">
        <x:v>6</x:v>
      </x:c>
      <x:c r="B199" s="25" t="n">
        <x:v>4</x:v>
      </x:c>
      <x:c r="C199" s="25" t="n">
        <x:v>1.5</x:v>
      </x:c>
      <x:c r="D199" s="25" t="n">
        <x:v>30</x:v>
      </x:c>
      <x:c r="E199" s="25" t="str">
        <x:v>Conservateur</x:v>
      </x:c>
      <x:c r="F199" s="25" t="n">
        <x:v>1.2</x:v>
      </x:c>
      <x:c r="G199" s="25" t="n">
        <x:v>0.07060635472162727</x:v>
      </x:c>
      <x:c r="H199" s="25" t="n">
        <x:v>-1.4691856047939342</x:v>
      </x:c>
      <x:c r="I199" s="25" t="n">
        <x:v>3425.399901317783</x:v>
      </x:c>
      <x:c r="J199" s="25" t="n">
        <x:v>19836.024901317778</x:v>
      </x:c>
      <x:c r="K199" s="25" t="n">
        <x:v>6.238459998457328</x:v>
      </x:c>
      <x:c r="L199" s="25" t="n">
        <x:v>72.25</x:v>
      </x:c>
      <x:c r="M199" s="34" t="b">
        <x:v>0</x:v>
      </x:c>
      <x:c r="N199" s="25" t="n">
        <x:v>-18.39629061015885</x:v>
      </x:c>
    </x:row>
    <x:row r="200" ht="15" hidden="0" customHeight="1">
      <x:c r="A200" s="25" t="n">
        <x:v>6</x:v>
      </x:c>
      <x:c r="B200" s="25" t="n">
        <x:v>4</x:v>
      </x:c>
      <x:c r="C200" s="25" t="n">
        <x:v>1.5</x:v>
      </x:c>
      <x:c r="D200" s="25" t="n">
        <x:v>30</x:v>
      </x:c>
      <x:c r="E200" s="25" t="str">
        <x:v>Conservateur</x:v>
      </x:c>
      <x:c r="F200" s="25" t="n">
        <x:v>1</x:v>
      </x:c>
      <x:c r="G200" s="25" t="n">
        <x:v>0.07060635472162727</x:v>
      </x:c>
      <x:c r="H200" s="25" t="n">
        <x:v>-1.4474755262515697</x:v>
      </x:c>
      <x:c r="I200" s="25" t="n">
        <x:v>3425.399901317783</x:v>
      </x:c>
      <x:c r="J200" s="25" t="n">
        <x:v>19836.024901317778</x:v>
      </x:c>
      <x:c r="K200" s="25" t="n">
        <x:v>5.1987166653811085</x:v>
      </x:c>
      <x:c r="L200" s="25" t="n">
        <x:v>69.25</x:v>
      </x:c>
      <x:c r="M200" s="34" t="b">
        <x:v>0</x:v>
      </x:c>
      <x:c r="N200" s="25" t="n">
        <x:v>-18.45353864659974</x:v>
      </x:c>
    </x:row>
    <x:row r="201">
      <x:c r="A201" s="25" t="n">
        <x:v>6</x:v>
      </x:c>
      <x:c r="B201" s="25" t="n">
        <x:v>3</x:v>
      </x:c>
      <x:c r="C201" s="25" t="n">
        <x:v>1.5</x:v>
      </x:c>
      <x:c r="D201" s="25" t="n">
        <x:v>30</x:v>
      </x:c>
      <x:c r="E201" s="25" t="str">
        <x:v>Conservateur</x:v>
      </x:c>
      <x:c r="F201" s="25" t="n">
        <x:v>0.8</x:v>
      </x:c>
      <x:c r="G201" s="25" t="n">
        <x:v>0.06317824533276187</x:v>
      </x:c>
      <x:c r="H201" s="25" t="n">
        <x:v>-1.4503575258941697</x:v>
      </x:c>
      <x:c r="I201" s="25" t="n">
        <x:v>3201.087333922046</x:v>
      </x:c>
      <x:c r="J201" s="25" t="n">
        <x:v>19611.712333922045</x:v>
      </x:c>
      <x:c r="K201" s="25" t="n">
        <x:v>4.158973332304886</x:v>
      </x:c>
      <x:c r="L201" s="25" t="n">
        <x:v>71.25</x:v>
      </x:c>
      <x:c r="M201" s="34" t="b">
        <x:v>0</x:v>
      </x:c>
      <x:c r="N201" s="25" t="n">
        <x:v>-18.534134654052338</x:v>
      </x:c>
    </x:row>
    <x:row r="202">
      <x:c r="A202" s="25" t="n">
        <x:v>10</x:v>
      </x:c>
      <x:c r="B202" s="25" t="n">
        <x:v>2</x:v>
      </x:c>
      <x:c r="C202" s="25" t="n">
        <x:v>1.5</x:v>
      </x:c>
      <x:c r="D202" s="25" t="n">
        <x:v>30</x:v>
      </x:c>
      <x:c r="E202" s="25" t="str">
        <x:v>Conservateur</x:v>
      </x:c>
      <x:c r="F202" s="25" t="n">
        <x:v>1.2</x:v>
      </x:c>
      <x:c r="G202" s="25" t="n">
        <x:v>0.08145218302667336</x:v>
      </x:c>
      <x:c r="H202" s="25" t="n">
        <x:v>-1.4536247652972005</x:v>
      </x:c>
      <x:c r="I202" s="25" t="n">
        <x:v>4360.860711914287</x:v>
      </x:c>
      <x:c r="J202" s="25" t="n">
        <x:v>20771.485711914283</x:v>
      </x:c>
      <x:c r="K202" s="25" t="n">
        <x:v>6.238459998457328</x:v>
      </x:c>
      <x:c r="L202" s="25" t="n">
        <x:v>66.25</x:v>
      </x:c>
      <x:c r="M202" s="34" t="b">
        <x:v>0</x:v>
      </x:c>
      <x:c r="N202" s="25" t="n">
        <x:v>-18.610749065962978</x:v>
      </x:c>
    </x:row>
    <x:row r="203">
      <x:c r="A203" s="25" t="n">
        <x:v>10</x:v>
      </x:c>
      <x:c r="B203" s="25" t="n">
        <x:v>2</x:v>
      </x:c>
      <x:c r="C203" s="25" t="n">
        <x:v>1.5</x:v>
      </x:c>
      <x:c r="D203" s="25" t="n">
        <x:v>30</x:v>
      </x:c>
      <x:c r="E203" s="25" t="str">
        <x:v>Conservateur</x:v>
      </x:c>
      <x:c r="F203" s="25" t="n">
        <x:v>1</x:v>
      </x:c>
      <x:c r="G203" s="25" t="n">
        <x:v>0.08145218302667336</x:v>
      </x:c>
      <x:c r="H203" s="25" t="n">
        <x:v>-1.431227119477336</x:v>
      </x:c>
      <x:c r="I203" s="25" t="n">
        <x:v>4360.860711914287</x:v>
      </x:c>
      <x:c r="J203" s="25" t="n">
        <x:v>20771.485711914283</x:v>
      </x:c>
      <x:c r="K203" s="25" t="n">
        <x:v>5.1987166653811085</x:v>
      </x:c>
      <x:c r="L203" s="25" t="n">
        <x:v>63.25</x:v>
      </x:c>
      <x:c r="M203" s="34" t="b">
        <x:v>0</x:v>
      </x:c>
      <x:c r="N203" s="25" t="n">
        <x:v>-18.650807920466363</x:v>
      </x:c>
    </x:row>
    <x:row r="204">
      <x:c r="A204" s="25" t="n">
        <x:v>6</x:v>
      </x:c>
      <x:c r="B204" s="25" t="n">
        <x:v>2</x:v>
      </x:c>
      <x:c r="C204" s="25" t="n">
        <x:v>3</x:v>
      </x:c>
      <x:c r="D204" s="25" t="n">
        <x:v>40</x:v>
      </x:c>
      <x:c r="E204" s="25" t="str">
        <x:v>Conservateur</x:v>
      </x:c>
      <x:c r="F204" s="25" t="n">
        <x:v>1</x:v>
      </x:c>
      <x:c r="G204" s="25" t="n">
        <x:v>0.14053611338779762</x:v>
      </x:c>
      <x:c r="H204" s="25" t="n">
        <x:v>-1.674395722386723</x:v>
      </x:c>
      <x:c r="I204" s="25" t="n">
        <x:v>7524.149663088635</x:v>
      </x:c>
      <x:c r="J204" s="25" t="n">
        <x:v>23934.774663088632</x:v>
      </x:c>
      <x:c r="K204" s="25" t="n">
        <x:v>5.1987166653811085</x:v>
      </x:c>
      <x:c r="L204" s="25" t="n">
        <x:v>77.25</x:v>
      </x:c>
      <x:c r="M204" s="34" t="b">
        <x:v>0</x:v>
      </x:c>
      <x:c r="N204" s="25" t="n">
        <x:v>-18.680406823339204</x:v>
      </x:c>
    </x:row>
    <x:row r="205">
      <x:c r="A205" s="25" t="n">
        <x:v>8</x:v>
      </x:c>
      <x:c r="B205" s="25" t="n">
        <x:v>4</x:v>
      </x:c>
      <x:c r="C205" s="25" t="n">
        <x:v>2</x:v>
      </x:c>
      <x:c r="D205" s="25" t="n">
        <x:v>30</x:v>
      </x:c>
      <x:c r="E205" s="25" t="str">
        <x:v>Équilibré</x:v>
      </x:c>
      <x:c r="F205" s="25" t="n">
        <x:v>1.2</x:v>
      </x:c>
      <x:c r="G205" s="25" t="n">
        <x:v>0.09771874324097266</x:v>
      </x:c>
      <x:c r="H205" s="25" t="n">
        <x:v>-1.494098124350411</x:v>
      </x:c>
      <x:c r="I205" s="25" t="n">
        <x:v>4855.516144652797</x:v>
      </x:c>
      <x:c r="J205" s="25" t="n">
        <x:v>21266.141144652793</x:v>
      </x:c>
      <x:c r="K205" s="25" t="n">
        <x:v>6.238459998457328</x:v>
      </x:c>
      <x:c r="L205" s="25" t="n">
        <x:v>66.25</x:v>
      </x:c>
      <x:c r="M205" s="34" t="b">
        <x:v>0</x:v>
      </x:c>
      <x:c r="N205" s="25" t="n">
        <x:v>-18.727922230506778</x:v>
      </x:c>
    </x:row>
    <x:row r="206">
      <x:c r="A206" s="25" t="n">
        <x:v>8</x:v>
      </x:c>
      <x:c r="B206" s="25" t="n">
        <x:v>2</x:v>
      </x:c>
      <x:c r="C206" s="25" t="n">
        <x:v>3</x:v>
      </x:c>
      <x:c r="D206" s="25" t="n">
        <x:v>30</x:v>
      </x:c>
      <x:c r="E206" s="25" t="str">
        <x:v>Agressif</x:v>
      </x:c>
      <x:c r="F206" s="25" t="n">
        <x:v>0.8</x:v>
      </x:c>
      <x:c r="G206" s="25" t="n">
        <x:v>0.15022718724197906</x:v>
      </x:c>
      <x:c r="H206" s="25" t="n">
        <x:v>-1.6336216746687477</x:v>
      </x:c>
      <x:c r="I206" s="25" t="n">
        <x:v>8834.632884903252</x:v>
      </x:c>
      <x:c r="J206" s="25" t="n">
        <x:v>25245.257884903247</x:v>
      </x:c>
      <x:c r="K206" s="25" t="n">
        <x:v>4.158973332304886</x:v>
      </x:c>
      <x:c r="L206" s="25" t="n">
        <x:v>69.25</x:v>
      </x:c>
      <x:c r="M206" s="34" t="b">
        <x:v>0</x:v>
      </x:c>
      <x:c r="N206" s="25" t="n">
        <x:v>-18.728046568409844</x:v>
      </x:c>
    </x:row>
    <x:row r="207">
      <x:c r="A207" s="25" t="n">
        <x:v>8</x:v>
      </x:c>
      <x:c r="B207" s="25" t="n">
        <x:v>4</x:v>
      </x:c>
      <x:c r="C207" s="25" t="n">
        <x:v>2</x:v>
      </x:c>
      <x:c r="D207" s="25" t="n">
        <x:v>30</x:v>
      </x:c>
      <x:c r="E207" s="25" t="str">
        <x:v>Équilibré</x:v>
      </x:c>
      <x:c r="F207" s="25" t="n">
        <x:v>1</x:v>
      </x:c>
      <x:c r="G207" s="25" t="n">
        <x:v>0.09771874324097266</x:v>
      </x:c>
      <x:c r="H207" s="25" t="n">
        <x:v>-1.4702232822642423</x:v>
      </x:c>
      <x:c r="I207" s="25" t="n">
        <x:v>4855.516144652797</x:v>
      </x:c>
      <x:c r="J207" s="25" t="n">
        <x:v>21266.141144652793</x:v>
      </x:c>
      <x:c r="K207" s="25" t="n">
        <x:v>5.1987166653811085</x:v>
      </x:c>
      <x:c r="L207" s="25" t="n">
        <x:v>63.25</x:v>
      </x:c>
      <x:c r="M207" s="34" t="b">
        <x:v>0</x:v>
      </x:c>
      <x:c r="N207" s="25" t="n">
        <x:v>-18.731051178352566</x:v>
      </x:c>
    </x:row>
    <x:row r="208">
      <x:c r="A208" s="25" t="n">
        <x:v>6</x:v>
      </x:c>
      <x:c r="B208" s="25" t="n">
        <x:v>2</x:v>
      </x:c>
      <x:c r="C208" s="25" t="n">
        <x:v>3</x:v>
      </x:c>
      <x:c r="D208" s="25" t="n">
        <x:v>35</x:v>
      </x:c>
      <x:c r="E208" s="25" t="str">
        <x:v>Équilibré</x:v>
      </x:c>
      <x:c r="F208" s="25" t="n">
        <x:v>0.8</x:v>
      </x:c>
      <x:c r="G208" s="25" t="n">
        <x:v>0.13750175137593343</x:v>
      </x:c>
      <x:c r="H208" s="25" t="n">
        <x:v>-1.661924852050821</x:v>
      </x:c>
      <x:c r="I208" s="25" t="n">
        <x:v>7617.425974047998</x:v>
      </x:c>
      <x:c r="J208" s="25" t="n">
        <x:v>24028.050974047997</x:v>
      </x:c>
      <x:c r="K208" s="25" t="n">
        <x:v>4.158973332304886</x:v>
      </x:c>
      <x:c r="L208" s="25" t="n">
        <x:v>75.75</x:v>
      </x:c>
      <x:c r="M208" s="34" t="b">
        <x:v>0</x:v>
      </x:c>
      <x:c r="N208" s="25" t="n">
        <x:v>-18.83552497559419</x:v>
      </x:c>
    </x:row>
    <x:row r="209">
      <x:c r="A209" s="25" t="n">
        <x:v>10</x:v>
      </x:c>
      <x:c r="B209" s="25" t="n">
        <x:v>3</x:v>
      </x:c>
      <x:c r="C209" s="25" t="n">
        <x:v>2</x:v>
      </x:c>
      <x:c r="D209" s="25" t="n">
        <x:v>35</x:v>
      </x:c>
      <x:c r="E209" s="25" t="str">
        <x:v>Conservateur</x:v>
      </x:c>
      <x:c r="F209" s="25" t="n">
        <x:v>1.2</x:v>
      </x:c>
      <x:c r="G209" s="25" t="n">
        <x:v>0.1046805933872509</x:v>
      </x:c>
      <x:c r="H209" s="25" t="n">
        <x:v>-1.4780010168573272</x:v>
      </x:c>
      <x:c r="I209" s="25" t="n">
        <x:v>5303.9099113062375</x:v>
      </x:c>
      <x:c r="J209" s="25" t="n">
        <x:v>21714.534911306233</x:v>
      </x:c>
      <x:c r="K209" s="25" t="n">
        <x:v>6.238459998457328</x:v>
      </x:c>
      <x:c r="L209" s="25" t="n">
        <x:v>61.75</x:v>
      </x:c>
      <x:c r="M209" s="34" t="b">
        <x:v>0</x:v>
      </x:c>
      <x:c r="N209" s="25" t="n">
        <x:v>-18.842592785134382</x:v>
      </x:c>
    </x:row>
    <x:row r="210">
      <x:c r="A210" s="25" t="n">
        <x:v>6</x:v>
      </x:c>
      <x:c r="B210" s="25" t="n">
        <x:v>4</x:v>
      </x:c>
      <x:c r="C210" s="25" t="n">
        <x:v>3</x:v>
      </x:c>
      <x:c r="D210" s="25" t="n">
        <x:v>30</x:v>
      </x:c>
      <x:c r="E210" s="25" t="str">
        <x:v>Agressif</x:v>
      </x:c>
      <x:c r="F210" s="25" t="n">
        <x:v>0.8</x:v>
      </x:c>
      <x:c r="G210" s="25" t="n">
        <x:v>0.1420785431575882</x:v>
      </x:c>
      <x:c r="H210" s="25" t="n">
        <x:v>-1.6043026352312055</x:v>
      </x:c>
      <x:c r="I210" s="25" t="n">
        <x:v>7365.664159154048</x:v>
      </x:c>
      <x:c r="J210" s="25" t="n">
        <x:v>23776.289159154047</x:v>
      </x:c>
      <x:c r="K210" s="25" t="n">
        <x:v>4.158973332304886</x:v>
      </x:c>
      <x:c r="L210" s="25" t="n">
        <x:v>67.25</x:v>
      </x:c>
      <x:c r="M210" s="34" t="b">
        <x:v>0</x:v>
      </x:c>
      <x:c r="N210" s="25" t="n">
        <x:v>-18.843246007112782</x:v>
      </x:c>
    </x:row>
    <x:row r="211">
      <x:c r="A211" s="25" t="n">
        <x:v>10</x:v>
      </x:c>
      <x:c r="B211" s="25" t="n">
        <x:v>3</x:v>
      </x:c>
      <x:c r="C211" s="25" t="n">
        <x:v>2</x:v>
      </x:c>
      <x:c r="D211" s="25" t="n">
        <x:v>35</x:v>
      </x:c>
      <x:c r="E211" s="25" t="str">
        <x:v>Conservateur</x:v>
      </x:c>
      <x:c r="F211" s="25" t="n">
        <x:v>1</x:v>
      </x:c>
      <x:c r="G211" s="25" t="n">
        <x:v>0.1046805933872509</x:v>
      </x:c>
      <x:c r="H211" s="25" t="n">
        <x:v>-1.4540933781202476</x:v>
      </x:c>
      <x:c r="I211" s="25" t="n">
        <x:v>5303.9099113062375</x:v>
      </x:c>
      <x:c r="J211" s="25" t="n">
        <x:v>21714.534911306233</x:v>
      </x:c>
      <x:c r="K211" s="25" t="n">
        <x:v>5.1987166653811085</x:v>
      </x:c>
      <x:c r="L211" s="25" t="n">
        <x:v>58.75</x:v>
      </x:c>
      <x:c r="M211" s="34" t="b">
        <x:v>0</x:v>
      </x:c>
      <x:c r="N211" s="25" t="n">
        <x:v>-18.844901816707395</x:v>
      </x:c>
    </x:row>
    <x:row r="212">
      <x:c r="A212" s="25" t="n">
        <x:v>6</x:v>
      </x:c>
      <x:c r="B212" s="25" t="n">
        <x:v>2</x:v>
      </x:c>
      <x:c r="C212" s="25" t="n">
        <x:v>3</x:v>
      </x:c>
      <x:c r="D212" s="25" t="n">
        <x:v>40</x:v>
      </x:c>
      <x:c r="E212" s="25" t="str">
        <x:v>Conservateur</x:v>
      </x:c>
      <x:c r="F212" s="25" t="n">
        <x:v>1.2</x:v>
      </x:c>
      <x:c r="G212" s="25" t="n">
        <x:v>0.14053611338779762</x:v>
      </x:c>
      <x:c r="H212" s="25" t="n">
        <x:v>-1.7061622341555913</x:v>
      </x:c>
      <x:c r="I212" s="25" t="n">
        <x:v>7524.149663088635</x:v>
      </x:c>
      <x:c r="J212" s="25" t="n">
        <x:v>23934.774663088632</x:v>
      </x:c>
      <x:c r="K212" s="25" t="n">
        <x:v>6.238459998457328</x:v>
      </x:c>
      <x:c r="L212" s="25" t="n">
        <x:v>80.25</x:v>
      </x:c>
      <x:c r="M212" s="34" t="b">
        <x:v>0</x:v>
      </x:c>
      <x:c r="N212" s="25" t="n">
        <x:v>-18.874569617560912</x:v>
      </x:c>
    </x:row>
    <x:row r="213">
      <x:c r="A213" s="25" t="n">
        <x:v>8</x:v>
      </x:c>
      <x:c r="B213" s="25" t="n">
        <x:v>3</x:v>
      </x:c>
      <x:c r="C213" s="25" t="n">
        <x:v>2</x:v>
      </x:c>
      <x:c r="D213" s="25" t="n">
        <x:v>30</x:v>
      </x:c>
      <x:c r="E213" s="25" t="str">
        <x:v>Équilibré</x:v>
      </x:c>
      <x:c r="F213" s="25" t="n">
        <x:v>0.8</x:v>
      </x:c>
      <x:c r="G213" s="25" t="n">
        <x:v>0.09005412603332912</x:v>
      </x:c>
      <x:c r="H213" s="25" t="n">
        <x:v>-1.4802033727859798</x:v>
      </x:c>
      <x:c r="I213" s="25" t="n">
        <x:v>4695.049307296</x:v>
      </x:c>
      <x:c r="J213" s="25" t="n">
        <x:v>21105.674307295998</x:v>
      </x:c>
      <x:c r="K213" s="25" t="n">
        <x:v>4.158973332304886</x:v>
      </x:c>
      <x:c r="L213" s="25" t="n">
        <x:v>65.25</x:v>
      </x:c>
      <x:c r="M213" s="34" t="b">
        <x:v>0</x:v>
      </x:c>
      <x:c r="N213" s="25" t="n">
        <x:v>-19.002107387816398</x:v>
      </x:c>
    </x:row>
    <x:row r="214">
      <x:c r="A214" s="25" t="n">
        <x:v>8</x:v>
      </x:c>
      <x:c r="B214" s="25" t="n">
        <x:v>2</x:v>
      </x:c>
      <x:c r="C214" s="25" t="n">
        <x:v>3</x:v>
      </x:c>
      <x:c r="D214" s="25" t="n">
        <x:v>35</x:v>
      </x:c>
      <x:c r="E214" s="25" t="str">
        <x:v>Équilibré</x:v>
      </x:c>
      <x:c r="F214" s="25" t="n">
        <x:v>1</x:v>
      </x:c>
      <x:c r="G214" s="25" t="n">
        <x:v>0.14869321158561757</x:v>
      </x:c>
      <x:c r="H214" s="25" t="n">
        <x:v>-1.657189879879075</x:v>
      </x:c>
      <x:c r="I214" s="25" t="n">
        <x:v>8237.418947487999</x:v>
      </x:c>
      <x:c r="J214" s="25" t="n">
        <x:v>24648.04394748799</x:v>
      </x:c>
      <x:c r="K214" s="25" t="n">
        <x:v>5.1987166653811085</x:v>
      </x:c>
      <x:c r="L214" s="25" t="n">
        <x:v>70.75</x:v>
      </x:c>
      <x:c r="M214" s="34" t="b">
        <x:v>0</x:v>
      </x:c>
      <x:c r="N214" s="25" t="n">
        <x:v>-19.101620359767907</x:v>
      </x:c>
    </x:row>
    <x:row r="215">
      <x:c r="A215" s="25" t="n">
        <x:v>6</x:v>
      </x:c>
      <x:c r="B215" s="25" t="n">
        <x:v>4</x:v>
      </x:c>
      <x:c r="C215" s="25" t="n">
        <x:v>2</x:v>
      </x:c>
      <x:c r="D215" s="25" t="n">
        <x:v>35</x:v>
      </x:c>
      <x:c r="E215" s="25" t="str">
        <x:v>Conservateur</x:v>
      </x:c>
      <x:c r="F215" s="25" t="n">
        <x:v>0.8</x:v>
      </x:c>
      <x:c r="G215" s="25" t="n">
        <x:v>0.0808081750642176</x:v>
      </x:c>
      <x:c r="H215" s="25" t="n">
        <x:v>-1.4831523440041792</x:v>
      </x:c>
      <x:c r="I215" s="25" t="n">
        <x:v>3920.3314769889266</x:v>
      </x:c>
      <x:c r="J215" s="25" t="n">
        <x:v>20330.956476988922</x:v>
      </x:c>
      <x:c r="K215" s="25" t="n">
        <x:v>4.158973332304886</x:v>
      </x:c>
      <x:c r="L215" s="25" t="n">
        <x:v>66.75</x:v>
      </x:c>
      <x:c r="M215" s="34" t="b">
        <x:v>0</x:v>
      </x:c>
      <x:c r="N215" s="25" t="n">
        <x:v>-19.28435897157251</x:v>
      </x:c>
    </x:row>
    <x:row r="216">
      <x:c r="A216" s="25" t="n">
        <x:v>10</x:v>
      </x:c>
      <x:c r="B216" s="25" t="n">
        <x:v>4</x:v>
      </x:c>
      <x:c r="C216" s="25" t="n">
        <x:v>1.5</x:v>
      </x:c>
      <x:c r="D216" s="25" t="n">
        <x:v>35</x:v>
      </x:c>
      <x:c r="E216" s="25" t="str">
        <x:v>Conservateur</x:v>
      </x:c>
      <x:c r="F216" s="25" t="n">
        <x:v>0.8</x:v>
      </x:c>
      <x:c r="G216" s="25" t="n">
        <x:v>0.07854263468758228</x:v>
      </x:c>
      <x:c r="H216" s="25" t="n">
        <x:v>-1.3743515451090373</x:v>
      </x:c>
      <x:c r="I216" s="25" t="n">
        <x:v>3810.4209482106858</x:v>
      </x:c>
      <x:c r="J216" s="25" t="n">
        <x:v>20221.04594821068</x:v>
      </x:c>
      <x:c r="K216" s="25" t="n">
        <x:v>4.158973332304886</x:v>
      </x:c>
      <x:c r="L216" s="25" t="n">
        <x:v>53.75</x:v>
      </x:c>
      <x:c r="M216" s="34" t="b">
        <x:v>0</x:v>
      </x:c>
      <x:c r="N216" s="25" t="n">
        <x:v>-19.28894371990891</x:v>
      </x:c>
    </x:row>
    <x:row r="217">
      <x:c r="A217" s="25" t="n">
        <x:v>8</x:v>
      </x:c>
      <x:c r="B217" s="25" t="n">
        <x:v>2</x:v>
      </x:c>
      <x:c r="C217" s="25" t="n">
        <x:v>3</x:v>
      </x:c>
      <x:c r="D217" s="25" t="n">
        <x:v>35</x:v>
      </x:c>
      <x:c r="E217" s="25" t="str">
        <x:v>Équilibré</x:v>
      </x:c>
      <x:c r="F217" s="25" t="n">
        <x:v>1.2</x:v>
      </x:c>
      <x:c r="G217" s="25" t="n">
        <x:v>0.14869321158561757</x:v>
      </x:c>
      <x:c r="H217" s="25" t="n">
        <x:v>-1.6890408987719825</x:v>
      </x:c>
      <x:c r="I217" s="25" t="n">
        <x:v>8237.418947487999</x:v>
      </x:c>
      <x:c r="J217" s="25" t="n">
        <x:v>24648.04394748799</x:v>
      </x:c>
      <x:c r="K217" s="25" t="n">
        <x:v>6.238459998457328</x:v>
      </x:c>
      <x:c r="L217" s="25" t="n">
        <x:v>73.75</x:v>
      </x:c>
      <x:c r="M217" s="34" t="b">
        <x:v>0</x:v>
      </x:c>
      <x:c r="N217" s="25" t="n">
        <x:v>-19.297895832090596</x:v>
      </x:c>
    </x:row>
    <x:row r="218">
      <x:c r="A218" s="25" t="n">
        <x:v>10</x:v>
      </x:c>
      <x:c r="B218" s="25" t="n">
        <x:v>3</x:v>
      </x:c>
      <x:c r="C218" s="25" t="n">
        <x:v>2</x:v>
      </x:c>
      <x:c r="D218" s="25" t="n">
        <x:v>30</x:v>
      </x:c>
      <x:c r="E218" s="25" t="str">
        <x:v>Équilibré</x:v>
      </x:c>
      <x:c r="F218" s="25" t="n">
        <x:v>1</x:v>
      </x:c>
      <x:c r="G218" s="25" t="n">
        <x:v>0.1013233116749969</x:v>
      </x:c>
      <x:c r="H218" s="25" t="n">
        <x:v>-1.482350524259851</x:v>
      </x:c>
      <x:c r="I218" s="25" t="n">
        <x:v>5282.577992224002</x:v>
      </x:c>
      <x:c r="J218" s="25" t="n">
        <x:v>21693.202992224</x:v>
      </x:c>
      <x:c r="K218" s="25" t="n">
        <x:v>5.1987166653811085</x:v>
      </x:c>
      <x:c r="L218" s="25" t="n">
        <x:v>60.25</x:v>
      </x:c>
      <x:c r="M218" s="34" t="b">
        <x:v>0</x:v>
      </x:c>
      <x:c r="N218" s="25" t="n">
        <x:v>-19.435980964371442</x:v>
      </x:c>
    </x:row>
    <x:row r="219">
      <x:c r="A219" s="25" t="n">
        <x:v>10</x:v>
      </x:c>
      <x:c r="B219" s="25" t="n">
        <x:v>3</x:v>
      </x:c>
      <x:c r="C219" s="25" t="n">
        <x:v>2</x:v>
      </x:c>
      <x:c r="D219" s="25" t="n">
        <x:v>30</x:v>
      </x:c>
      <x:c r="E219" s="25" t="str">
        <x:v>Équilibré</x:v>
      </x:c>
      <x:c r="F219" s="25" t="n">
        <x:v>1.2</x:v>
      </x:c>
      <x:c r="G219" s="25" t="n">
        <x:v>0.1013233116749969</x:v>
      </x:c>
      <x:c r="H219" s="25" t="n">
        <x:v>-1.506890524184727</x:v>
      </x:c>
      <x:c r="I219" s="25" t="n">
        <x:v>5282.577992224002</x:v>
      </x:c>
      <x:c r="J219" s="25" t="n">
        <x:v>21693.202992224</x:v>
      </x:c>
      <x:c r="K219" s="25" t="n">
        <x:v>6.238459998457328</x:v>
      </x:c>
      <x:c r="L219" s="25" t="n">
        <x:v>63.25</x:v>
      </x:c>
      <x:c r="M219" s="34" t="b">
        <x:v>0</x:v>
      </x:c>
      <x:c r="N219" s="25" t="n">
        <x:v>-19.449480962493347</x:v>
      </x:c>
    </x:row>
    <x:row r="220">
      <x:c r="A220" s="25" t="n">
        <x:v>10</x:v>
      </x:c>
      <x:c r="B220" s="25" t="n">
        <x:v>2</x:v>
      </x:c>
      <x:c r="C220" s="25" t="n">
        <x:v>2</x:v>
      </x:c>
      <x:c r="D220" s="25" t="n">
        <x:v>35</x:v>
      </x:c>
      <x:c r="E220" s="25" t="str">
        <x:v>Conservateur</x:v>
      </x:c>
      <x:c r="F220" s="25" t="n">
        <x:v>0.8</x:v>
      </x:c>
      <x:c r="G220" s="25" t="n">
        <x:v>0.09196629200057216</x:v>
      </x:c>
      <x:c r="H220" s="25" t="n">
        <x:v>-1.4691913977655153</x:v>
      </x:c>
      <x:c r="I220" s="25" t="n">
        <x:v>4923.774596371453</x:v>
      </x:c>
      <x:c r="J220" s="25" t="n">
        <x:v>21334.39959637145</x:v>
      </x:c>
      <x:c r="K220" s="25" t="n">
        <x:v>4.158973332304886</x:v>
      </x:c>
      <x:c r="L220" s="25" t="n">
        <x:v>60.75</x:v>
      </x:c>
      <x:c r="M220" s="34" t="b">
        <x:v>0</x:v>
      </x:c>
      <x:c r="N220" s="25" t="n">
        <x:v>-19.521638884106416</x:v>
      </x:c>
    </x:row>
    <x:row r="221">
      <x:c r="A221" s="25" t="n">
        <x:v>10</x:v>
      </x:c>
      <x:c r="B221" s="25" t="n">
        <x:v>4</x:v>
      </x:c>
      <x:c r="C221" s="25" t="n">
        <x:v>2</x:v>
      </x:c>
      <x:c r="D221" s="25" t="n">
        <x:v>40</x:v>
      </x:c>
      <x:c r="E221" s="25" t="str">
        <x:v>Conservateur</x:v>
      </x:c>
      <x:c r="F221" s="25" t="n">
        <x:v>0.8</x:v>
      </x:c>
      <x:c r="G221" s="25" t="n">
        <x:v>0.09500164003676041</x:v>
      </x:c>
      <x:c r="H221" s="25" t="n">
        <x:v>-1.4262652654638595</x:v>
      </x:c>
      <x:c r="I221" s="25" t="n">
        <x:v>4608.913881617917</x:v>
      </x:c>
      <x:c r="J221" s="25" t="n">
        <x:v>21019.53888161791</x:v>
      </x:c>
      <x:c r="K221" s="25" t="n">
        <x:v>4.158973332304886</x:v>
      </x:c>
      <x:c r="L221" s="25" t="n">
        <x:v>54.25</x:v>
      </x:c>
      <x:c r="M221" s="34" t="b">
        <x:v>0</x:v>
      </x:c>
      <x:c r="N221" s="25" t="n">
        <x:v>-19.58154143457466</x:v>
      </x:c>
    </x:row>
    <x:row r="222">
      <x:c r="A222" s="25" t="n">
        <x:v>8</x:v>
      </x:c>
      <x:c r="B222" s="25" t="n">
        <x:v>3</x:v>
      </x:c>
      <x:c r="C222" s="25" t="n">
        <x:v>3</x:v>
      </x:c>
      <x:c r="D222" s="25" t="n">
        <x:v>30</x:v>
      </x:c>
      <x:c r="E222" s="25" t="str">
        <x:v>Agressif</x:v>
      </x:c>
      <x:c r="F222" s="25" t="n">
        <x:v>1</x:v>
      </x:c>
      <x:c r="G222" s="25" t="n">
        <x:v>0.14949454747210567</x:v>
      </x:c>
      <x:c r="H222" s="25" t="n">
        <x:v>-1.6599301059051736</x:v>
      </x:c>
      <x:c r="I222" s="25" t="n">
        <x:v>8196.4495555681</x:v>
      </x:c>
      <x:c r="J222" s="25" t="n">
        <x:v>24607.07455556809</x:v>
      </x:c>
      <x:c r="K222" s="25" t="n">
        <x:v>5.1987166653811085</x:v>
      </x:c>
      <x:c r="L222" s="25" t="n">
        <x:v>67.25</x:v>
      </x:c>
      <x:c r="M222" s="34" t="b">
        <x:v>0</x:v>
      </x:c>
      <x:c r="N222" s="25" t="n">
        <x:v>-19.826052536663525</x:v>
      </x:c>
    </x:row>
    <x:row r="223">
      <x:c r="A223" s="25" t="n">
        <x:v>10</x:v>
      </x:c>
      <x:c r="B223" s="25" t="n">
        <x:v>2</x:v>
      </x:c>
      <x:c r="C223" s="25" t="n">
        <x:v>2</x:v>
      </x:c>
      <x:c r="D223" s="25" t="n">
        <x:v>30</x:v>
      </x:c>
      <x:c r="E223" s="25" t="str">
        <x:v>Équilibré</x:v>
      </x:c>
      <x:c r="F223" s="25" t="n">
        <x:v>0.8</x:v>
      </x:c>
      <x:c r="G223" s="25" t="n">
        <x:v>0.08942006013610851</x:v>
      </x:c>
      <x:c r="H223" s="25" t="n">
        <x:v>-1.4926348516801669</x:v>
      </x:c>
      <x:c r="I223" s="25" t="n">
        <x:v>4953.760092985601</x:v>
      </x:c>
      <x:c r="J223" s="25" t="n">
        <x:v>21364.385092985594</x:v>
      </x:c>
      <x:c r="K223" s="25" t="n">
        <x:v>4.158973332304886</x:v>
      </x:c>
      <x:c r="L223" s="25" t="n">
        <x:v>62.25</x:v>
      </x:c>
      <x:c r="M223" s="34" t="b">
        <x:v>0</x:v>
      </x:c>
      <x:c r="N223" s="25" t="n">
        <x:v>-19.947767984518194</x:v>
      </x:c>
    </x:row>
    <x:row r="224">
      <x:c r="A224" s="25" t="n">
        <x:v>8</x:v>
      </x:c>
      <x:c r="B224" s="25" t="n">
        <x:v>2</x:v>
      </x:c>
      <x:c r="C224" s="25" t="n">
        <x:v>1.5</x:v>
      </x:c>
      <x:c r="D224" s="25" t="n">
        <x:v>30</x:v>
      </x:c>
      <x:c r="E224" s="25" t="str">
        <x:v>Conservateur</x:v>
      </x:c>
      <x:c r="F224" s="25" t="n">
        <x:v>1.2</x:v>
      </x:c>
      <x:c r="G224" s="25" t="n">
        <x:v>0.06227343558071555</x:v>
      </x:c>
      <x:c r="H224" s="25" t="n">
        <x:v>-1.5304607594569712</x:v>
      </x:c>
      <x:c r="I224" s="25" t="n">
        <x:v>3334.0515690161105</x:v>
      </x:c>
      <x:c r="J224" s="25" t="n">
        <x:v>19744.67656901611</x:v>
      </x:c>
      <x:c r="K224" s="25" t="n">
        <x:v>6.238459998457328</x:v>
      </x:c>
      <x:c r="L224" s="25" t="n">
        <x:v>74.25</x:v>
      </x:c>
      <x:c r="M224" s="34" t="b">
        <x:v>0</x:v>
      </x:c>
      <x:c r="N224" s="25" t="n">
        <x:v>-19.986480029484923</x:v>
      </x:c>
    </x:row>
    <x:row r="225">
      <x:c r="A225" s="25" t="n">
        <x:v>8</x:v>
      </x:c>
      <x:c r="B225" s="25" t="n">
        <x:v>2</x:v>
      </x:c>
      <x:c r="C225" s="25" t="n">
        <x:v>1.5</x:v>
      </x:c>
      <x:c r="D225" s="25" t="n">
        <x:v>30</x:v>
      </x:c>
      <x:c r="E225" s="25" t="str">
        <x:v>Conservateur</x:v>
      </x:c>
      <x:c r="F225" s="25" t="n">
        <x:v>1</x:v>
      </x:c>
      <x:c r="G225" s="25" t="n">
        <x:v>0.06227343558071555</x:v>
      </x:c>
      <x:c r="H225" s="25" t="n">
        <x:v>-1.5071110202931655</x:v>
      </x:c>
      <x:c r="I225" s="25" t="n">
        <x:v>3334.0515690161105</x:v>
      </x:c>
      <x:c r="J225" s="25" t="n">
        <x:v>19744.67656901611</x:v>
      </x:c>
      <x:c r="K225" s="25" t="n">
        <x:v>5.1987166653811085</x:v>
      </x:c>
      <x:c r="L225" s="25" t="n">
        <x:v>71.25</x:v>
      </x:c>
      <x:c r="M225" s="34" t="b">
        <x:v>0</x:v>
      </x:c>
      <x:c r="N225" s="25" t="n">
        <x:v>-20.002736550389784</x:v>
      </x:c>
    </x:row>
    <x:row r="226">
      <x:c r="A226" s="25" t="n">
        <x:v>10</x:v>
      </x:c>
      <x:c r="B226" s="25" t="n">
        <x:v>4</x:v>
      </x:c>
      <x:c r="C226" s="25" t="n">
        <x:v>1.5</x:v>
      </x:c>
      <x:c r="D226" s="25" t="n">
        <x:v>30</x:v>
      </x:c>
      <x:c r="E226" s="25" t="str">
        <x:v>Équilibré</x:v>
      </x:c>
      <x:c r="F226" s="25" t="n">
        <x:v>0.8</x:v>
      </x:c>
      <x:c r="G226" s="25" t="n">
        <x:v>0.07377343989015768</x:v>
      </x:c>
      <x:c r="H226" s="25" t="n">
        <x:v>-1.4044173655160919</x:v>
      </x:c>
      <x:c r="I226" s="25" t="n">
        <x:v>3665.7054373887977</x:v>
      </x:c>
      <x:c r="J226" s="25" t="n">
        <x:v>20076.330437388795</x:v>
      </x:c>
      <x:c r="K226" s="25" t="n">
        <x:v>4.158973332304886</x:v>
      </x:c>
      <x:c r="L226" s="25" t="n">
        <x:v>55.25</x:v>
      </x:c>
      <x:c r="M226" s="34" t="b">
        <x:v>0</x:v>
      </x:c>
      <x:c r="N226" s="25" t="n">
        <x:v>-20.002894943943623</x:v>
      </x:c>
    </x:row>
    <x:row r="227">
      <x:c r="A227" s="25" t="n">
        <x:v>8</x:v>
      </x:c>
      <x:c r="B227" s="25" t="n">
        <x:v>3</x:v>
      </x:c>
      <x:c r="C227" s="25" t="n">
        <x:v>3</x:v>
      </x:c>
      <x:c r="D227" s="25" t="n">
        <x:v>30</x:v>
      </x:c>
      <x:c r="E227" s="25" t="str">
        <x:v>Agressif</x:v>
      </x:c>
      <x:c r="F227" s="25" t="n">
        <x:v>1.2</x:v>
      </x:c>
      <x:c r="G227" s="25" t="n">
        <x:v>0.14949454747210567</x:v>
      </x:c>
      <x:c r="H227" s="25" t="n">
        <x:v>-1.6917707111125928</x:v>
      </x:c>
      <x:c r="I227" s="25" t="n">
        <x:v>8196.4495555681</x:v>
      </x:c>
      <x:c r="J227" s="25" t="n">
        <x:v>24607.07455556809</x:v>
      </x:c>
      <x:c r="K227" s="25" t="n">
        <x:v>6.238459998457328</x:v>
      </x:c>
      <x:c r="L227" s="25" t="n">
        <x:v>70.25</x:v>
      </x:c>
      <x:c r="M227" s="34" t="b">
        <x:v>0</x:v>
      </x:c>
      <x:c r="N227" s="25" t="n">
        <x:v>-20.022067666849008</x:v>
      </x:c>
    </x:row>
    <x:row r="228">
      <x:c r="A228" s="25" t="n">
        <x:v>8</x:v>
      </x:c>
      <x:c r="B228" s="25" t="n">
        <x:v>3</x:v>
      </x:c>
      <x:c r="C228" s="25" t="n">
        <x:v>3</x:v>
      </x:c>
      <x:c r="D228" s="25" t="n">
        <x:v>40</x:v>
      </x:c>
      <x:c r="E228" s="25" t="str">
        <x:v>Équilibré</x:v>
      </x:c>
      <x:c r="F228" s="25" t="n">
        <x:v>0.8</x:v>
      </x:c>
      <x:c r="G228" s="25" t="n">
        <x:v>0.1393878404460961</x:v>
      </x:c>
      <x:c r="H228" s="25" t="n">
        <x:v>-1.6376146253167214</x:v>
      </x:c>
      <x:c r="I228" s="25" t="n">
        <x:v>7267.104935200001</x:v>
      </x:c>
      <x:c r="J228" s="25" t="n">
        <x:v>23677.729935199994</x:v>
      </x:c>
      <x:c r="K228" s="25" t="n">
        <x:v>4.158973332304886</x:v>
      </x:c>
      <x:c r="L228" s="25" t="n">
        <x:v>66.25</x:v>
      </x:c>
      <x:c r="M228" s="34" t="b">
        <x:v>0</x:v>
      </x:c>
      <x:c r="N228" s="25" t="n">
        <x:v>-20.024034408382754</x:v>
      </x:c>
    </x:row>
    <x:row r="229">
      <x:c r="A229" s="25" t="n">
        <x:v>6</x:v>
      </x:c>
      <x:c r="B229" s="25" t="n">
        <x:v>3</x:v>
      </x:c>
      <x:c r="C229" s="25" t="n">
        <x:v>3</x:v>
      </x:c>
      <x:c r="D229" s="25" t="n">
        <x:v>35</x:v>
      </x:c>
      <x:c r="E229" s="25" t="str">
        <x:v>Équilibré</x:v>
      </x:c>
      <x:c r="F229" s="25" t="n">
        <x:v>1</x:v>
      </x:c>
      <x:c r="G229" s="25" t="n">
        <x:v>0.13604483755173505</x:v>
      </x:c>
      <x:c r="H229" s="25" t="n">
        <x:v>-1.6936385117091264</x:v>
      </x:c>
      <x:c r="I229" s="25" t="n">
        <x:v>7092.814604319999</x:v>
      </x:c>
      <x:c r="J229" s="25" t="n">
        <x:v>23503.439604319992</x:v>
      </x:c>
      <x:c r="K229" s="25" t="n">
        <x:v>5.1987166653811085</x:v>
      </x:c>
      <x:c r="L229" s="25" t="n">
        <x:v>73.75</x:v>
      </x:c>
      <x:c r="M229" s="34" t="b">
        <x:v>0</x:v>
      </x:c>
      <x:c r="N229" s="25" t="n">
        <x:v>-20.10849672738273</x:v>
      </x:c>
    </x:row>
    <x:row r="230">
      <x:c r="A230" s="25" t="n">
        <x:v>10</x:v>
      </x:c>
      <x:c r="B230" s="25" t="n">
        <x:v>2</x:v>
      </x:c>
      <x:c r="C230" s="25" t="n">
        <x:v>3</x:v>
      </x:c>
      <x:c r="D230" s="25" t="n">
        <x:v>30</x:v>
      </x:c>
      <x:c r="E230" s="25" t="str">
        <x:v>Agressif</x:v>
      </x:c>
      <x:c r="F230" s="25" t="n">
        <x:v>1</x:v>
      </x:c>
      <x:c r="G230" s="25" t="n">
        <x:v>0.1547057384754468</x:v>
      </x:c>
      <x:c r="H230" s="25" t="n">
        <x:v>-1.6637361430596</x:v>
      </x:c>
      <x:c r="I230" s="25" t="n">
        <x:v>9098.009685935855</x:v>
      </x:c>
      <x:c r="J230" s="25" t="n">
        <x:v>25508.634685935845</x:v>
      </x:c>
      <x:c r="K230" s="25" t="n">
        <x:v>5.1987166653811085</x:v>
      </x:c>
      <x:c r="L230" s="25" t="n">
        <x:v>64.25</x:v>
      </x:c>
      <x:c r="M230" s="34" t="b">
        <x:v>0</x:v>
      </x:c>
      <x:c r="N230" s="25" t="n">
        <x:v>-20.234587960340427</x:v>
      </x:c>
    </x:row>
    <x:row r="231">
      <x:c r="A231" s="25" t="n">
        <x:v>6</x:v>
      </x:c>
      <x:c r="B231" s="25" t="n">
        <x:v>3</x:v>
      </x:c>
      <x:c r="C231" s="25" t="n">
        <x:v>3</x:v>
      </x:c>
      <x:c r="D231" s="25" t="n">
        <x:v>35</x:v>
      </x:c>
      <x:c r="E231" s="25" t="str">
        <x:v>Équilibré</x:v>
      </x:c>
      <x:c r="F231" s="25" t="n">
        <x:v>1.2</x:v>
      </x:c>
      <x:c r="G231" s="25" t="n">
        <x:v>0.13604483755173505</x:v>
      </x:c>
      <x:c r="H231" s="25" t="n">
        <x:v>-1.725509085494089</x:v>
      </x:c>
      <x:c r="I231" s="25" t="n">
        <x:v>7092.814604319999</x:v>
      </x:c>
      <x:c r="J231" s="25" t="n">
        <x:v>23503.439604319992</x:v>
      </x:c>
      <x:c r="K231" s="25" t="n">
        <x:v>6.238459998457328</x:v>
      </x:c>
      <x:c r="L231" s="25" t="n">
        <x:v>76.75</x:v>
      </x:c>
      <x:c r="M231" s="34" t="b">
        <x:v>0</x:v>
      </x:c>
      <x:c r="N231" s="25" t="n">
        <x:v>-20.3052610720068</x:v>
      </x:c>
    </x:row>
    <x:row r="232">
      <x:c r="A232" s="25" t="n">
        <x:v>8</x:v>
      </x:c>
      <x:c r="B232" s="25" t="n">
        <x:v>4</x:v>
      </x:c>
      <x:c r="C232" s="25" t="n">
        <x:v>3</x:v>
      </x:c>
      <x:c r="D232" s="25" t="n">
        <x:v>40</x:v>
      </x:c>
      <x:c r="E232" s="25" t="str">
        <x:v>Équilibré</x:v>
      </x:c>
      <x:c r="F232" s="25" t="n">
        <x:v>1</x:v>
      </x:c>
      <x:c r="G232" s="25" t="n">
        <x:v>0.14112223191242237</x:v>
      </x:c>
      <x:c r="H232" s="25" t="n">
        <x:v>-1.6382194298322352</x:v>
      </x:c>
      <x:c r="I232" s="25" t="n">
        <x:v>7012.178551359996</x:v>
      </x:c>
      <x:c r="J232" s="25" t="n">
        <x:v>23422.803551359993</x:v>
      </x:c>
      <x:c r="K232" s="25" t="n">
        <x:v>5.1987166653811085</x:v>
      </x:c>
      <x:c r="L232" s="25" t="n">
        <x:v>64.25</x:v>
      </x:c>
      <x:c r="M232" s="34" t="b">
        <x:v>0</x:v>
      </x:c>
      <x:c r="N232" s="25" t="n">
        <x:v>-20.34376299062265</x:v>
      </x:c>
    </x:row>
    <x:row r="233">
      <x:c r="A233" s="25" t="n">
        <x:v>6</x:v>
      </x:c>
      <x:c r="B233" s="25" t="n">
        <x:v>4</x:v>
      </x:c>
      <x:c r="C233" s="25" t="n">
        <x:v>2</x:v>
      </x:c>
      <x:c r="D233" s="25" t="n">
        <x:v>30</x:v>
      </x:c>
      <x:c r="E233" s="25" t="str">
        <x:v>Équilibré</x:v>
      </x:c>
      <x:c r="F233" s="25" t="n">
        <x:v>0.8</x:v>
      </x:c>
      <x:c r="G233" s="25" t="n">
        <x:v>0.07389830354974959</x:v>
      </x:c>
      <x:c r="H233" s="25" t="n">
        <x:v>-1.5235146510618645</x:v>
      </x:c>
      <x:c r="I233" s="25" t="n">
        <x:v>3671.909748812798</x:v>
      </x:c>
      <x:c r="J233" s="25" t="n">
        <x:v>20082.53474881279</x:v>
      </x:c>
      <x:c r="K233" s="25" t="n">
        <x:v>4.158973332304886</x:v>
      </x:c>
      <x:c r="L233" s="25" t="n">
        <x:v>68.25</x:v>
      </x:c>
      <x:c r="M233" s="34" t="b">
        <x:v>0</x:v>
      </x:c>
      <x:c r="N233" s="25" t="n">
        <x:v>-20.373459581310385</x:v>
      </x:c>
    </x:row>
    <x:row r="234">
      <x:c r="A234" s="25" t="n">
        <x:v>6</x:v>
      </x:c>
      <x:c r="B234" s="25" t="n">
        <x:v>3</x:v>
      </x:c>
      <x:c r="C234" s="25" t="n">
        <x:v>3</x:v>
      </x:c>
      <x:c r="D234" s="25" t="n">
        <x:v>30</x:v>
      </x:c>
      <x:c r="E234" s="25" t="str">
        <x:v>Agressif</x:v>
      </x:c>
      <x:c r="F234" s="25" t="n">
        <x:v>0.8</x:v>
      </x:c>
      <x:c r="G234" s="25" t="n">
        <x:v>0.13323019905739603</x:v>
      </x:c>
      <x:c r="H234" s="25" t="n">
        <x:v>-1.6872577889972082</x:v>
      </x:c>
      <x:c r="I234" s="25" t="n">
        <x:v>7304.711939784983</x:v>
      </x:c>
      <x:c r="J234" s="25" t="n">
        <x:v>23715.336939784982</x:v>
      </x:c>
      <x:c r="K234" s="25" t="n">
        <x:v>4.158973332304886</x:v>
      </x:c>
      <x:c r="L234" s="25" t="n">
        <x:v>72.25</x:v>
      </x:c>
      <x:c r="M234" s="34" t="b">
        <x:v>0</x:v>
      </x:c>
      <x:c r="N234" s="25" t="n">
        <x:v>-20.403783776773423</x:v>
      </x:c>
    </x:row>
    <x:row r="235">
      <x:c r="A235" s="25" t="n">
        <x:v>10</x:v>
      </x:c>
      <x:c r="B235" s="25" t="n">
        <x:v>2</x:v>
      </x:c>
      <x:c r="C235" s="25" t="n">
        <x:v>3</x:v>
      </x:c>
      <x:c r="D235" s="25" t="n">
        <x:v>30</x:v>
      </x:c>
      <x:c r="E235" s="25" t="str">
        <x:v>Agressif</x:v>
      </x:c>
      <x:c r="F235" s="25" t="n">
        <x:v>1.2</x:v>
      </x:c>
      <x:c r="G235" s="25" t="n">
        <x:v>0.1547057384754468</x:v>
      </x:c>
      <x:c r="H235" s="25" t="n">
        <x:v>-1.696208398678926</x:v>
      </x:c>
      <x:c r="I235" s="25" t="n">
        <x:v>9098.009685935855</x:v>
      </x:c>
      <x:c r="J235" s="25" t="n">
        <x:v>25508.634685935845</x:v>
      </x:c>
      <x:c r="K235" s="25" t="n">
        <x:v>6.238459998457328</x:v>
      </x:c>
      <x:c r="L235" s="25" t="n">
        <x:v>67.25</x:v>
      </x:c>
      <x:c r="M235" s="34" t="b">
        <x:v>0</x:v>
      </x:c>
      <x:c r="N235" s="25" t="n">
        <x:v>-20.446394350823574</x:v>
      </x:c>
    </x:row>
    <x:row r="236">
      <x:c r="A236" s="25" t="n">
        <x:v>8</x:v>
      </x:c>
      <x:c r="B236" s="25" t="n">
        <x:v>4</x:v>
      </x:c>
      <x:c r="C236" s="25" t="n">
        <x:v>3</x:v>
      </x:c>
      <x:c r="D236" s="25" t="n">
        <x:v>40</x:v>
      </x:c>
      <x:c r="E236" s="25" t="str">
        <x:v>Équilibré</x:v>
      </x:c>
      <x:c r="F236" s="25" t="n">
        <x:v>1.2</x:v>
      </x:c>
      <x:c r="G236" s="25" t="n">
        <x:v>0.14112223191242237</x:v>
      </x:c>
      <x:c r="H236" s="25" t="n">
        <x:v>-1.6688282017375797</x:v>
      </x:c>
      <x:c r="I236" s="25" t="n">
        <x:v>7012.178551359996</x:v>
      </x:c>
      <x:c r="J236" s="25" t="n">
        <x:v>23422.803551359993</x:v>
      </x:c>
      <x:c r="K236" s="25" t="n">
        <x:v>6.238459998457328</x:v>
      </x:c>
      <x:c r="L236" s="25" t="n">
        <x:v>67.25</x:v>
      </x:c>
      <x:c r="M236" s="34" t="b">
        <x:v>0</x:v>
      </x:c>
      <x:c r="N236" s="25" t="n">
        <x:v>-20.508982288256263</x:v>
      </x:c>
    </x:row>
    <x:row r="237">
      <x:c r="A237" s="25" t="n">
        <x:v>8</x:v>
      </x:c>
      <x:c r="B237" s="25" t="n">
        <x:v>3</x:v>
      </x:c>
      <x:c r="C237" s="25" t="n">
        <x:v>2</x:v>
      </x:c>
      <x:c r="D237" s="25" t="n">
        <x:v>35</x:v>
      </x:c>
      <x:c r="E237" s="25" t="str">
        <x:v>Conservateur</x:v>
      </x:c>
      <x:c r="F237" s="25" t="n">
        <x:v>1</x:v>
      </x:c>
      <x:c r="G237" s="25" t="n">
        <x:v>0.08430261204405574</x:v>
      </x:c>
      <x:c r="H237" s="25" t="n">
        <x:v>-1.5414137186124017</x:v>
      </x:c>
      <x:c r="I237" s="25" t="n">
        <x:v>4271.407384130557</x:v>
      </x:c>
      <x:c r="J237" s="25" t="n">
        <x:v>20682.032384130554</x:v>
      </x:c>
      <x:c r="K237" s="25" t="n">
        <x:v>5.1987166653811085</x:v>
      </x:c>
      <x:c r="L237" s="25" t="n">
        <x:v>66.75</x:v>
      </x:c>
      <x:c r="M237" s="34" t="b">
        <x:v>0</x:v>
      </x:c>
      <x:c r="N237" s="25" t="n">
        <x:v>-20.548699302886973</x:v>
      </x:c>
    </x:row>
    <x:row r="238">
      <x:c r="A238" s="25" t="n">
        <x:v>6</x:v>
      </x:c>
      <x:c r="B238" s="25" t="n">
        <x:v>3</x:v>
      </x:c>
      <x:c r="C238" s="25" t="n">
        <x:v>1.5</x:v>
      </x:c>
      <x:c r="D238" s="25" t="n">
        <x:v>30</x:v>
      </x:c>
      <x:c r="E238" s="25" t="str">
        <x:v>Conservateur</x:v>
      </x:c>
      <x:c r="F238" s="25" t="n">
        <x:v>1.2</x:v>
      </x:c>
      <x:c r="G238" s="25" t="n">
        <x:v>0.053804824948309474</x:v>
      </x:c>
      <x:c r="H238" s="25" t="n">
        <x:v>-1.5584925689686555</x:v>
      </x:c>
      <x:c r="I238" s="25" t="n">
        <x:v>2726.1590241825265</x:v>
      </x:c>
      <x:c r="J238" s="25" t="n">
        <x:v>19136.78402418252</x:v>
      </x:c>
      <x:c r="K238" s="25" t="n">
        <x:v>6.238459998457328</x:v>
      </x:c>
      <x:c r="L238" s="25" t="n">
        <x:v>77.25</x:v>
      </x:c>
      <x:c r="M238" s="34" t="b">
        <x:v>0</x:v>
      </x:c>
      <x:c r="N238" s="25" t="n">
        <x:v>-20.553048852059362</x:v>
      </x:c>
    </x:row>
    <x:row r="239">
      <x:c r="A239" s="25" t="n">
        <x:v>6</x:v>
      </x:c>
      <x:c r="B239" s="25" t="n">
        <x:v>3</x:v>
      </x:c>
      <x:c r="C239" s="25" t="n">
        <x:v>1.5</x:v>
      </x:c>
      <x:c r="D239" s="25" t="n">
        <x:v>30</x:v>
      </x:c>
      <x:c r="E239" s="25" t="str">
        <x:v>Conservateur</x:v>
      </x:c>
      <x:c r="F239" s="25" t="n">
        <x:v>1</x:v>
      </x:c>
      <x:c r="G239" s="25" t="n">
        <x:v>0.053804824948309474</x:v>
      </x:c>
      <x:c r="H239" s="25" t="n">
        <x:v>-1.53523047497743</x:v>
      </x:c>
      <x:c r="I239" s="25" t="n">
        <x:v>2726.1590241825265</x:v>
      </x:c>
      <x:c r="J239" s="25" t="n">
        <x:v>19136.78402418252</x:v>
      </x:c>
      <x:c r="K239" s="25" t="n">
        <x:v>5.1987166653811085</x:v>
      </x:c>
      <x:c r="L239" s="25" t="n">
        <x:v>74.25</x:v>
      </x:c>
      <x:c r="M239" s="34" t="b">
        <x:v>0</x:v>
      </x:c>
      <x:c r="N239" s="25" t="n">
        <x:v>-20.571496502278727</x:v>
      </x:c>
    </x:row>
    <x:row r="240">
      <x:c r="A240" s="25" t="n">
        <x:v>8</x:v>
      </x:c>
      <x:c r="B240" s="25" t="n">
        <x:v>3</x:v>
      </x:c>
      <x:c r="C240" s="25" t="n">
        <x:v>2</x:v>
      </x:c>
      <x:c r="D240" s="25" t="n">
        <x:v>35</x:v>
      </x:c>
      <x:c r="E240" s="25" t="str">
        <x:v>Conservateur</x:v>
      </x:c>
      <x:c r="F240" s="25" t="n">
        <x:v>1.2</x:v>
      </x:c>
      <x:c r="G240" s="25" t="n">
        <x:v>0.08430261204405574</x:v>
      </x:c>
      <x:c r="H240" s="25" t="n">
        <x:v>-1.5664946529275228</x:v>
      </x:c>
      <x:c r="I240" s="25" t="n">
        <x:v>4271.407384130557</x:v>
      </x:c>
      <x:c r="J240" s="25" t="n">
        <x:v>20682.032384130554</x:v>
      </x:c>
      <x:c r="K240" s="25" t="n">
        <x:v>6.238459998457328</x:v>
      </x:c>
      <x:c r="L240" s="25" t="n">
        <x:v>69.75</x:v>
      </x:c>
      <x:c r="M240" s="34" t="b">
        <x:v>0</x:v>
      </x:c>
      <x:c r="N240" s="25" t="n">
        <x:v>-20.575722660764995</x:v>
      </x:c>
    </x:row>
    <x:row r="241">
      <x:c r="A241" s="25" t="n">
        <x:v>6</x:v>
      </x:c>
      <x:c r="B241" s="25" t="n">
        <x:v>2</x:v>
      </x:c>
      <x:c r="C241" s="25" t="n">
        <x:v>1.5</x:v>
      </x:c>
      <x:c r="D241" s="25" t="n">
        <x:v>30</x:v>
      </x:c>
      <x:c r="E241" s="25" t="str">
        <x:v>Conservateur</x:v>
      </x:c>
      <x:c r="F241" s="25" t="n">
        <x:v>0.8</x:v>
      </x:c>
      <x:c r="G241" s="25" t="n">
        <x:v>0.04376514057013337</x:v>
      </x:c>
      <x:c r="H241" s="25" t="n">
        <x:v>-1.5306159253922482</x:v>
      </x:c>
      <x:c r="I241" s="25" t="n">
        <x:v>2343.137715550255</x:v>
      </x:c>
      <x:c r="J241" s="25" t="n">
        <x:v>18753.762715550256</x:v>
      </x:c>
      <x:c r="K241" s="25" t="n">
        <x:v>4.158973332304886</x:v>
      </x:c>
      <x:c r="L241" s="25" t="n">
        <x:v>76.25</x:v>
      </x:c>
      <x:c r="M241" s="34" t="b">
        <x:v>0</x:v>
      </x:c>
      <x:c r="N241" s="25" t="n">
        <x:v>-20.60831540344887</x:v>
      </x:c>
    </x:row>
    <x:row r="242">
      <x:c r="A242" s="25" t="n">
        <x:v>10</x:v>
      </x:c>
      <x:c r="B242" s="25" t="n">
        <x:v>4</x:v>
      </x:c>
      <x:c r="C242" s="25" t="n">
        <x:v>3</x:v>
      </x:c>
      <x:c r="D242" s="25" t="n">
        <x:v>35</x:v>
      </x:c>
      <x:c r="E242" s="25" t="str">
        <x:v>Agressif</x:v>
      </x:c>
      <x:c r="F242" s="25" t="n">
        <x:v>0.8</x:v>
      </x:c>
      <x:c r="G242" s="25" t="n">
        <x:v>0.14760248021904895</x:v>
      </x:c>
      <x:c r="H242" s="25" t="n">
        <x:v>-1.5928088075253959</x:v>
      </x:c>
      <x:c r="I242" s="25" t="n">
        <x:v>7652.0372055463895</x:v>
      </x:c>
      <x:c r="J242" s="25" t="n">
        <x:v>24062.662205546385</x:v>
      </x:c>
      <x:c r="K242" s="25" t="n">
        <x:v>4.158973332304886</x:v>
      </x:c>
      <x:c r="L242" s="25" t="n">
        <x:v>54.75</x:v>
      </x:c>
      <x:c r="M242" s="34" t="b">
        <x:v>0</x:v>
      </x:c>
      <x:c r="N242" s="25" t="n">
        <x:v>-20.752083776087204</x:v>
      </x:c>
    </x:row>
    <x:row r="243">
      <x:c r="A243" s="25" t="n">
        <x:v>8</x:v>
      </x:c>
      <x:c r="B243" s="25" t="n">
        <x:v>2</x:v>
      </x:c>
      <x:c r="C243" s="25" t="n">
        <x:v>2</x:v>
      </x:c>
      <x:c r="D243" s="25" t="n">
        <x:v>35</x:v>
      </x:c>
      <x:c r="E243" s="25" t="str">
        <x:v>Conservateur</x:v>
      </x:c>
      <x:c r="F243" s="25" t="n">
        <x:v>0.8</x:v>
      </x:c>
      <x:c r="G243" s="25" t="n">
        <x:v>0.07314355595058167</x:v>
      </x:c>
      <x:c r="H243" s="25" t="n">
        <x:v>-1.546972392752009</x:v>
      </x:c>
      <x:c r="I243" s="25" t="n">
        <x:v>3916.025913880571</x:v>
      </x:c>
      <x:c r="J243" s="25" t="n">
        <x:v>20326.650913880567</x:v>
      </x:c>
      <x:c r="K243" s="25" t="n">
        <x:v>4.158973332304886</x:v>
      </x:c>
      <x:c r="L243" s="25" t="n">
        <x:v>68.75</x:v>
      </x:c>
      <x:c r="M243" s="34" t="b">
        <x:v>0</x:v>
      </x:c>
      <x:c r="N243" s="25" t="n">
        <x:v>-20.901414241518232</x:v>
      </x:c>
    </x:row>
    <x:row r="244">
      <x:c r="A244" s="25" t="n">
        <x:v>10</x:v>
      </x:c>
      <x:c r="B244" s="25" t="n">
        <x:v>2</x:v>
      </x:c>
      <x:c r="C244" s="25" t="n">
        <x:v>3</x:v>
      </x:c>
      <x:c r="D244" s="25" t="n">
        <x:v>40</x:v>
      </x:c>
      <x:c r="E244" s="25" t="str">
        <x:v>Équilibré</x:v>
      </x:c>
      <x:c r="F244" s="25" t="n">
        <x:v>0.8</x:v>
      </x:c>
      <x:c r="G244" s="25" t="n">
        <x:v>0.14066937045878794</x:v>
      </x:c>
      <x:c r="H244" s="25" t="n">
        <x:v>-1.655817057039276</x:v>
      </x:c>
      <x:c r="I244" s="25" t="n">
        <x:v>7792.9081307199995</x:v>
      </x:c>
      <x:c r="J244" s="25" t="n">
        <x:v>24203.533130719992</x:v>
      </x:c>
      <x:c r="K244" s="25" t="n">
        <x:v>4.158973332304886</x:v>
      </x:c>
      <x:c r="L244" s="25" t="n">
        <x:v>63.25</x:v>
      </x:c>
      <x:c r="M244" s="34" t="b">
        <x:v>0</x:v>
      </x:c>
      <x:c r="N244" s="25" t="n">
        <x:v>-21.00861105074857</x:v>
      </x:c>
    </x:row>
    <x:row r="245">
      <x:c r="A245" s="25" t="n">
        <x:v>10</x:v>
      </x:c>
      <x:c r="B245" s="25" t="n">
        <x:v>4</x:v>
      </x:c>
      <x:c r="C245" s="25" t="n">
        <x:v>1.5</x:v>
      </x:c>
      <x:c r="D245" s="25" t="n">
        <x:v>35</x:v>
      </x:c>
      <x:c r="E245" s="25" t="str">
        <x:v>Conservateur</x:v>
      </x:c>
      <x:c r="F245" s="25" t="n">
        <x:v>1.2</x:v>
      </x:c>
      <x:c r="G245" s="25" t="n">
        <x:v>0.06984928430156427</x:v>
      </x:c>
      <x:c r="H245" s="25" t="n">
        <x:v>-1.4764569881537855</x:v>
      </x:c>
      <x:c r="I245" s="25" t="n">
        <x:v>3388.6713525575665</x:v>
      </x:c>
      <x:c r="J245" s="25" t="n">
        <x:v>19799.29635255756</x:v>
      </x:c>
      <x:c r="K245" s="25" t="n">
        <x:v>6.238459998457328</x:v>
      </x:c>
      <x:c r="L245" s="25" t="n">
        <x:v>59.75</x:v>
      </x:c>
      <x:c r="M245" s="34" t="b">
        <x:v>0</x:v>
      </x:c>
      <x:c r="N245" s="25" t="n">
        <x:v>-21.1197140672586</x:v>
      </x:c>
    </x:row>
    <x:row r="246">
      <x:c r="A246" s="25" t="n">
        <x:v>10</x:v>
      </x:c>
      <x:c r="B246" s="25" t="n">
        <x:v>3</x:v>
      </x:c>
      <x:c r="C246" s="25" t="n">
        <x:v>3</x:v>
      </x:c>
      <x:c r="D246" s="25" t="n">
        <x:v>40</x:v>
      </x:c>
      <x:c r="E246" s="25" t="str">
        <x:v>Équilibré</x:v>
      </x:c>
      <x:c r="F246" s="25" t="n">
        <x:v>1</x:v>
      </x:c>
      <x:c r="G246" s="25" t="n">
        <x:v>0.14577807690906036</x:v>
      </x:c>
      <x:c r="H246" s="25" t="n">
        <x:v>-1.6566944513795072</x:v>
      </x:c>
      <x:c r="I246" s="25" t="n">
        <x:v>7600.265408800001</x:v>
      </x:c>
      <x:c r="J246" s="25" t="n">
        <x:v>24010.890408799998</x:v>
      </x:c>
      <x:c r="K246" s="25" t="n">
        <x:v>5.1987166653811085</x:v>
      </x:c>
      <x:c r="L246" s="25" t="n">
        <x:v>61.25</x:v>
      </x:c>
      <x:c r="M246" s="34" t="b">
        <x:v>0</x:v>
      </x:c>
      <x:c r="N246" s="25" t="n">
        <x:v>-21.149567054489367</x:v>
      </x:c>
    </x:row>
    <x:row r="247">
      <x:c r="A247" s="25" t="n">
        <x:v>10</x:v>
      </x:c>
      <x:c r="B247" s="25" t="n">
        <x:v>4</x:v>
      </x:c>
      <x:c r="C247" s="25" t="n">
        <x:v>1.5</x:v>
      </x:c>
      <x:c r="D247" s="25" t="n">
        <x:v>35</x:v>
      </x:c>
      <x:c r="E247" s="25" t="str">
        <x:v>Conservateur</x:v>
      </x:c>
      <x:c r="F247" s="25" t="n">
        <x:v>1</x:v>
      </x:c>
      <x:c r="G247" s="25" t="n">
        <x:v>0.06984928430156427</x:v>
      </x:c>
      <x:c r="H247" s="25" t="n">
        <x:v>-1.4545314175782307</x:v>
      </x:c>
      <x:c r="I247" s="25" t="n">
        <x:v>3388.6713525575665</x:v>
      </x:c>
      <x:c r="J247" s="25" t="n">
        <x:v>19799.29635255756</x:v>
      </x:c>
      <x:c r="K247" s="25" t="n">
        <x:v>5.1987166653811085</x:v>
      </x:c>
      <x:c r="L247" s="25" t="n">
        <x:v>56.75</x:v>
      </x:c>
      <x:c r="M247" s="34" t="b">
        <x:v>0</x:v>
      </x:c>
      <x:c r="N247" s="25" t="n">
        <x:v>-21.171574802869728</x:v>
      </x:c>
    </x:row>
    <x:row r="248">
      <x:c r="A248" s="25" t="n">
        <x:v>8</x:v>
      </x:c>
      <x:c r="B248" s="25" t="n">
        <x:v>3</x:v>
      </x:c>
      <x:c r="C248" s="25" t="n">
        <x:v>2</x:v>
      </x:c>
      <x:c r="D248" s="25" t="n">
        <x:v>30</x:v>
      </x:c>
      <x:c r="E248" s="25" t="str">
        <x:v>Équilibré</x:v>
      </x:c>
      <x:c r="F248" s="25" t="n">
        <x:v>1</x:v>
      </x:c>
      <x:c r="G248" s="25" t="n">
        <x:v>0.07960001349274765</x:v>
      </x:c>
      <x:c r="H248" s="25" t="n">
        <x:v>-1.5742091065037813</x:v>
      </x:c>
      <x:c r="I248" s="25" t="n">
        <x:v>4150.015159456</x:v>
      </x:c>
      <x:c r="J248" s="25" t="n">
        <x:v>20560.640159455997</x:v>
      </x:c>
      <x:c r="K248" s="25" t="n">
        <x:v>5.1987166653811085</x:v>
      </x:c>
      <x:c r="L248" s="25" t="n">
        <x:v>68.25</x:v>
      </x:c>
      <x:c r="M248" s="34" t="b">
        <x:v>0</x:v>
      </x:c>
      <x:c r="N248" s="25" t="n">
        <x:v>-21.32722692049341</x:v>
      </x:c>
    </x:row>
    <x:row r="249">
      <x:c r="A249" s="25" t="n">
        <x:v>10</x:v>
      </x:c>
      <x:c r="B249" s="25" t="n">
        <x:v>3</x:v>
      </x:c>
      <x:c r="C249" s="25" t="n">
        <x:v>3</x:v>
      </x:c>
      <x:c r="D249" s="25" t="n">
        <x:v>40</x:v>
      </x:c>
      <x:c r="E249" s="25" t="str">
        <x:v>Équilibré</x:v>
      </x:c>
      <x:c r="F249" s="25" t="n">
        <x:v>1.2</x:v>
      </x:c>
      <x:c r="G249" s="25" t="n">
        <x:v>0.14577807690906036</x:v>
      </x:c>
      <x:c r="H249" s="25" t="n">
        <x:v>-1.688155989744733</x:v>
      </x:c>
      <x:c r="I249" s="25" t="n">
        <x:v>7600.265408800001</x:v>
      </x:c>
      <x:c r="J249" s="25" t="n">
        <x:v>24010.890408799998</x:v>
      </x:c>
      <x:c r="K249" s="25" t="n">
        <x:v>6.238459998457328</x:v>
      </x:c>
      <x:c r="L249" s="25" t="n">
        <x:v>64.25</x:v>
      </x:c>
      <x:c r="M249" s="34" t="b">
        <x:v>0</x:v>
      </x:c>
      <x:c r="N249" s="25" t="n">
        <x:v>-21.336105513620005</x:v>
      </x:c>
    </x:row>
    <x:row r="250">
      <x:c r="A250" s="25" t="n">
        <x:v>8</x:v>
      </x:c>
      <x:c r="B250" s="25" t="n">
        <x:v>4</x:v>
      </x:c>
      <x:c r="C250" s="25" t="n">
        <x:v>1.5</x:v>
      </x:c>
      <x:c r="D250" s="25" t="n">
        <x:v>35</x:v>
      </x:c>
      <x:c r="E250" s="25" t="str">
        <x:v>Conservateur</x:v>
      </x:c>
      <x:c r="F250" s="25" t="n">
        <x:v>0.8</x:v>
      </x:c>
      <x:c r="G250" s="25" t="n">
        <x:v>0.05483644240867097</x:v>
      </x:c>
      <x:c r="H250" s="25" t="n">
        <x:v>-1.4688922631227541</x:v>
      </x:c>
      <x:c r="I250" s="25" t="n">
        <x:v>2660.337658782206</x:v>
      </x:c>
      <x:c r="J250" s="25" t="n">
        <x:v>19070.962658782202</x:v>
      </x:c>
      <x:c r="K250" s="25" t="n">
        <x:v>4.158973332304886</x:v>
      </x:c>
      <x:c r="L250" s="25" t="n">
        <x:v>61.75</x:v>
      </x:c>
      <x:c r="M250" s="34" t="b">
        <x:v>0</x:v>
      </x:c>
      <x:c r="N250" s="25" t="n">
        <x:v>-21.356302245591948</x:v>
      </x:c>
    </x:row>
    <x:row r="251">
      <x:c r="A251" s="25" t="n">
        <x:v>8</x:v>
      </x:c>
      <x:c r="B251" s="25" t="n">
        <x:v>3</x:v>
      </x:c>
      <x:c r="C251" s="25" t="n">
        <x:v>2</x:v>
      </x:c>
      <x:c r="D251" s="25" t="n">
        <x:v>30</x:v>
      </x:c>
      <x:c r="E251" s="25" t="str">
        <x:v>Équilibré</x:v>
      </x:c>
      <x:c r="F251" s="25" t="n">
        <x:v>1.2</x:v>
      </x:c>
      <x:c r="G251" s="25" t="n">
        <x:v>0.07960001349274765</x:v>
      </x:c>
      <x:c r="H251" s="25" t="n">
        <x:v>-1.5999815720374937</x:v>
      </x:c>
      <x:c r="I251" s="25" t="n">
        <x:v>4150.015159456</x:v>
      </x:c>
      <x:c r="J251" s="25" t="n">
        <x:v>20560.640159455997</x:v>
      </x:c>
      <x:c r="K251" s="25" t="n">
        <x:v>6.238459998457328</x:v>
      </x:c>
      <x:c r="L251" s="25" t="n">
        <x:v>71.25</x:v>
      </x:c>
      <x:c r="M251" s="34" t="b">
        <x:v>0</x:v>
      </x:c>
      <x:c r="N251" s="25" t="n">
        <x:v>-21.37153855883622</x:v>
      </x:c>
    </x:row>
    <x:row r="252">
      <x:c r="A252" s="25" t="n">
        <x:v>6</x:v>
      </x:c>
      <x:c r="B252" s="25" t="n">
        <x:v>4</x:v>
      </x:c>
      <x:c r="C252" s="25" t="n">
        <x:v>3</x:v>
      </x:c>
      <x:c r="D252" s="25" t="n">
        <x:v>40</x:v>
      </x:c>
      <x:c r="E252" s="25" t="str">
        <x:v>Équilibré</x:v>
      </x:c>
      <x:c r="F252" s="25" t="n">
        <x:v>0.8</x:v>
      </x:c>
      <x:c r="G252" s="25" t="n">
        <x:v>0.1232646070139747</x:v>
      </x:c>
      <x:c r="H252" s="25" t="n">
        <x:v>-1.6802985799472427</x:v>
      </x:c>
      <x:c r="I252" s="25" t="n">
        <x:v>6124.856599359998</x:v>
      </x:c>
      <x:c r="J252" s="25" t="n">
        <x:v>22535.481599359995</x:v>
      </x:c>
      <x:c r="K252" s="25" t="n">
        <x:v>4.158973332304886</x:v>
      </x:c>
      <x:c r="L252" s="25" t="n">
        <x:v>69.25</x:v>
      </x:c>
      <x:c r="M252" s="34" t="b">
        <x:v>0</x:v>
      </x:c>
      <x:c r="N252" s="25" t="n">
        <x:v>-21.377911112912457</x:v>
      </x:c>
    </x:row>
    <x:row r="253">
      <x:c r="A253" s="25" t="n">
        <x:v>6</x:v>
      </x:c>
      <x:c r="B253" s="25" t="n">
        <x:v>3</x:v>
      </x:c>
      <x:c r="C253" s="25" t="n">
        <x:v>2</x:v>
      </x:c>
      <x:c r="D253" s="25" t="n">
        <x:v>35</x:v>
      </x:c>
      <x:c r="E253" s="25" t="str">
        <x:v>Conservateur</x:v>
      </x:c>
      <x:c r="F253" s="25" t="n">
        <x:v>0.8</x:v>
      </x:c>
      <x:c r="G253" s="25" t="n">
        <x:v>0.0645511250882466</x:v>
      </x:c>
      <x:c r="H253" s="25" t="n">
        <x:v>-1.5744639034853318</x:v>
      </x:c>
      <x:c r="I253" s="25" t="n">
        <x:v>3270.6477969126386</x:v>
      </x:c>
      <x:c r="J253" s="25" t="n">
        <x:v>19681.27279691263</x:v>
      </x:c>
      <x:c r="K253" s="25" t="n">
        <x:v>4.158973332304886</x:v>
      </x:c>
      <x:c r="L253" s="25" t="n">
        <x:v>71.75</x:v>
      </x:c>
      <x:c r="M253" s="34" t="b">
        <x:v>0</x:v>
      </x:c>
      <x:c r="N253" s="25" t="n">
        <x:v>-21.461285707279735</x:v>
      </x:c>
    </x:row>
    <x:row r="254">
      <x:c r="A254" s="25" t="n">
        <x:v>8</x:v>
      </x:c>
      <x:c r="B254" s="25" t="n">
        <x:v>2</x:v>
      </x:c>
      <x:c r="C254" s="25" t="n">
        <x:v>2</x:v>
      </x:c>
      <x:c r="D254" s="25" t="n">
        <x:v>30</x:v>
      </x:c>
      <x:c r="E254" s="25" t="str">
        <x:v>Équilibré</x:v>
      </x:c>
      <x:c r="F254" s="25" t="n">
        <x:v>0.8</x:v>
      </x:c>
      <x:c r="G254" s="25" t="n">
        <x:v>0.06946518439326688</x:v>
      </x:c>
      <x:c r="H254" s="25" t="n">
        <x:v>-1.5739937769768941</x:v>
      </x:c>
      <x:c r="I254" s="25" t="n">
        <x:v>3848.284800697599</x:v>
      </x:c>
      <x:c r="J254" s="25" t="n">
        <x:v>20258.909800697595</x:v>
      </x:c>
      <x:c r="K254" s="25" t="n">
        <x:v>4.158973332304886</x:v>
      </x:c>
      <x:c r="L254" s="25" t="n">
        <x:v>70.25</x:v>
      </x:c>
      <x:c r="M254" s="34" t="b">
        <x:v>0</x:v>
      </x:c>
      <x:c r="N254" s="25" t="n">
        <x:v>-21.479259282792672</x:v>
      </x:c>
    </x:row>
    <x:row r="255">
      <x:c r="A255" s="25" t="n">
        <x:v>6</x:v>
      </x:c>
      <x:c r="B255" s="25" t="n">
        <x:v>4</x:v>
      </x:c>
      <x:c r="C255" s="25" t="n">
        <x:v>2</x:v>
      </x:c>
      <x:c r="D255" s="25" t="n">
        <x:v>35</x:v>
      </x:c>
      <x:c r="E255" s="25" t="str">
        <x:v>Conservateur</x:v>
      </x:c>
      <x:c r="F255" s="25" t="n">
        <x:v>1</x:v>
      </x:c>
      <x:c r="G255" s="25" t="n">
        <x:v>0.07083922271281541</x:v>
      </x:c>
      <x:c r="H255" s="25" t="n">
        <x:v>-1.574646268023755</x:v>
      </x:c>
      <x:c r="I255" s="25" t="n">
        <x:v>3436.6972696238063</x:v>
      </x:c>
      <x:c r="J255" s="25" t="n">
        <x:v>19847.322269623804</x:v>
      </x:c>
      <x:c r="K255" s="25" t="n">
        <x:v>5.1987166653811085</x:v>
      </x:c>
      <x:c r="L255" s="25" t="n">
        <x:v>69.75</x:v>
      </x:c>
      <x:c r="M255" s="34" t="b">
        <x:v>0</x:v>
      </x:c>
      <x:c r="N255" s="25" t="n">
        <x:v>-21.519999451389026</x:v>
      </x:c>
    </x:row>
    <x:row r="256">
      <x:c r="A256" s="25" t="n">
        <x:v>6</x:v>
      </x:c>
      <x:c r="B256" s="25" t="n">
        <x:v>4</x:v>
      </x:c>
      <x:c r="C256" s="25" t="n">
        <x:v>2</x:v>
      </x:c>
      <x:c r="D256" s="25" t="n">
        <x:v>35</x:v>
      </x:c>
      <x:c r="E256" s="25" t="str">
        <x:v>Conservateur</x:v>
      </x:c>
      <x:c r="F256" s="25" t="n">
        <x:v>1.2</x:v>
      </x:c>
      <x:c r="G256" s="25" t="n">
        <x:v>0.07083922271281541</x:v>
      </x:c>
      <x:c r="H256" s="25" t="n">
        <x:v>-1.5996963586495603</x:v>
      </x:c>
      <x:c r="I256" s="25" t="n">
        <x:v>3436.6972696238063</x:v>
      </x:c>
      <x:c r="J256" s="25" t="n">
        <x:v>19847.322269623804</x:v>
      </x:c>
      <x:c r="K256" s="25" t="n">
        <x:v>6.238459998457328</x:v>
      </x:c>
      <x:c r="L256" s="25" t="n">
        <x:v>72.75</x:v>
      </x:c>
      <x:c r="M256" s="34" t="b">
        <x:v>0</x:v>
      </x:c>
      <x:c r="N256" s="25" t="n">
        <x:v>-21.546251717034156</x:v>
      </x:c>
    </x:row>
    <x:row r="257">
      <x:c r="A257" s="25" t="n">
        <x:v>8</x:v>
      </x:c>
      <x:c r="B257" s="25" t="n">
        <x:v>4</x:v>
      </x:c>
      <x:c r="C257" s="25" t="n">
        <x:v>2</x:v>
      </x:c>
      <x:c r="D257" s="25" t="n">
        <x:v>40</x:v>
      </x:c>
      <x:c r="E257" s="25" t="str">
        <x:v>Conservateur</x:v>
      </x:c>
      <x:c r="F257" s="25" t="n">
        <x:v>0.8</x:v>
      </x:c>
      <x:c r="G257" s="25" t="n">
        <x:v>0.07206931295018217</x:v>
      </x:c>
      <x:c r="H257" s="25" t="n">
        <x:v>-1.5241920130656001</x:v>
      </x:c>
      <x:c r="I257" s="25" t="n">
        <x:v>3496.373923294717</x:v>
      </x:c>
      <x:c r="J257" s="25" t="n">
        <x:v>19906.998923294715</x:v>
      </x:c>
      <x:c r="K257" s="25" t="n">
        <x:v>4.158973332304886</x:v>
      </x:c>
      <x:c r="L257" s="25" t="n">
        <x:v>62.25</x:v>
      </x:c>
      <x:c r="M257" s="34" t="b">
        <x:v>0</x:v>
      </x:c>
      <x:c r="N257" s="25" t="n">
        <x:v>-21.690988114379984</x:v>
      </x:c>
    </x:row>
    <x:row r="258">
      <x:c r="A258" s="25" t="n">
        <x:v>10</x:v>
      </x:c>
      <x:c r="B258" s="25" t="n">
        <x:v>4</x:v>
      </x:c>
      <x:c r="C258" s="25" t="n">
        <x:v>2</x:v>
      </x:c>
      <x:c r="D258" s="25" t="n">
        <x:v>40</x:v>
      </x:c>
      <x:c r="E258" s="25" t="str">
        <x:v>Conservateur</x:v>
      </x:c>
      <x:c r="F258" s="25" t="n">
        <x:v>1</x:v>
      </x:c>
      <x:c r="G258" s="25" t="n">
        <x:v>0.08534236183007368</x:v>
      </x:c>
      <x:c r="H258" s="25" t="n">
        <x:v>-1.515354012651852</x:v>
      </x:c>
      <x:c r="I258" s="25" t="n">
        <x:v>4140.303219781115</x:v>
      </x:c>
      <x:c r="J258" s="25" t="n">
        <x:v>20550.92821978111</x:v>
      </x:c>
      <x:c r="K258" s="25" t="n">
        <x:v>5.1987166653811085</x:v>
      </x:c>
      <x:c r="L258" s="25" t="n">
        <x:v>57.25</x:v>
      </x:c>
      <x:c r="M258" s="34" t="b">
        <x:v>0</x:v>
      </x:c>
      <x:c r="N258" s="25" t="n">
        <x:v>-21.74002041564225</x:v>
      </x:c>
    </x:row>
    <x:row r="259">
      <x:c r="A259" s="25" t="n">
        <x:v>10</x:v>
      </x:c>
      <x:c r="B259" s="25" t="n">
        <x:v>4</x:v>
      </x:c>
      <x:c r="C259" s="25" t="n">
        <x:v>2</x:v>
      </x:c>
      <x:c r="D259" s="25" t="n">
        <x:v>40</x:v>
      </x:c>
      <x:c r="E259" s="25" t="str">
        <x:v>Conservateur</x:v>
      </x:c>
      <x:c r="F259" s="25" t="n">
        <x:v>1.2</x:v>
      </x:c>
      <x:c r="G259" s="25" t="n">
        <x:v>0.08534236183007368</x:v>
      </x:c>
      <x:c r="H259" s="25" t="n">
        <x:v>-1.5397157577358016</x:v>
      </x:c>
      <x:c r="I259" s="25" t="n">
        <x:v>4140.303219781115</x:v>
      </x:c>
      <x:c r="J259" s="25" t="n">
        <x:v>20550.92821978111</x:v>
      </x:c>
      <x:c r="K259" s="25" t="n">
        <x:v>6.238459998457328</x:v>
      </x:c>
      <x:c r="L259" s="25" t="n">
        <x:v>60.25</x:v>
      </x:c>
      <x:c r="M259" s="34" t="b">
        <x:v>0</x:v>
      </x:c>
      <x:c r="N259" s="25" t="n">
        <x:v>-21.749064042740986</x:v>
      </x:c>
    </x:row>
    <x:row r="260">
      <x:c r="A260" s="25" t="n">
        <x:v>10</x:v>
      </x:c>
      <x:c r="B260" s="25" t="n">
        <x:v>2</x:v>
      </x:c>
      <x:c r="C260" s="25" t="n">
        <x:v>2</x:v>
      </x:c>
      <x:c r="D260" s="25" t="n">
        <x:v>35</x:v>
      </x:c>
      <x:c r="E260" s="25" t="str">
        <x:v>Conservateur</x:v>
      </x:c>
      <x:c r="F260" s="25" t="n">
        <x:v>1</x:v>
      </x:c>
      <x:c r="G260" s="25" t="n">
        <x:v>0.08128391220436273</x:v>
      </x:c>
      <x:c r="H260" s="25" t="n">
        <x:v>-1.5634629314422799</x:v>
      </x:c>
      <x:c r="I260" s="25" t="n">
        <x:v>4351.851676297211</x:v>
      </x:c>
      <x:c r="J260" s="25" t="n">
        <x:v>20762.47667629721</x:v>
      </x:c>
      <x:c r="K260" s="25" t="n">
        <x:v>5.1987166653811085</x:v>
      </x:c>
      <x:c r="L260" s="25" t="n">
        <x:v>63.75</x:v>
      </x:c>
      <x:c r="M260" s="34" t="b">
        <x:v>0</x:v>
      </x:c>
      <x:c r="N260" s="25" t="n">
        <x:v>-21.865958114817047</x:v>
      </x:c>
    </x:row>
    <x:row r="261">
      <x:c r="A261" s="25" t="n">
        <x:v>6</x:v>
      </x:c>
      <x:c r="B261" s="25" t="n">
        <x:v>4</x:v>
      </x:c>
      <x:c r="C261" s="25" t="n">
        <x:v>3</x:v>
      </x:c>
      <x:c r="D261" s="25" t="n">
        <x:v>30</x:v>
      </x:c>
      <x:c r="E261" s="25" t="str">
        <x:v>Agressif</x:v>
      </x:c>
      <x:c r="F261" s="25" t="n">
        <x:v>1</x:v>
      </x:c>
      <x:c r="G261" s="25" t="n">
        <x:v>0.12898613375565965</x:v>
      </x:c>
      <x:c r="H261" s="25" t="n">
        <x:v>-1.721642395088721</x:v>
      </x:c>
      <x:c r="I261" s="25" t="n">
        <x:v>6686.924860836531</x:v>
      </x:c>
      <x:c r="J261" s="25" t="n">
        <x:v>23097.549860836527</x:v>
      </x:c>
      <x:c r="K261" s="25" t="n">
        <x:v>5.1987166653811085</x:v>
      </x:c>
      <x:c r="L261" s="25" t="n">
        <x:v>70.25</x:v>
      </x:c>
      <x:c r="M261" s="34" t="b">
        <x:v>0</x:v>
      </x:c>
      <x:c r="N261" s="25" t="n">
        <x:v>-21.896822520656745</x:v>
      </x:c>
    </x:row>
    <x:row r="262">
      <x:c r="A262" s="25" t="n">
        <x:v>10</x:v>
      </x:c>
      <x:c r="B262" s="25" t="n">
        <x:v>2</x:v>
      </x:c>
      <x:c r="C262" s="25" t="n">
        <x:v>2</x:v>
      </x:c>
      <x:c r="D262" s="25" t="n">
        <x:v>35</x:v>
      </x:c>
      <x:c r="E262" s="25" t="str">
        <x:v>Conservateur</x:v>
      </x:c>
      <x:c r="F262" s="25" t="n">
        <x:v>1.2</x:v>
      </x:c>
      <x:c r="G262" s="25" t="n">
        <x:v>0.08128391220436273</x:v>
      </x:c>
      <x:c r="H262" s="25" t="n">
        <x:v>-1.589306368926739</x:v>
      </x:c>
      <x:c r="I262" s="25" t="n">
        <x:v>4351.851676297211</x:v>
      </x:c>
      <x:c r="J262" s="25" t="n">
        <x:v>20762.47667629721</x:v>
      </x:c>
      <x:c r="K262" s="25" t="n">
        <x:v>6.238459998457328</x:v>
      </x:c>
      <x:c r="L262" s="25" t="n">
        <x:v>66.75</x:v>
      </x:c>
      <x:c r="M262" s="34" t="b">
        <x:v>0</x:v>
      </x:c>
      <x:c r="N262" s="25" t="n">
        <x:v>-21.912044051928525</x:v>
      </x:c>
    </x:row>
    <x:row r="263">
      <x:c r="A263" s="25" t="n">
        <x:v>10</x:v>
      </x:c>
      <x:c r="B263" s="25" t="n">
        <x:v>4</x:v>
      </x:c>
      <x:c r="C263" s="25" t="n">
        <x:v>1.5</x:v>
      </x:c>
      <x:c r="D263" s="25" t="n">
        <x:v>30</x:v>
      </x:c>
      <x:c r="E263" s="25" t="str">
        <x:v>Équilibré</x:v>
      </x:c>
      <x:c r="F263" s="25" t="n">
        <x:v>1.2</x:v>
      </x:c>
      <x:c r="G263" s="25" t="n">
        <x:v>0.06476698348881335</x:v>
      </x:c>
      <x:c r="H263" s="25" t="n">
        <x:v>-1.5093725340344335</x:v>
      </x:c>
      <x:c r="I263" s="25" t="n">
        <x:v>3218.186435276797</x:v>
      </x:c>
      <x:c r="J263" s="25" t="n">
        <x:v>19628.81143527679</x:v>
      </x:c>
      <x:c r="K263" s="25" t="n">
        <x:v>6.238459998457328</x:v>
      </x:c>
      <x:c r="L263" s="25" t="n">
        <x:v>61.25</x:v>
      </x:c>
      <x:c r="M263" s="34" t="b">
        <x:v>0</x:v>
      </x:c>
      <x:c r="N263" s="25" t="n">
        <x:v>-21.922129258976106</x:v>
      </x:c>
    </x:row>
    <x:row r="264">
      <x:c r="A264" s="25" t="n">
        <x:v>6</x:v>
      </x:c>
      <x:c r="B264" s="25" t="n">
        <x:v>2</x:v>
      </x:c>
      <x:c r="C264" s="25" t="n">
        <x:v>3</x:v>
      </x:c>
      <x:c r="D264" s="25" t="n">
        <x:v>30</x:v>
      </x:c>
      <x:c r="E264" s="25" t="str">
        <x:v>Agressif</x:v>
      </x:c>
      <x:c r="F264" s="25" t="n">
        <x:v>0.8</x:v>
      </x:c>
      <x:c r="G264" s="25" t="n">
        <x:v>0.12282993930457142</x:v>
      </x:c>
      <x:c r="H264" s="25" t="n">
        <x:v>-1.7658103406701757</x:v>
      </x:c>
      <x:c r="I264" s="25" t="n">
        <x:v>7223.442313959559</x:v>
      </x:c>
      <x:c r="J264" s="25" t="n">
        <x:v>23634.06731395956</x:v>
      </x:c>
      <x:c r="K264" s="25" t="n">
        <x:v>4.158973332304886</x:v>
      </x:c>
      <x:c r="L264" s="25" t="n">
        <x:v>77.25</x:v>
      </x:c>
      <x:c r="M264" s="34" t="b">
        <x:v>0</x:v>
      </x:c>
      <x:c r="N264" s="25" t="n">
        <x:v>-21.939611855002966</x:v>
      </x:c>
    </x:row>
    <x:row r="265">
      <x:c r="A265" s="25" t="n">
        <x:v>10</x:v>
      </x:c>
      <x:c r="B265" s="25" t="n">
        <x:v>4</x:v>
      </x:c>
      <x:c r="C265" s="25" t="n">
        <x:v>1.5</x:v>
      </x:c>
      <x:c r="D265" s="25" t="n">
        <x:v>30</x:v>
      </x:c>
      <x:c r="E265" s="25" t="str">
        <x:v>Équilibré</x:v>
      </x:c>
      <x:c r="F265" s="25" t="n">
        <x:v>1</x:v>
      </x:c>
      <x:c r="G265" s="25" t="n">
        <x:v>0.06476698348881335</x:v>
      </x:c>
      <x:c r="H265" s="25" t="n">
        <x:v>-1.4868183512096624</x:v>
      </x:c>
      <x:c r="I265" s="25" t="n">
        <x:v>3218.186435276797</x:v>
      </x:c>
      <x:c r="J265" s="25" t="n">
        <x:v>19628.81143527679</x:v>
      </x:c>
      <x:c r="K265" s="25" t="n">
        <x:v>5.1987166653811085</x:v>
      </x:c>
      <x:c r="L265" s="25" t="n">
        <x:v>58.25</x:v>
      </x:c>
      <x:c r="M265" s="34" t="b">
        <x:v>0</x:v>
      </x:c>
      <x:c r="N265" s="25" t="n">
        <x:v>-21.95827468835683</x:v>
      </x:c>
    </x:row>
    <x:row r="266">
      <x:c r="A266" s="25" t="n">
        <x:v>8</x:v>
      </x:c>
      <x:c r="B266" s="25" t="n">
        <x:v>2</x:v>
      </x:c>
      <x:c r="C266" s="25" t="n">
        <x:v>3</x:v>
      </x:c>
      <x:c r="D266" s="25" t="n">
        <x:v>30</x:v>
      </x:c>
      <x:c r="E266" s="25" t="str">
        <x:v>Agressif</x:v>
      </x:c>
      <x:c r="F266" s="25" t="n">
        <x:v>1</x:v>
      </x:c>
      <x:c r="G266" s="25" t="n">
        <x:v>0.13581153446314934</x:v>
      </x:c>
      <x:c r="H266" s="25" t="n">
        <x:v>-1.7571008337615834</x:v>
      </x:c>
      <x:c r="I266" s="25" t="n">
        <x:v>7986.870223328186</x:v>
      </x:c>
      <x:c r="J266" s="25" t="n">
        <x:v>24397.495223328184</x:v>
      </x:c>
      <x:c r="K266" s="25" t="n">
        <x:v>5.1987166653811085</x:v>
      </x:c>
      <x:c r="L266" s="25" t="n">
        <x:v>72.25</x:v>
      </x:c>
      <x:c r="M266" s="34" t="b">
        <x:v>0</x:v>
      </x:c>
      <x:c r="N266" s="25" t="n">
        <x:v>-22.007886448566367</x:v>
      </x:c>
    </x:row>
    <x:row r="267">
      <x:c r="A267" s="25" t="n">
        <x:v>6</x:v>
      </x:c>
      <x:c r="B267" s="25" t="n">
        <x:v>2</x:v>
      </x:c>
      <x:c r="C267" s="25" t="n">
        <x:v>3</x:v>
      </x:c>
      <x:c r="D267" s="25" t="n">
        <x:v>35</x:v>
      </x:c>
      <x:c r="E267" s="25" t="str">
        <x:v>Équilibré</x:v>
      </x:c>
      <x:c r="F267" s="25" t="n">
        <x:v>1</x:v>
      </x:c>
      <x:c r="G267" s="25" t="n">
        <x:v>0.12334767905849725</x:v>
      </x:c>
      <x:c r="H267" s="25" t="n">
        <x:v>-1.785182510328022</x:v>
      </x:c>
      <x:c r="I267" s="25" t="n">
        <x:v>6833.307975327997</x:v>
      </x:c>
      <x:c r="J267" s="25" t="n">
        <x:v>23243.932975327993</x:v>
      </x:c>
      <x:c r="K267" s="25" t="n">
        <x:v>5.1987166653811085</x:v>
      </x:c>
      <x:c r="L267" s="25" t="n">
        <x:v>78.75</x:v>
      </x:c>
      <x:c r="M267" s="34" t="b">
        <x:v>0</x:v>
      </x:c>
      <x:c r="N267" s="25" t="n">
        <x:v>-22.095440409983198</x:v>
      </x:c>
    </x:row>
    <x:row r="268">
      <x:c r="A268" s="25" t="n">
        <x:v>6</x:v>
      </x:c>
      <x:c r="B268" s="25" t="n">
        <x:v>4</x:v>
      </x:c>
      <x:c r="C268" s="25" t="n">
        <x:v>3</x:v>
      </x:c>
      <x:c r="D268" s="25" t="n">
        <x:v>30</x:v>
      </x:c>
      <x:c r="E268" s="25" t="str">
        <x:v>Agressif</x:v>
      </x:c>
      <x:c r="F268" s="25" t="n">
        <x:v>1.2</x:v>
      </x:c>
      <x:c r="G268" s="25" t="n">
        <x:v>0.12898613375565965</x:v>
      </x:c>
      <x:c r="H268" s="25" t="n">
        <x:v>-1.7538345351944085</x:v>
      </x:c>
      <x:c r="I268" s="25" t="n">
        <x:v>6686.924860836531</x:v>
      </x:c>
      <x:c r="J268" s="25" t="n">
        <x:v>23097.549860836527</x:v>
      </x:c>
      <x:c r="K268" s="25" t="n">
        <x:v>6.238459998457328</x:v>
      </x:c>
      <x:c r="L268" s="25" t="n">
        <x:v>73.25</x:v>
      </x:c>
      <x:c r="M268" s="34" t="b">
        <x:v>0</x:v>
      </x:c>
      <x:c r="N268" s="25" t="n">
        <x:v>-22.101626023298934</x:v>
      </x:c>
    </x:row>
    <x:row r="269">
      <x:c r="A269" s="25" t="n">
        <x:v>8</x:v>
      </x:c>
      <x:c r="B269" s="25" t="n">
        <x:v>2</x:v>
      </x:c>
      <x:c r="C269" s="25" t="n">
        <x:v>3</x:v>
      </x:c>
      <x:c r="D269" s="25" t="n">
        <x:v>30</x:v>
      </x:c>
      <x:c r="E269" s="25" t="str">
        <x:v>Agressif</x:v>
      </x:c>
      <x:c r="F269" s="25" t="n">
        <x:v>1.2</x:v>
      </x:c>
      <x:c r="G269" s="25" t="n">
        <x:v>0.13581153446314934</x:v>
      </x:c>
      <x:c r="H269" s="25" t="n">
        <x:v>-1.7910198823167565</x:v>
      </x:c>
      <x:c r="I269" s="25" t="n">
        <x:v>7986.870223328186</x:v>
      </x:c>
      <x:c r="J269" s="25" t="n">
        <x:v>24397.495223328184</x:v>
      </x:c>
      <x:c r="K269" s="25" t="n">
        <x:v>6.238459998457328</x:v>
      </x:c>
      <x:c r="L269" s="25" t="n">
        <x:v>75.25</x:v>
      </x:c>
      <x:c r="M269" s="34" t="b">
        <x:v>0</x:v>
      </x:c>
      <x:c r="N269" s="25" t="n">
        <x:v>-22.255862662445697</x:v>
      </x:c>
    </x:row>
    <x:row r="270">
      <x:c r="A270" s="25" t="n">
        <x:v>8</x:v>
      </x:c>
      <x:c r="B270" s="25" t="n">
        <x:v>4</x:v>
      </x:c>
      <x:c r="C270" s="25" t="n">
        <x:v>1.5</x:v>
      </x:c>
      <x:c r="D270" s="25" t="n">
        <x:v>30</x:v>
      </x:c>
      <x:c r="E270" s="25" t="str">
        <x:v>Équilibré</x:v>
      </x:c>
      <x:c r="F270" s="25" t="n">
        <x:v>0.8</x:v>
      </x:c>
      <x:c r="G270" s="25" t="n">
        <x:v>0.048390828659851066</x:v>
      </x:c>
      <x:c r="H270" s="25" t="n">
        <x:v>-1.5044618241332766</x:v>
      </x:c>
      <x:c r="I270" s="25" t="n">
        <x:v>2404.476787340797</x:v>
      </x:c>
      <x:c r="J270" s="25" t="n">
        <x:v>18815.10178734079</x:v>
      </x:c>
      <x:c r="K270" s="25" t="n">
        <x:v>4.158973332304886</x:v>
      </x:c>
      <x:c r="L270" s="25" t="n">
        <x:v>63.25</x:v>
      </x:c>
      <x:c r="M270" s="34" t="b">
        <x:v>0</x:v>
      </x:c>
      <x:c r="N270" s="25" t="n">
        <x:v>-22.300050027040108</x:v>
      </x:c>
    </x:row>
    <x:row r="271">
      <x:c r="A271" s="25" t="n">
        <x:v>6</x:v>
      </x:c>
      <x:c r="B271" s="25" t="n">
        <x:v>2</x:v>
      </x:c>
      <x:c r="C271" s="25" t="n">
        <x:v>3</x:v>
      </x:c>
      <x:c r="D271" s="25" t="n">
        <x:v>35</x:v>
      </x:c>
      <x:c r="E271" s="25" t="str">
        <x:v>Équilibré</x:v>
      </x:c>
      <x:c r="F271" s="25" t="n">
        <x:v>1.2</x:v>
      </x:c>
      <x:c r="G271" s="25" t="n">
        <x:v>0.12334767905849725</x:v>
      </x:c>
      <x:c r="H271" s="25" t="n">
        <x:v>-1.81901929863864</x:v>
      </x:c>
      <x:c r="I271" s="25" t="n">
        <x:v>6833.307975327997</x:v>
      </x:c>
      <x:c r="J271" s="25" t="n">
        <x:v>23243.932975327993</x:v>
      </x:c>
      <x:c r="K271" s="25" t="n">
        <x:v>6.238459998457328</x:v>
      </x:c>
      <x:c r="L271" s="25" t="n">
        <x:v>81.75</x:v>
      </x:c>
      <x:c r="M271" s="34" t="b">
        <x:v>0</x:v>
      </x:c>
      <x:c r="N271" s="25" t="n">
        <x:v>-22.341360117748643</x:v>
      </x:c>
    </x:row>
    <x:row r="272">
      <x:c r="A272" s="25" t="n">
        <x:v>10</x:v>
      </x:c>
      <x:c r="B272" s="25" t="n">
        <x:v>2</x:v>
      </x:c>
      <x:c r="C272" s="25" t="n">
        <x:v>2</x:v>
      </x:c>
      <x:c r="D272" s="25" t="n">
        <x:v>30</x:v>
      </x:c>
      <x:c r="E272" s="25" t="str">
        <x:v>Équilibré</x:v>
      </x:c>
      <x:c r="F272" s="25" t="n">
        <x:v>1</x:v>
      </x:c>
      <x:c r="G272" s="25" t="n">
        <x:v>0.07837558684461438</x:v>
      </x:c>
      <x:c r="H272" s="25" t="n">
        <x:v>-1.5890717685777151</x:v>
      </x:c>
      <x:c r="I272" s="25" t="n">
        <x:v>4341.9100119616005</x:v>
      </x:c>
      <x:c r="J272" s="25" t="n">
        <x:v>20752.535011961598</x:v>
      </x:c>
      <x:c r="K272" s="25" t="n">
        <x:v>5.1987166653811085</x:v>
      </x:c>
      <x:c r="L272" s="25" t="n">
        <x:v>65.25</x:v>
      </x:c>
      <x:c r="M272" s="34" t="b">
        <x:v>0</x:v>
      </x:c>
      <x:c r="N272" s="25" t="n">
        <x:v>-22.366136937989086</x:v>
      </x:c>
    </x:row>
    <x:row r="273">
      <x:c r="A273" s="25" t="n">
        <x:v>10</x:v>
      </x:c>
      <x:c r="B273" s="25" t="n">
        <x:v>2</x:v>
      </x:c>
      <x:c r="C273" s="25" t="n">
        <x:v>2</x:v>
      </x:c>
      <x:c r="D273" s="25" t="n">
        <x:v>30</x:v>
      </x:c>
      <x:c r="E273" s="25" t="str">
        <x:v>Équilibré</x:v>
      </x:c>
      <x:c r="F273" s="25" t="n">
        <x:v>1.2</x:v>
      </x:c>
      <x:c r="G273" s="25" t="n">
        <x:v>0.07837558684461438</x:v>
      </x:c>
      <x:c r="H273" s="25" t="n">
        <x:v>-1.6155286515102247</x:v>
      </x:c>
      <x:c r="I273" s="25" t="n">
        <x:v>4341.9100119616005</x:v>
      </x:c>
      <x:c r="J273" s="25" t="n">
        <x:v>20752.535011961598</x:v>
      </x:c>
      <x:c r="K273" s="25" t="n">
        <x:v>6.238459998457328</x:v>
      </x:c>
      <x:c r="L273" s="25" t="n">
        <x:v>68.25</x:v>
      </x:c>
      <x:c r="M273" s="34" t="b">
        <x:v>0</x:v>
      </x:c>
      <x:c r="N273" s="25" t="n">
        <x:v>-22.42755901130183</x:v>
      </x:c>
    </x:row>
    <x:row r="274">
      <x:c r="A274" s="25" t="n">
        <x:v>6</x:v>
      </x:c>
      <x:c r="B274" s="25" t="n">
        <x:v>3</x:v>
      </x:c>
      <x:c r="C274" s="25" t="n">
        <x:v>2</x:v>
      </x:c>
      <x:c r="D274" s="25" t="n">
        <x:v>30</x:v>
      </x:c>
      <x:c r="E274" s="25" t="str">
        <x:v>Équilibré</x:v>
      </x:c>
      <x:c r="F274" s="25" t="n">
        <x:v>0.8</x:v>
      </x:c>
      <x:c r="G274" s="25" t="n">
        <x:v>0.05824851395688117</x:v>
      </x:c>
      <x:c r="H274" s="25" t="n">
        <x:v>-1.611297011897563</x:v>
      </x:c>
      <x:c r="I274" s="25" t="n">
        <x:v>3036.8363688640015</x:v>
      </x:c>
      <x:c r="J274" s="25" t="n">
        <x:v>19447.461368864</x:v>
      </x:c>
      <x:c r="K274" s="25" t="n">
        <x:v>4.158973332304886</x:v>
      </x:c>
      <x:c r="L274" s="25" t="n">
        <x:v>73.25</x:v>
      </x:c>
      <x:c r="M274" s="34" t="b">
        <x:v>0</x:v>
      </x:c>
      <x:c r="N274" s="25" t="n">
        <x:v>-22.428757029810612</x:v>
      </x:c>
    </x:row>
    <x:row r="275">
      <x:c r="A275" s="25" t="n">
        <x:v>10</x:v>
      </x:c>
      <x:c r="B275" s="25" t="n">
        <x:v>3</x:v>
      </x:c>
      <x:c r="C275" s="25" t="n">
        <x:v>1.5</x:v>
      </x:c>
      <x:c r="D275" s="25" t="n">
        <x:v>35</x:v>
      </x:c>
      <x:c r="E275" s="25" t="str">
        <x:v>Conservateur</x:v>
      </x:c>
      <x:c r="F275" s="25" t="n">
        <x:v>0.8</x:v>
      </x:c>
      <x:c r="G275" s="25" t="n">
        <x:v>0.05507799203960507</x:v>
      </x:c>
      <x:c r="H275" s="25" t="n">
        <x:v>-1.4884206113914147</x:v>
      </x:c>
      <x:c r="I275" s="25" t="n">
        <x:v>2790.667290096637</x:v>
      </x:c>
      <x:c r="J275" s="25" t="n">
        <x:v>19201.292290096633</x:v>
      </x:c>
      <x:c r="K275" s="25" t="n">
        <x:v>4.158973332304886</x:v>
      </x:c>
      <x:c r="L275" s="25" t="n">
        <x:v>58.75</x:v>
      </x:c>
      <x:c r="M275" s="34" t="b">
        <x:v>0</x:v>
      </x:c>
      <x:c r="N275" s="25" t="n">
        <x:v>-22.43122572260709</x:v>
      </x:c>
    </x:row>
    <x:row r="276">
      <x:c r="A276" s="25" t="n">
        <x:v>8</x:v>
      </x:c>
      <x:c r="B276" s="25" t="n">
        <x:v>2</x:v>
      </x:c>
      <x:c r="C276" s="25" t="n">
        <x:v>3</x:v>
      </x:c>
      <x:c r="D276" s="25" t="n">
        <x:v>40</x:v>
      </x:c>
      <x:c r="E276" s="25" t="str">
        <x:v>Équilibré</x:v>
      </x:c>
      <x:c r="F276" s="25" t="n">
        <x:v>0.8</x:v>
      </x:c>
      <x:c r="G276" s="25" t="n">
        <x:v>0.1226690639970327</x:v>
      </x:c>
      <x:c r="H276" s="25" t="n">
        <x:v>-1.7449240907397285</x:v>
      </x:c>
      <x:c r="I276" s="25" t="n">
        <x:v>6795.713545119997</x:v>
      </x:c>
      <x:c r="J276" s="25" t="n">
        <x:v>23206.338545119997</x:v>
      </x:c>
      <x:c r="K276" s="25" t="n">
        <x:v>4.158973332304886</x:v>
      </x:c>
      <x:c r="L276" s="25" t="n">
        <x:v>71.25</x:v>
      </x:c>
      <x:c r="M276" s="34" t="b">
        <x:v>0</x:v>
      </x:c>
      <x:c r="N276" s="25" t="n">
        <x:v>-22.62630374865641</x:v>
      </x:c>
    </x:row>
    <x:row r="277">
      <x:c r="A277" s="25" t="n">
        <x:v>6</x:v>
      </x:c>
      <x:c r="B277" s="25" t="n">
        <x:v>4</x:v>
      </x:c>
      <x:c r="C277" s="25" t="n">
        <x:v>2</x:v>
      </x:c>
      <x:c r="D277" s="25" t="n">
        <x:v>30</x:v>
      </x:c>
      <x:c r="E277" s="25" t="str">
        <x:v>Équilibré</x:v>
      </x:c>
      <x:c r="F277" s="25" t="n">
        <x:v>1</x:v>
      </x:c>
      <x:c r="G277" s="25" t="n">
        <x:v>0.06352898461518644</x:v>
      </x:c>
      <x:c r="H277" s="25" t="n">
        <x:v>-1.6178710784901957</x:v>
      </x:c>
      <x:c r="I277" s="25" t="n">
        <x:v>3156.6718955007977</x:v>
      </x:c>
      <x:c r="J277" s="25" t="n">
        <x:v>19567.296895500793</x:v>
      </x:c>
      <x:c r="K277" s="25" t="n">
        <x:v>5.1987166653811085</x:v>
      </x:c>
      <x:c r="L277" s="25" t="n">
        <x:v>71.25</x:v>
      </x:c>
      <x:c r="M277" s="34" t="b">
        <x:v>0</x:v>
      </x:c>
      <x:c r="N277" s="25" t="n">
        <x:v>-22.702682808419638</x:v>
      </x:c>
    </x:row>
    <x:row r="278">
      <x:c r="A278" s="25" t="n">
        <x:v>6</x:v>
      </x:c>
      <x:c r="B278" s="25" t="n">
        <x:v>4</x:v>
      </x:c>
      <x:c r="C278" s="25" t="n">
        <x:v>2</x:v>
      </x:c>
      <x:c r="D278" s="25" t="n">
        <x:v>30</x:v>
      </x:c>
      <x:c r="E278" s="25" t="str">
        <x:v>Équilibré</x:v>
      </x:c>
      <x:c r="F278" s="25" t="n">
        <x:v>1.2</x:v>
      </x:c>
      <x:c r="G278" s="25" t="n">
        <x:v>0.06352898461518644</x:v>
      </x:c>
      <x:c r="H278" s="25" t="n">
        <x:v>-1.6437269094684617</x:v>
      </x:c>
      <x:c r="I278" s="25" t="n">
        <x:v>3156.6718955007977</x:v>
      </x:c>
      <x:c r="J278" s="25" t="n">
        <x:v>19567.296895500793</x:v>
      </x:c>
      <x:c r="K278" s="25" t="n">
        <x:v>6.238459998457328</x:v>
      </x:c>
      <x:c r="L278" s="25" t="n">
        <x:v>74.25</x:v>
      </x:c>
      <x:c r="M278" s="34" t="b">
        <x:v>0</x:v>
      </x:c>
      <x:c r="N278" s="25" t="n">
        <x:v>-22.749078582876287</x:v>
      </x:c>
    </x:row>
    <x:row r="279">
      <x:c r="A279" s="25" t="n">
        <x:v>10</x:v>
      </x:c>
      <x:c r="B279" s="25" t="n">
        <x:v>4</x:v>
      </x:c>
      <x:c r="C279" s="25" t="n">
        <x:v>2</x:v>
      </x:c>
      <x:c r="D279" s="25" t="n">
        <x:v>35</x:v>
      </x:c>
      <x:c r="E279" s="25" t="str">
        <x:v>Équilibré</x:v>
      </x:c>
      <x:c r="F279" s="25" t="n">
        <x:v>0.8</x:v>
      </x:c>
      <x:c r="G279" s="25" t="n">
        <x:v>0.07550889442651411</x:v>
      </x:c>
      <x:c r="H279" s="25" t="n">
        <x:v>-1.5236240376424357</x:v>
      </x:c>
      <x:c r="I279" s="25" t="n">
        <x:v>3751.9378963839968</x:v>
      </x:c>
      <x:c r="J279" s="25" t="n">
        <x:v>20162.562896383995</x:v>
      </x:c>
      <x:c r="K279" s="25" t="n">
        <x:v>4.158973332304886</x:v>
      </x:c>
      <x:c r="L279" s="25" t="n">
        <x:v>55.75</x:v>
      </x:c>
      <x:c r="M279" s="34" t="b">
        <x:v>0</x:v>
      </x:c>
      <x:c r="N279" s="25" t="n">
        <x:v>-22.787611747602618</x:v>
      </x:c>
    </x:row>
    <x:row r="280">
      <x:c r="A280" s="25" t="n">
        <x:v>10</x:v>
      </x:c>
      <x:c r="B280" s="25" t="n">
        <x:v>3</x:v>
      </x:c>
      <x:c r="C280" s="25" t="n">
        <x:v>2</x:v>
      </x:c>
      <x:c r="D280" s="25" t="n">
        <x:v>40</x:v>
      </x:c>
      <x:c r="E280" s="25" t="str">
        <x:v>Conservateur</x:v>
      </x:c>
      <x:c r="F280" s="25" t="n">
        <x:v>0.8</x:v>
      </x:c>
      <x:c r="G280" s="25" t="n">
        <x:v>0.0727639759487593</x:v>
      </x:c>
      <x:c r="H280" s="25" t="n">
        <x:v>-1.546162634493488</x:v>
      </x:c>
      <x:c r="I280" s="25" t="n">
        <x:v>3686.7728843775944</x:v>
      </x:c>
      <x:c r="J280" s="25" t="n">
        <x:v>20097.39788437759</x:v>
      </x:c>
      <x:c r="K280" s="25" t="n">
        <x:v>4.158973332304886</x:v>
      </x:c>
      <x:c r="L280" s="25" t="n">
        <x:v>59.25</x:v>
      </x:c>
      <x:c r="M280" s="34" t="b">
        <x:v>0</x:v>
      </x:c>
      <x:c r="N280" s="25" t="n">
        <x:v>-22.802047185155438</x:v>
      </x:c>
    </x:row>
    <x:row r="281">
      <x:c r="A281" s="25" t="n">
        <x:v>6</x:v>
      </x:c>
      <x:c r="B281" s="25" t="n">
        <x:v>2</x:v>
      </x:c>
      <x:c r="C281" s="25" t="n">
        <x:v>1.5</x:v>
      </x:c>
      <x:c r="D281" s="25" t="n">
        <x:v>30</x:v>
      </x:c>
      <x:c r="E281" s="25" t="str">
        <x:v>Conservateur</x:v>
      </x:c>
      <x:c r="F281" s="25" t="n">
        <x:v>1</x:v>
      </x:c>
      <x:c r="G281" s="25" t="n">
        <x:v>0.03350531441177886</x:v>
      </x:c>
      <x:c r="H281" s="25" t="n">
        <x:v>-1.6209368715169097</x:v>
      </x:c>
      <x:c r="I281" s="25" t="n">
        <x:v>1793.837854668847</x:v>
      </x:c>
      <x:c r="J281" s="25" t="n">
        <x:v>18204.462854668844</x:v>
      </x:c>
      <x:c r="K281" s="25" t="n">
        <x:v>5.1987166653811085</x:v>
      </x:c>
      <x:c r="L281" s="25" t="n">
        <x:v>79.25</x:v>
      </x:c>
      <x:c r="M281" s="34" t="b">
        <x:v>0</x:v>
      </x:c>
      <x:c r="N281" s="25" t="n">
        <x:v>-22.830629495274906</x:v>
      </x:c>
    </x:row>
    <x:row r="282">
      <x:c r="A282" s="25" t="n">
        <x:v>6</x:v>
      </x:c>
      <x:c r="B282" s="25" t="n">
        <x:v>2</x:v>
      </x:c>
      <x:c r="C282" s="25" t="n">
        <x:v>1.5</x:v>
      </x:c>
      <x:c r="D282" s="25" t="n">
        <x:v>30</x:v>
      </x:c>
      <x:c r="E282" s="25" t="str">
        <x:v>Conservateur</x:v>
      </x:c>
      <x:c r="F282" s="25" t="n">
        <x:v>1.2</x:v>
      </x:c>
      <x:c r="G282" s="25" t="n">
        <x:v>0.03350531441177886</x:v>
      </x:c>
      <x:c r="H282" s="25" t="n">
        <x:v>-1.6457147506966268</x:v>
      </x:c>
      <x:c r="I282" s="25" t="n">
        <x:v>1793.837854668847</x:v>
      </x:c>
      <x:c r="J282" s="25" t="n">
        <x:v>18204.462854668844</x:v>
      </x:c>
      <x:c r="K282" s="25" t="n">
        <x:v>6.238459998457328</x:v>
      </x:c>
      <x:c r="L282" s="25" t="n">
        <x:v>82.25</x:v>
      </x:c>
      <x:c r="M282" s="34" t="b">
        <x:v>0</x:v>
      </x:c>
      <x:c r="N282" s="25" t="n">
        <x:v>-22.850076474767835</x:v>
      </x:c>
    </x:row>
    <x:row r="283">
      <x:c r="A283" s="25" t="n">
        <x:v>10</x:v>
      </x:c>
      <x:c r="B283" s="25" t="n">
        <x:v>3</x:v>
      </x:c>
      <x:c r="C283" s="25" t="n">
        <x:v>1.5</x:v>
      </x:c>
      <x:c r="D283" s="25" t="n">
        <x:v>30</x:v>
      </x:c>
      <x:c r="E283" s="25" t="str">
        <x:v>Équilibré</x:v>
      </x:c>
      <x:c r="F283" s="25" t="n">
        <x:v>0.8</x:v>
      </x:c>
      <x:c r="G283" s="25" t="n">
        <x:v>0.05036213706389427</x:v>
      </x:c>
      <x:c r="H283" s="25" t="n">
        <x:v>-1.5170616087881783</x:v>
      </x:c>
      <x:c r="I283" s="25" t="n">
        <x:v>2625.6733272640017</x:v>
      </x:c>
      <x:c r="J283" s="25" t="n">
        <x:v>19036.298327263998</x:v>
      </x:c>
      <x:c r="K283" s="25" t="n">
        <x:v>4.158973332304886</x:v>
      </x:c>
      <x:c r="L283" s="25" t="n">
        <x:v>60.25</x:v>
      </x:c>
      <x:c r="M283" s="34" t="b">
        <x:v>0</x:v>
      </x:c>
      <x:c r="N283" s="25" t="n">
        <x:v>-23.10662268119027</x:v>
      </x:c>
    </x:row>
    <x:row r="284">
      <x:c r="A284" s="25" t="n">
        <x:v>8</x:v>
      </x:c>
      <x:c r="B284" s="25" t="n">
        <x:v>3</x:v>
      </x:c>
      <x:c r="C284" s="25" t="n">
        <x:v>3</x:v>
      </x:c>
      <x:c r="D284" s="25" t="n">
        <x:v>40</x:v>
      </x:c>
      <x:c r="E284" s="25" t="str">
        <x:v>Équilibré</x:v>
      </x:c>
      <x:c r="F284" s="25" t="n">
        <x:v>1</x:v>
      </x:c>
      <x:c r="G284" s="25" t="n">
        <x:v>0.1259851320607352</x:v>
      </x:c>
      <x:c r="H284" s="25" t="n">
        <x:v>-1.7581347967497998</x:v>
      </x:c>
      <x:c r="I284" s="25" t="n">
        <x:v>6568.343207199999</x:v>
      </x:c>
      <x:c r="J284" s="25" t="n">
        <x:v>22978.968207199996</x:v>
      </x:c>
      <x:c r="K284" s="25" t="n">
        <x:v>5.1987166653811085</x:v>
      </x:c>
      <x:c r="L284" s="25" t="n">
        <x:v>69.25</x:v>
      </x:c>
      <x:c r="M284" s="34" t="b">
        <x:v>0</x:v>
      </x:c>
      <x:c r="N284" s="25" t="n">
        <x:v>-23.17418765540456</x:v>
      </x:c>
    </x:row>
    <x:row r="285">
      <x:c r="A285" s="25" t="n">
        <x:v>8</x:v>
      </x:c>
      <x:c r="B285" s="25" t="n">
        <x:v>4</x:v>
      </x:c>
      <x:c r="C285" s="25" t="n">
        <x:v>1.5</x:v>
      </x:c>
      <x:c r="D285" s="25" t="n">
        <x:v>35</x:v>
      </x:c>
      <x:c r="E285" s="25" t="str">
        <x:v>Conservateur</x:v>
      </x:c>
      <x:c r="F285" s="25" t="n">
        <x:v>1.2</x:v>
      </x:c>
      <x:c r="G285" s="25" t="n">
        <x:v>0.04563285123649928</x:v>
      </x:c>
      <x:c r="H285" s="25" t="n">
        <x:v>-1.5767731348077554</x:v>
      </x:c>
      <x:c r="I285" s="25" t="n">
        <x:v>2213.834218444286</x:v>
      </x:c>
      <x:c r="J285" s="25" t="n">
        <x:v>18624.45921844428</x:v>
      </x:c>
      <x:c r="K285" s="25" t="n">
        <x:v>6.238459998457328</x:v>
      </x:c>
      <x:c r="L285" s="25" t="n">
        <x:v>67.75</x:v>
      </x:c>
      <x:c r="M285" s="34" t="b">
        <x:v>0</x:v>
      </x:c>
      <x:c r="N285" s="25" t="n">
        <x:v>-23.35952155218642</x:v>
      </x:c>
    </x:row>
    <x:row r="286">
      <x:c r="A286" s="25" t="n">
        <x:v>8</x:v>
      </x:c>
      <x:c r="B286" s="25" t="n">
        <x:v>2</x:v>
      </x:c>
      <x:c r="C286" s="25" t="n">
        <x:v>2</x:v>
      </x:c>
      <x:c r="D286" s="25" t="n">
        <x:v>35</x:v>
      </x:c>
      <x:c r="E286" s="25" t="str">
        <x:v>Conservateur</x:v>
      </x:c>
      <x:c r="F286" s="25" t="n">
        <x:v>1</x:v>
      </x:c>
      <x:c r="G286" s="25" t="n">
        <x:v>0.06199882369207702</x:v>
      </x:c>
      <x:c r="H286" s="25" t="n">
        <x:v>-1.6452219034771418</x:v>
      </x:c>
      <x:c r="I286" s="25" t="n">
        <x:v>3319.3491491215304</x:v>
      </x:c>
      <x:c r="J286" s="25" t="n">
        <x:v>19729.974149121525</x:v>
      </x:c>
      <x:c r="K286" s="25" t="n">
        <x:v>5.1987166653811085</x:v>
      </x:c>
      <x:c r="L286" s="25" t="n">
        <x:v>71.75</x:v>
      </x:c>
      <x:c r="M286" s="34" t="b">
        <x:v>0</x:v>
      </x:c>
      <x:c r="N286" s="25" t="n">
        <x:v>-23.370612283864304</x:v>
      </x:c>
    </x:row>
    <x:row r="287">
      <x:c r="A287" s="25" t="n">
        <x:v>8</x:v>
      </x:c>
      <x:c r="B287" s="25" t="n">
        <x:v>4</x:v>
      </x:c>
      <x:c r="C287" s="25" t="n">
        <x:v>1.5</x:v>
      </x:c>
      <x:c r="D287" s="25" t="n">
        <x:v>35</x:v>
      </x:c>
      <x:c r="E287" s="25" t="str">
        <x:v>Conservateur</x:v>
      </x:c>
      <x:c r="F287" s="25" t="n">
        <x:v>1</x:v>
      </x:c>
      <x:c r="G287" s="25" t="n">
        <x:v>0.04563285123649928</x:v>
      </x:c>
      <x:c r="H287" s="25" t="n">
        <x:v>-1.5535977562121004</x:v>
      </x:c>
      <x:c r="I287" s="25" t="n">
        <x:v>2213.834218444286</x:v>
      </x:c>
      <x:c r="J287" s="25" t="n">
        <x:v>18624.45921844428</x:v>
      </x:c>
      <x:c r="K287" s="25" t="n">
        <x:v>5.1987166653811085</x:v>
      </x:c>
      <x:c r="L287" s="25" t="n">
        <x:v>64.75</x:v>
      </x:c>
      <x:c r="M287" s="34" t="b">
        <x:v>0</x:v>
      </x:c>
      <x:c r="N287" s="25" t="n">
        <x:v>-23.380137087295047</x:v>
      </x:c>
    </x:row>
    <x:row r="288">
      <x:c r="A288" s="25" t="n">
        <x:v>8</x:v>
      </x:c>
      <x:c r="B288" s="25" t="n">
        <x:v>3</x:v>
      </x:c>
      <x:c r="C288" s="25" t="n">
        <x:v>3</x:v>
      </x:c>
      <x:c r="D288" s="25" t="n">
        <x:v>40</x:v>
      </x:c>
      <x:c r="E288" s="25" t="str">
        <x:v>Équilibré</x:v>
      </x:c>
      <x:c r="F288" s="25" t="n">
        <x:v>1.2</x:v>
      </x:c>
      <x:c r="G288" s="25" t="n">
        <x:v>0.1259851320607352</x:v>
      </x:c>
      <x:c r="H288" s="25" t="n">
        <x:v>-1.7911764192289188</x:v>
      </x:c>
      <x:c r="I288" s="25" t="n">
        <x:v>6568.343207199999</x:v>
      </x:c>
      <x:c r="J288" s="25" t="n">
        <x:v>22978.968207199996</x:v>
      </x:c>
      <x:c r="K288" s="25" t="n">
        <x:v>6.238459998457328</x:v>
      </x:c>
      <x:c r="L288" s="25" t="n">
        <x:v>72.25</x:v>
      </x:c>
      <x:c r="M288" s="34" t="b">
        <x:v>0</x:v>
      </x:c>
      <x:c r="N288" s="25" t="n">
        <x:v>-23.400228217382534</x:v>
      </x:c>
    </x:row>
    <x:row r="289">
      <x:c r="A289" s="25" t="n">
        <x:v>8</x:v>
      </x:c>
      <x:c r="B289" s="25" t="n">
        <x:v>4</x:v>
      </x:c>
      <x:c r="C289" s="25" t="n">
        <x:v>3</x:v>
      </x:c>
      <x:c r="D289" s="25" t="n">
        <x:v>35</x:v>
      </x:c>
      <x:c r="E289" s="25" t="str">
        <x:v>Agressif</x:v>
      </x:c>
      <x:c r="F289" s="25" t="n">
        <x:v>0.8</x:v>
      </x:c>
      <x:c r="G289" s="25" t="n">
        <x:v>0.12396163831192317</x:v>
      </x:c>
      <x:c r="H289" s="25" t="n">
        <x:v>-1.7114350796244322</x:v>
      </x:c>
      <x:c r="I289" s="25" t="n">
        <x:v>6426.443966358932</x:v>
      </x:c>
      <x:c r="J289" s="25" t="n">
        <x:v>22837.068966358926</x:v>
      </x:c>
      <x:c r="K289" s="25" t="n">
        <x:v>4.158973332304886</x:v>
      </x:c>
      <x:c r="L289" s="25" t="n">
        <x:v>62.75</x:v>
      </x:c>
      <x:c r="M289" s="34" t="b">
        <x:v>0</x:v>
      </x:c>
      <x:c r="N289" s="25" t="n">
        <x:v>-23.417986883455026</x:v>
      </x:c>
    </x:row>
    <x:row r="290">
      <x:c r="A290" s="25" t="n">
        <x:v>8</x:v>
      </x:c>
      <x:c r="B290" s="25" t="n">
        <x:v>2</x:v>
      </x:c>
      <x:c r="C290" s="25" t="n">
        <x:v>2</x:v>
      </x:c>
      <x:c r="D290" s="25" t="n">
        <x:v>35</x:v>
      </x:c>
      <x:c r="E290" s="25" t="str">
        <x:v>Conservateur</x:v>
      </x:c>
      <x:c r="F290" s="25" t="n">
        <x:v>1.2</x:v>
      </x:c>
      <x:c r="G290" s="25" t="n">
        <x:v>0.06199882369207702</x:v>
      </x:c>
      <x:c r="H290" s="25" t="n">
        <x:v>-1.6721639102046102</x:v>
      </x:c>
      <x:c r="I290" s="25" t="n">
        <x:v>3319.3491491215304</x:v>
      </x:c>
      <x:c r="J290" s="25" t="n">
        <x:v>19729.974149121525</x:v>
      </x:c>
      <x:c r="K290" s="25" t="n">
        <x:v>6.238459998457328</x:v>
      </x:c>
      <x:c r="L290" s="25" t="n">
        <x:v>74.75</x:v>
      </x:c>
      <x:c r="M290" s="34" t="b">
        <x:v>0</x:v>
      </x:c>
      <x:c r="N290" s="25" t="n">
        <x:v>-23.444162452051017</x:v>
      </x:c>
    </x:row>
    <x:row r="291">
      <x:c r="A291" s="25" t="n">
        <x:v>6</x:v>
      </x:c>
      <x:c r="B291" s="25" t="n">
        <x:v>3</x:v>
      </x:c>
      <x:c r="C291" s="25" t="n">
        <x:v>3</x:v>
      </x:c>
      <x:c r="D291" s="25" t="n">
        <x:v>40</x:v>
      </x:c>
      <x:c r="E291" s="25" t="str">
        <x:v>Équilibré</x:v>
      </x:c>
      <x:c r="F291" s="25" t="n">
        <x:v>0.8</x:v>
      </x:c>
      <x:c r="G291" s="25" t="n">
        <x:v>0.11069757086197494</x:v>
      </x:c>
      <x:c r="H291" s="25" t="n">
        <x:v>-1.7811927917640673</x:v>
      </x:c>
      <x:c r="I291" s="25" t="n">
        <x:v>5771.313056800002</x:v>
      </x:c>
      <x:c r="J291" s="25" t="n">
        <x:v>22181.938056799998</x:v>
      </x:c>
      <x:c r="K291" s="25" t="n">
        <x:v>4.158973332304886</x:v>
      </x:c>
      <x:c r="L291" s="25" t="n">
        <x:v>74.25</x:v>
      </x:c>
      <x:c r="M291" s="34" t="b">
        <x:v>0</x:v>
      </x:c>
      <x:c r="N291" s="25" t="n">
        <x:v>-23.591453396693062</x:v>
      </x:c>
    </x:row>
    <x:row r="292">
      <x:c r="A292" s="25" t="n">
        <x:v>6</x:v>
      </x:c>
      <x:c r="B292" s="25" t="n">
        <x:v>3</x:v>
      </x:c>
      <x:c r="C292" s="25" t="n">
        <x:v>3</x:v>
      </x:c>
      <x:c r="D292" s="25" t="n">
        <x:v>30</x:v>
      </x:c>
      <x:c r="E292" s="25" t="str">
        <x:v>Agressif</x:v>
      </x:c>
      <x:c r="F292" s="25" t="n">
        <x:v>1</x:v>
      </x:c>
      <x:c r="G292" s="25" t="n">
        <x:v>0.11909553933789062</x:v>
      </x:c>
      <x:c r="H292" s="25" t="n">
        <x:v>-1.8117872188485924</x:v>
      </x:c>
      <x:c r="I292" s="25" t="n">
        <x:v>6529.740361656599</x:v>
      </x:c>
      <x:c r="J292" s="25" t="n">
        <x:v>22940.365361656597</x:v>
      </x:c>
      <x:c r="K292" s="25" t="n">
        <x:v>5.1987166653811085</x:v>
      </x:c>
      <x:c r="L292" s="25" t="n">
        <x:v>75.25</x:v>
      </x:c>
      <x:c r="M292" s="34" t="b">
        <x:v>0</x:v>
      </x:c>
      <x:c r="N292" s="25" t="n">
        <x:v>-23.694425807630825</x:v>
      </x:c>
    </x:row>
    <x:row r="293">
      <x:c r="A293" s="25" t="n">
        <x:v>10</x:v>
      </x:c>
      <x:c r="B293" s="25" t="n">
        <x:v>3</x:v>
      </x:c>
      <x:c r="C293" s="25" t="n">
        <x:v>3</x:v>
      </x:c>
      <x:c r="D293" s="25" t="n">
        <x:v>35</x:v>
      </x:c>
      <x:c r="E293" s="25" t="str">
        <x:v>Agressif</x:v>
      </x:c>
      <x:c r="F293" s="25" t="n">
        <x:v>0.8</x:v>
      </x:c>
      <x:c r="G293" s="25" t="n">
        <x:v>0.13127062467957384</x:v>
      </x:c>
      <x:c r="H293" s="25" t="n">
        <x:v>-1.716488819628303</x:v>
      </x:c>
      <x:c r="I293" s="25" t="n">
        <x:v>7197.272887259002</x:v>
      </x:c>
      <x:c r="J293" s="25" t="n">
        <x:v>23607.897887258998</x:v>
      </x:c>
      <x:c r="K293" s="25" t="n">
        <x:v>4.158973332304886</x:v>
      </x:c>
      <x:c r="L293" s="25" t="n">
        <x:v>59.75</x:v>
      </x:c>
      <x:c r="M293" s="34" t="b">
        <x:v>0</x:v>
      </x:c>
      <x:c r="N293" s="25" t="n">
        <x:v>-23.74233613333101</x:v>
      </x:c>
    </x:row>
    <x:row r="294">
      <x:c r="A294" s="25" t="n">
        <x:v>6</x:v>
      </x:c>
      <x:c r="B294" s="25" t="n">
        <x:v>2</x:v>
      </x:c>
      <x:c r="C294" s="25" t="n">
        <x:v>2</x:v>
      </x:c>
      <x:c r="D294" s="25" t="n">
        <x:v>35</x:v>
      </x:c>
      <x:c r="E294" s="25" t="str">
        <x:v>Conservateur</x:v>
      </x:c>
      <x:c r="F294" s="25" t="n">
        <x:v>0.8</x:v>
      </x:c>
      <x:c r="G294" s="25" t="n">
        <x:v>0.044909451875596</x:v>
      </x:c>
      <x:c r="H294" s="25" t="n">
        <x:v>-1.663643885231749</x:v>
      </x:c>
      <x:c r="I294" s="25" t="n">
        <x:v>2404.402890144252</x:v>
      </x:c>
      <x:c r="J294" s="25" t="n">
        <x:v>18815.027890144247</x:v>
      </x:c>
      <x:c r="K294" s="25" t="n">
        <x:v>4.158973332304886</x:v>
      </x:c>
      <x:c r="L294" s="25" t="n">
        <x:v>76.75</x:v>
      </x:c>
      <x:c r="M294" s="34" t="b">
        <x:v>0</x:v>
      </x:c>
      <x:c r="N294" s="25" t="n">
        <x:v>-23.771077277635946</x:v>
      </x:c>
    </x:row>
    <x:row r="295">
      <x:c r="A295" s="25" t="n">
        <x:v>10</x:v>
      </x:c>
      <x:c r="B295" s="25" t="n">
        <x:v>4</x:v>
      </x:c>
      <x:c r="C295" s="25" t="n">
        <x:v>3</x:v>
      </x:c>
      <x:c r="D295" s="25" t="n">
        <x:v>35</x:v>
      </x:c>
      <x:c r="E295" s="25" t="str">
        <x:v>Agressif</x:v>
      </x:c>
      <x:c r="F295" s="25" t="n">
        <x:v>1</x:v>
      </x:c>
      <x:c r="G295" s="25" t="n">
        <x:v>0.1345553071718462</x:v>
      </x:c>
      <x:c r="H295" s="25" t="n">
        <x:v>-1.7104683491569979</x:v>
      </x:c>
      <x:c r="I295" s="25" t="n">
        <x:v>6975.643059348885</x:v>
      </x:c>
      <x:c r="J295" s="25" t="n">
        <x:v>23386.268059348884</x:v>
      </x:c>
      <x:c r="K295" s="25" t="n">
        <x:v>5.1987166653811085</x:v>
      </x:c>
      <x:c r="L295" s="25" t="n">
        <x:v>57.75</x:v>
      </x:c>
      <x:c r="M295" s="34" t="b">
        <x:v>0</x:v>
      </x:c>
      <x:c r="N295" s="25" t="n">
        <x:v>-23.8111668344734</x:v>
      </x:c>
    </x:row>
    <x:row r="296">
      <x:c r="A296" s="25" t="n">
        <x:v>6</x:v>
      </x:c>
      <x:c r="B296" s="25" t="n">
        <x:v>3</x:v>
      </x:c>
      <x:c r="C296" s="25" t="n">
        <x:v>2</x:v>
      </x:c>
      <x:c r="D296" s="25" t="n">
        <x:v>35</x:v>
      </x:c>
      <x:c r="E296" s="25" t="str">
        <x:v>Conservateur</x:v>
      </x:c>
      <x:c r="F296" s="25" t="n">
        <x:v>1</x:v>
      </x:c>
      <x:c r="G296" s="25" t="n">
        <x:v>0.053735640029263065</x:v>
      </x:c>
      <x:c r="H296" s="25" t="n">
        <x:v>-1.6723942293506322</x:v>
      </x:c>
      <x:c r="I296" s="25" t="n">
        <x:v>2722.6535933670393</x:v>
      </x:c>
      <x:c r="J296" s="25" t="n">
        <x:v>19133.27859336703</x:v>
      </x:c>
      <x:c r="K296" s="25" t="n">
        <x:v>5.1987166653811085</x:v>
      </x:c>
      <x:c r="L296" s="25" t="n">
        <x:v>74.75</x:v>
      </x:c>
      <x:c r="M296" s="34" t="b">
        <x:v>0</x:v>
      </x:c>
      <x:c r="N296" s="25" t="n">
        <x:v>-23.904395532156336</x:v>
      </x:c>
    </x:row>
    <x:row r="297">
      <x:c r="A297" s="25" t="n">
        <x:v>6</x:v>
      </x:c>
      <x:c r="B297" s="25" t="n">
        <x:v>3</x:v>
      </x:c>
      <x:c r="C297" s="25" t="n">
        <x:v>3</x:v>
      </x:c>
      <x:c r="D297" s="25" t="n">
        <x:v>30</x:v>
      </x:c>
      <x:c r="E297" s="25" t="str">
        <x:v>Agressif</x:v>
      </x:c>
      <x:c r="F297" s="25" t="n">
        <x:v>1.2</x:v>
      </x:c>
      <x:c r="G297" s="25" t="n">
        <x:v>0.11909553933789062</x:v>
      </x:c>
      <x:c r="H297" s="25" t="n">
        <x:v>-1.8459810241428185</x:v>
      </x:c>
      <x:c r="I297" s="25" t="n">
        <x:v>6529.740361656599</x:v>
      </x:c>
      <x:c r="J297" s="25" t="n">
        <x:v>22940.365361656597</x:v>
      </x:c>
      <x:c r="K297" s="25" t="n">
        <x:v>6.238459998457328</x:v>
      </x:c>
      <x:c r="L297" s="25" t="n">
        <x:v>78.25</x:v>
      </x:c>
      <x:c r="M297" s="34" t="b">
        <x:v>0</x:v>
      </x:c>
      <x:c r="N297" s="25" t="n">
        <x:v>-23.949270939986476</x:v>
      </x:c>
    </x:row>
    <x:row r="298">
      <x:c r="A298" s="25" t="n">
        <x:v>6</x:v>
      </x:c>
      <x:c r="B298" s="25" t="n">
        <x:v>3</x:v>
      </x:c>
      <x:c r="C298" s="25" t="n">
        <x:v>2</x:v>
      </x:c>
      <x:c r="D298" s="25" t="n">
        <x:v>35</x:v>
      </x:c>
      <x:c r="E298" s="25" t="str">
        <x:v>Conservateur</x:v>
      </x:c>
      <x:c r="F298" s="25" t="n">
        <x:v>1.2</x:v>
      </x:c>
      <x:c r="G298" s="25" t="n">
        <x:v>0.053735640029263065</x:v>
      </x:c>
      <x:c r="H298" s="25" t="n">
        <x:v>-1.699235107032816</x:v>
      </x:c>
      <x:c r="I298" s="25" t="n">
        <x:v>2722.6535933670393</x:v>
      </x:c>
      <x:c r="J298" s="25" t="n">
        <x:v>19133.27859336703</x:v>
      </x:c>
      <x:c r="K298" s="25" t="n">
        <x:v>6.238459998457328</x:v>
      </x:c>
      <x:c r="L298" s="25" t="n">
        <x:v>77.75</x:v>
      </x:c>
      <x:c r="M298" s="34" t="b">
        <x:v>0</x:v>
      </x:c>
      <x:c r="N298" s="25" t="n">
        <x:v>-23.975417474210932</x:v>
      </x:c>
    </x:row>
    <x:row r="299">
      <x:c r="A299" s="25" t="n">
        <x:v>8</x:v>
      </x:c>
      <x:c r="B299" s="25" t="n">
        <x:v>4</x:v>
      </x:c>
      <x:c r="C299" s="25" t="n">
        <x:v>2</x:v>
      </x:c>
      <x:c r="D299" s="25" t="n">
        <x:v>40</x:v>
      </x:c>
      <x:c r="E299" s="25" t="str">
        <x:v>Conservateur</x:v>
      </x:c>
      <x:c r="F299" s="25" t="n">
        <x:v>1</x:v>
      </x:c>
      <x:c r="G299" s="25" t="n">
        <x:v>0.06184310053665807</x:v>
      </x:c>
      <x:c r="H299" s="25" t="n">
        <x:v>-1.6183092276093183</x:v>
      </x:c>
      <x:c r="I299" s="25" t="n">
        <x:v>3000.2589895859173</x:v>
      </x:c>
      <x:c r="J299" s="25" t="n">
        <x:v>19410.883989585913</x:v>
      </x:c>
      <x:c r="K299" s="25" t="n">
        <x:v>5.1987166653811085</x:v>
      </x:c>
      <x:c r="L299" s="25" t="n">
        <x:v>65.25</x:v>
      </x:c>
      <x:c r="M299" s="34" t="b">
        <x:v>0</x:v>
      </x:c>
      <x:c r="N299" s="25" t="n">
        <x:v>-24.006360160716763</x:v>
      </x:c>
    </x:row>
    <x:row r="300">
      <x:c r="A300" s="25" t="n">
        <x:v>10</x:v>
      </x:c>
      <x:c r="B300" s="25" t="n">
        <x:v>4</x:v>
      </x:c>
      <x:c r="C300" s="25" t="n">
        <x:v>3</x:v>
      </x:c>
      <x:c r="D300" s="25" t="n">
        <x:v>35</x:v>
      </x:c>
      <x:c r="E300" s="25" t="str">
        <x:v>Agressif</x:v>
      </x:c>
      <x:c r="F300" s="25" t="n">
        <x:v>1.2</x:v>
      </x:c>
      <x:c r="G300" s="25" t="n">
        <x:v>0.1345553071718462</x:v>
      </x:c>
      <x:c r="H300" s="25" t="n">
        <x:v>-1.7427160725611601</x:v>
      </x:c>
      <x:c r="I300" s="25" t="n">
        <x:v>6975.643059348885</x:v>
      </x:c>
      <x:c r="J300" s="25" t="n">
        <x:v>23386.268059348884</x:v>
      </x:c>
      <x:c r="K300" s="25" t="n">
        <x:v>6.238459998457328</x:v>
      </x:c>
      <x:c r="L300" s="25" t="n">
        <x:v>60.75</x:v>
      </x:c>
      <x:c r="M300" s="34" t="b">
        <x:v>0</x:v>
      </x:c>
      <x:c r="N300" s="25" t="n">
        <x:v>-24.01735991957746</x:v>
      </x:c>
    </x:row>
    <x:row r="301">
      <x:c r="A301" s="25" t="n">
        <x:v>8</x:v>
      </x:c>
      <x:c r="B301" s="25" t="n">
        <x:v>2</x:v>
      </x:c>
      <x:c r="C301" s="25" t="n">
        <x:v>2</x:v>
      </x:c>
      <x:c r="D301" s="25" t="n">
        <x:v>30</x:v>
      </x:c>
      <x:c r="E301" s="25" t="str">
        <x:v>Équilibré</x:v>
      </x:c>
      <x:c r="F301" s="25" t="n">
        <x:v>1</x:v>
      </x:c>
      <x:c r="G301" s="25" t="n">
        <x:v>0.05793175534832588</x:v>
      </x:c>
      <x:c r="H301" s="25" t="n">
        <x:v>-1.67458524865152</x:v>
      </x:c>
      <x:c r="I301" s="25" t="n">
        <x:v>3209.3471791935995</x:v>
      </x:c>
      <x:c r="J301" s="25" t="n">
        <x:v>19619.972179193595</x:v>
      </x:c>
      <x:c r="K301" s="25" t="n">
        <x:v>5.1987166653811085</x:v>
      </x:c>
      <x:c r="L301" s="25" t="n">
        <x:v>73.25</x:v>
      </x:c>
      <x:c r="M301" s="34" t="b">
        <x:v>0</x:v>
      </x:c>
      <x:c r="N301" s="25" t="n">
        <x:v>-24.02838467213008</x:v>
      </x:c>
    </x:row>
    <x:row r="302">
      <x:c r="A302" s="25" t="n">
        <x:v>8</x:v>
      </x:c>
      <x:c r="B302" s="25" t="n">
        <x:v>4</x:v>
      </x:c>
      <x:c r="C302" s="25" t="n">
        <x:v>2</x:v>
      </x:c>
      <x:c r="D302" s="25" t="n">
        <x:v>40</x:v>
      </x:c>
      <x:c r="E302" s="25" t="str">
        <x:v>Conservateur</x:v>
      </x:c>
      <x:c r="F302" s="25" t="n">
        <x:v>1.2</x:v>
      </x:c>
      <x:c r="G302" s="25" t="n">
        <x:v>0.06184310053665807</x:v>
      </x:c>
      <x:c r="H302" s="25" t="n">
        <x:v>-1.6440596482711571</x:v>
      </x:c>
      <x:c r="I302" s="25" t="n">
        <x:v>3000.2589895859173</x:v>
      </x:c>
      <x:c r="J302" s="25" t="n">
        <x:v>19410.883989585913</x:v>
      </x:c>
      <x:c r="K302" s="25" t="n">
        <x:v>6.238459998457328</x:v>
      </x:c>
      <x:c r="L302" s="25" t="n">
        <x:v>68.25</x:v>
      </x:c>
      <x:c r="M302" s="34" t="b">
        <x:v>0</x:v>
      </x:c>
      <x:c r="N302" s="25" t="n">
        <x:v>-24.05012067726274</x:v>
      </x:c>
    </x:row>
    <x:row r="303">
      <x:c r="A303" s="25" t="n">
        <x:v>8</x:v>
      </x:c>
      <x:c r="B303" s="25" t="n">
        <x:v>2</x:v>
      </x:c>
      <x:c r="C303" s="25" t="n">
        <x:v>2</x:v>
      </x:c>
      <x:c r="D303" s="25" t="n">
        <x:v>30</x:v>
      </x:c>
      <x:c r="E303" s="25" t="str">
        <x:v>Équilibré</x:v>
      </x:c>
      <x:c r="F303" s="25" t="n">
        <x:v>1.2</x:v>
      </x:c>
      <x:c r="G303" s="25" t="n">
        <x:v>0.05793175534832588</x:v>
      </x:c>
      <x:c r="H303" s="25" t="n">
        <x:v>-1.7021894650253728</x:v>
      </x:c>
      <x:c r="I303" s="25" t="n">
        <x:v>3209.3471791935995</x:v>
      </x:c>
      <x:c r="J303" s="25" t="n">
        <x:v>19619.972179193595</x:v>
      </x:c>
      <x:c r="K303" s="25" t="n">
        <x:v>6.238459998457328</x:v>
      </x:c>
      <x:c r="L303" s="25" t="n">
        <x:v>76.25</x:v>
      </x:c>
      <x:c r="M303" s="34" t="b">
        <x:v>0</x:v>
      </x:c>
      <x:c r="N303" s="25" t="n">
        <x:v>-24.118490081476395</x:v>
      </x:c>
    </x:row>
    <x:row r="304">
      <x:c r="A304" s="25" t="n">
        <x:v>10</x:v>
      </x:c>
      <x:c r="B304" s="25" t="n">
        <x:v>2</x:v>
      </x:c>
      <x:c r="C304" s="25" t="n">
        <x:v>3</x:v>
      </x:c>
      <x:c r="D304" s="25" t="n">
        <x:v>40</x:v>
      </x:c>
      <x:c r="E304" s="25" t="str">
        <x:v>Équilibré</x:v>
      </x:c>
      <x:c r="F304" s="25" t="n">
        <x:v>1</x:v>
      </x:c>
      <x:c r="G304" s="25" t="n">
        <x:v>0.12650978931584672</x:v>
      </x:c>
      <x:c r="H304" s="25" t="n">
        <x:v>-1.7794541299848519</x:v>
      </x:c>
      <x:c r="I304" s="25" t="n">
        <x:v>7008.484949919998</x:v>
      </x:c>
      <x:c r="J304" s="25" t="n">
        <x:v>23419.109949919995</x:v>
      </x:c>
      <x:c r="K304" s="25" t="n">
        <x:v>5.1987166653811085</x:v>
      </x:c>
      <x:c r="L304" s="25" t="n">
        <x:v>66.25</x:v>
      </x:c>
      <x:c r="M304" s="34" t="b">
        <x:v>0</x:v>
      </x:c>
      <x:c r="N304" s="25" t="n">
        <x:v>-24.278314837249724</x:v>
      </x:c>
    </x:row>
    <x:row r="305">
      <x:c r="A305" s="25" t="n">
        <x:v>8</x:v>
      </x:c>
      <x:c r="B305" s="25" t="n">
        <x:v>3</x:v>
      </x:c>
      <x:c r="C305" s="25" t="n">
        <x:v>1.5</x:v>
      </x:c>
      <x:c r="D305" s="25" t="n">
        <x:v>35</x:v>
      </x:c>
      <x:c r="E305" s="25" t="str">
        <x:v>Conservateur</x:v>
      </x:c>
      <x:c r="F305" s="25" t="n">
        <x:v>0.8</x:v>
      </x:c>
      <x:c r="G305" s="25" t="n">
        <x:v>0.03237937852705298</x:v>
      </x:c>
      <x:c r="H305" s="25" t="n">
        <x:v>-1.5771736075367566</x:v>
      </x:c>
      <x:c r="I305" s="25" t="n">
        <x:v>1640.5840006681567</x:v>
      </x:c>
      <x:c r="J305" s="25" t="n">
        <x:v>18051.20900066815</x:v>
      </x:c>
      <x:c r="K305" s="25" t="n">
        <x:v>4.158973332304886</x:v>
      </x:c>
      <x:c r="L305" s="25" t="n">
        <x:v>66.75</x:v>
      </x:c>
      <x:c r="M305" s="34" t="b">
        <x:v>0</x:v>
      </x:c>
      <x:c r="N305" s="25" t="n">
        <x:v>-24.298474369431</x:v>
      </x:c>
    </x:row>
    <x:row r="306">
      <x:c r="A306" s="25" t="n">
        <x:v>8</x:v>
      </x:c>
      <x:c r="B306" s="25" t="n">
        <x:v>4</x:v>
      </x:c>
      <x:c r="C306" s="25" t="n">
        <x:v>1.5</x:v>
      </x:c>
      <x:c r="D306" s="25" t="n">
        <x:v>30</x:v>
      </x:c>
      <x:c r="E306" s="25" t="str">
        <x:v>Équilibré</x:v>
      </x:c>
      <x:c r="F306" s="25" t="n">
        <x:v>1.2</x:v>
      </x:c>
      <x:c r="G306" s="25" t="n">
        <x:v>0.03883922724521923</x:v>
      </x:c>
      <x:c r="H306" s="25" t="n">
        <x:v>-1.6155198286069201</x:v>
      </x:c>
      <x:c r="I306" s="25" t="n">
        <x:v>1929.8702447487972</x:v>
      </x:c>
      <x:c r="J306" s="25" t="n">
        <x:v>18340.49524474879</x:v>
      </x:c>
      <x:c r="K306" s="25" t="n">
        <x:v>6.238459998457328</x:v>
      </x:c>
      <x:c r="L306" s="25" t="n">
        <x:v>69.25</x:v>
      </x:c>
      <x:c r="M306" s="34" t="b">
        <x:v>0</x:v>
      </x:c>
      <x:c r="N306" s="25" t="n">
        <x:v>-24.401838216685945</x:v>
      </x:c>
    </x:row>
    <x:row r="307">
      <x:c r="A307" s="25" t="n">
        <x:v>8</x:v>
      </x:c>
      <x:c r="B307" s="25" t="n">
        <x:v>4</x:v>
      </x:c>
      <x:c r="C307" s="25" t="n">
        <x:v>1.5</x:v>
      </x:c>
      <x:c r="D307" s="25" t="n">
        <x:v>30</x:v>
      </x:c>
      <x:c r="E307" s="25" t="str">
        <x:v>Équilibré</x:v>
      </x:c>
      <x:c r="F307" s="25" t="n">
        <x:v>1</x:v>
      </x:c>
      <x:c r="G307" s="25" t="n">
        <x:v>0.03883922724521923</x:v>
      </x:c>
      <x:c r="H307" s="25" t="n">
        <x:v>-1.5916449865207514</x:v>
      </x:c>
      <x:c r="I307" s="25" t="n">
        <x:v>1929.8702447487972</x:v>
      </x:c>
      <x:c r="J307" s="25" t="n">
        <x:v>18340.49524474879</x:v>
      </x:c>
      <x:c r="K307" s="25" t="n">
        <x:v>5.1987166653811085</x:v>
      </x:c>
      <x:c r="L307" s="25" t="n">
        <x:v>66.25</x:v>
      </x:c>
      <x:c r="M307" s="34" t="b">
        <x:v>0</x:v>
      </x:c>
      <x:c r="N307" s="25" t="n">
        <x:v>-24.404967164531726</x:v>
      </x:c>
    </x:row>
    <x:row r="308">
      <x:c r="A308" s="25" t="n">
        <x:v>10</x:v>
      </x:c>
      <x:c r="B308" s="25" t="n">
        <x:v>2</x:v>
      </x:c>
      <x:c r="C308" s="25" t="n">
        <x:v>3</x:v>
      </x:c>
      <x:c r="D308" s="25" t="n">
        <x:v>40</x:v>
      </x:c>
      <x:c r="E308" s="25" t="str">
        <x:v>Équilibré</x:v>
      </x:c>
      <x:c r="F308" s="25" t="n">
        <x:v>1.2</x:v>
      </x:c>
      <x:c r="G308" s="25" t="n">
        <x:v>0.12650978931584672</x:v>
      </x:c>
      <x:c r="H308" s="25" t="n">
        <x:v>-1.8133732106675557</x:v>
      </x:c>
      <x:c r="I308" s="25" t="n">
        <x:v>7008.484949919998</x:v>
      </x:c>
      <x:c r="J308" s="25" t="n">
        <x:v>23419.109949919995</x:v>
      </x:c>
      <x:c r="K308" s="25" t="n">
        <x:v>6.238459998457328</x:v>
      </x:c>
      <x:c r="L308" s="25" t="n">
        <x:v>69.25</x:v>
      </x:c>
      <x:c r="M308" s="34" t="b">
        <x:v>0</x:v>
      </x:c>
      <x:c r="N308" s="25" t="n">
        <x:v>-24.52629185431732</x:v>
      </x:c>
    </x:row>
    <x:row r="309">
      <x:c r="A309" s="25" t="n">
        <x:v>6</x:v>
      </x:c>
      <x:c r="B309" s="25" t="n">
        <x:v>4</x:v>
      </x:c>
      <x:c r="C309" s="25" t="n">
        <x:v>3</x:v>
      </x:c>
      <x:c r="D309" s="25" t="n">
        <x:v>40</x:v>
      </x:c>
      <x:c r="E309" s="25" t="str">
        <x:v>Équilibré</x:v>
      </x:c>
      <x:c r="F309" s="25" t="n">
        <x:v>1</x:v>
      </x:c>
      <x:c r="G309" s="25" t="n">
        <x:v>0.10997060837991939</x:v>
      </x:c>
      <x:c r="H309" s="25" t="n">
        <x:v>-1.8012683587015126</x:v>
      </x:c>
      <x:c r="I309" s="25" t="n">
        <x:v>5464.2952489599975</x:v>
      </x:c>
      <x:c r="J309" s="25" t="n">
        <x:v>21874.920248959996</x:v>
      </x:c>
      <x:c r="K309" s="25" t="n">
        <x:v>5.1987166653811085</x:v>
      </x:c>
      <x:c r="L309" s="25" t="n">
        <x:v>72.25</x:v>
      </x:c>
      <x:c r="M309" s="34" t="b">
        <x:v>0</x:v>
      </x:c>
      <x:c r="N309" s="25" t="n">
        <x:v>-24.53332550664225</x:v>
      </x:c>
    </x:row>
    <x:row r="310">
      <x:c r="A310" s="25" t="n">
        <x:v>10</x:v>
      </x:c>
      <x:c r="B310" s="25" t="n">
        <x:v>3</x:v>
      </x:c>
      <x:c r="C310" s="25" t="n">
        <x:v>1.5</x:v>
      </x:c>
      <x:c r="D310" s="25" t="n">
        <x:v>35</x:v>
      </x:c>
      <x:c r="E310" s="25" t="str">
        <x:v>Conservateur</x:v>
      </x:c>
      <x:c r="F310" s="25" t="n">
        <x:v>1.2</x:v>
      </x:c>
      <x:c r="G310" s="25" t="n">
        <x:v>0.04548389233291465</x:v>
      </x:c>
      <x:c r="H310" s="25" t="n">
        <x:v>-1.5996371633925743</x:v>
      </x:c>
      <x:c r="I310" s="25" t="n">
        <x:v>2304.557698263037</x:v>
      </x:c>
      <x:c r="J310" s="25" t="n">
        <x:v>18715.182698263037</x:v>
      </x:c>
      <x:c r="K310" s="25" t="n">
        <x:v>6.238459998457328</x:v>
      </x:c>
      <x:c r="L310" s="25" t="n">
        <x:v>64.75</x:v>
      </x:c>
      <x:c r="M310" s="34" t="b">
        <x:v>0</x:v>
      </x:c>
      <x:c r="N310" s="25" t="n">
        <x:v>-24.539315006504054</x:v>
      </x:c>
    </x:row>
    <x:row r="311">
      <x:c r="A311" s="25" t="n">
        <x:v>10</x:v>
      </x:c>
      <x:c r="B311" s="25" t="n">
        <x:v>3</x:v>
      </x:c>
      <x:c r="C311" s="25" t="n">
        <x:v>1.5</x:v>
      </x:c>
      <x:c r="D311" s="25" t="n">
        <x:v>35</x:v>
      </x:c>
      <x:c r="E311" s="25" t="str">
        <x:v>Conservateur</x:v>
      </x:c>
      <x:c r="F311" s="25" t="n">
        <x:v>1</x:v>
      </x:c>
      <x:c r="G311" s="25" t="n">
        <x:v>0.04548389233291465</x:v>
      </x:c>
      <x:c r="H311" s="25" t="n">
        <x:v>-1.5757295246554952</x:v>
      </x:c>
      <x:c r="I311" s="25" t="n">
        <x:v>2304.557698263037</x:v>
      </x:c>
      <x:c r="J311" s="25" t="n">
        <x:v>18715.182698263037</x:v>
      </x:c>
      <x:c r="K311" s="25" t="n">
        <x:v>5.1987166653811085</x:v>
      </x:c>
      <x:c r="L311" s="25" t="n">
        <x:v>61.75</x:v>
      </x:c>
      <x:c r="M311" s="34" t="b">
        <x:v>0</x:v>
      </x:c>
      <x:c r="N311" s="25" t="n">
        <x:v>-24.541624038077074</x:v>
      </x:c>
    </x:row>
    <x:row r="312">
      <x:c r="A312" s="25" t="n">
        <x:v>6</x:v>
      </x:c>
      <x:c r="B312" s="25" t="n">
        <x:v>2</x:v>
      </x:c>
      <x:c r="C312" s="25" t="n">
        <x:v>2</x:v>
      </x:c>
      <x:c r="D312" s="25" t="n">
        <x:v>30</x:v>
      </x:c>
      <x:c r="E312" s="25" t="str">
        <x:v>Équilibré</x:v>
      </x:c>
      <x:c r="F312" s="25" t="n">
        <x:v>0.8</x:v>
      </x:c>
      <x:c r="G312" s="25" t="n">
        <x:v>0.03953287077900451</x:v>
      </x:c>
      <x:c r="H312" s="25" t="n">
        <x:v>-1.696032164921986</x:v>
      </x:c>
      <x:c r="I312" s="25" t="n">
        <x:v>2190.0718622656004</x:v>
      </x:c>
      <x:c r="J312" s="25" t="n">
        <x:v>18600.6968622656</x:v>
      </x:c>
      <x:c r="K312" s="25" t="n">
        <x:v>4.158973332304886</x:v>
      </x:c>
      <x:c r="L312" s="25" t="n">
        <x:v>78.25</x:v>
      </x:c>
      <x:c r="M312" s="34" t="b">
        <x:v>0</x:v>
      </x:c>
      <x:c r="N312" s="25" t="n">
        <x:v>-24.576496230204405</x:v>
      </x:c>
    </x:row>
    <x:row r="313">
      <x:c r="A313" s="25" t="n">
        <x:v>8</x:v>
      </x:c>
      <x:c r="B313" s="25" t="n">
        <x:v>3</x:v>
      </x:c>
      <x:c r="C313" s="25" t="n">
        <x:v>2</x:v>
      </x:c>
      <x:c r="D313" s="25" t="n">
        <x:v>40</x:v>
      </x:c>
      <x:c r="E313" s="25" t="str">
        <x:v>Conservateur</x:v>
      </x:c>
      <x:c r="F313" s="25" t="n">
        <x:v>0.8</x:v>
      </x:c>
      <x:c r="G313" s="25" t="n">
        <x:v>0.05080633621659841</x:v>
      </x:c>
      <x:c r="H313" s="25" t="n">
        <x:v>-1.6380943696762282</x:v>
      </x:c>
      <x:c r="I313" s="25" t="n">
        <x:v>2574.2329260543966</x:v>
      </x:c>
      <x:c r="J313" s="25" t="n">
        <x:v>18984.857926054392</x:v>
      </x:c>
      <x:c r="K313" s="25" t="n">
        <x:v>4.158973332304886</x:v>
      </x:c>
      <x:c r="L313" s="25" t="n">
        <x:v>67.25</x:v>
      </x:c>
      <x:c r="M313" s="34" t="b">
        <x:v>0</x:v>
      </x:c>
      <x:c r="N313" s="25" t="n">
        <x:v>-24.708010749992788</x:v>
      </x:c>
    </x:row>
    <x:row r="314">
      <x:c r="A314" s="25" t="n">
        <x:v>6</x:v>
      </x:c>
      <x:c r="B314" s="25" t="n">
        <x:v>4</x:v>
      </x:c>
      <x:c r="C314" s="25" t="n">
        <x:v>3</x:v>
      </x:c>
      <x:c r="D314" s="25" t="n">
        <x:v>40</x:v>
      </x:c>
      <x:c r="E314" s="25" t="str">
        <x:v>Équilibré</x:v>
      </x:c>
      <x:c r="F314" s="25" t="n">
        <x:v>1.2</x:v>
      </x:c>
      <x:c r="G314" s="25" t="n">
        <x:v>0.10997060837991939</x:v>
      </x:c>
      <x:c r="H314" s="25" t="n">
        <x:v>-1.8344168599556998</x:v>
      </x:c>
      <x:c r="I314" s="25" t="n">
        <x:v>5464.2952489599975</x:v>
      </x:c>
      <x:c r="J314" s="25" t="n">
        <x:v>21874.920248959996</x:v>
      </x:c>
      <x:c r="K314" s="25" t="n">
        <x:v>6.238459998457328</x:v>
      </x:c>
      <x:c r="L314" s="25" t="n">
        <x:v>75.25</x:v>
      </x:c>
      <x:c r="M314" s="34" t="b">
        <x:v>0</x:v>
      </x:c>
      <x:c r="N314" s="25" t="n">
        <x:v>-24.762038037996927</x:v>
      </x:c>
    </x:row>
    <x:row r="315">
      <x:c r="A315" s="25" t="n">
        <x:v>6</x:v>
      </x:c>
      <x:c r="B315" s="25" t="n">
        <x:v>3</x:v>
      </x:c>
      <x:c r="C315" s="25" t="n">
        <x:v>2</x:v>
      </x:c>
      <x:c r="D315" s="25" t="n">
        <x:v>30</x:v>
      </x:c>
      <x:c r="E315" s="25" t="str">
        <x:v>Équilibré</x:v>
      </x:c>
      <x:c r="F315" s="25" t="n">
        <x:v>1</x:v>
      </x:c>
      <x:c r="G315" s="25" t="n">
        <x:v>0.047015066219373826</x:v>
      </x:c>
      <x:c r="H315" s="25" t="n">
        <x:v>-1.7119969798696768</x:v>
      </x:c>
      <x:c r="I315" s="25" t="n">
        <x:v>2451.170910304002</x:v>
      </x:c>
      <x:c r="J315" s="25" t="n">
        <x:v>18861.795910304</x:v>
      </x:c>
      <x:c r="K315" s="25" t="n">
        <x:v>5.1987166653811085</x:v>
      </x:c>
      <x:c r="L315" s="25" t="n">
        <x:v>76.25</x:v>
      </x:c>
      <x:c r="M315" s="34" t="b">
        <x:v>0</x:v>
      </x:c>
      <x:c r="N315" s="25" t="n">
        <x:v>-24.964095854676366</x:v>
      </x:c>
    </x:row>
    <x:row r="316">
      <x:c r="A316" s="25" t="n">
        <x:v>6</x:v>
      </x:c>
      <x:c r="B316" s="25" t="n">
        <x:v>3</x:v>
      </x:c>
      <x:c r="C316" s="25" t="n">
        <x:v>2</x:v>
      </x:c>
      <x:c r="D316" s="25" t="n">
        <x:v>30</x:v>
      </x:c>
      <x:c r="E316" s="25" t="str">
        <x:v>Équilibré</x:v>
      </x:c>
      <x:c r="F316" s="25" t="n">
        <x:v>1.2</x:v>
      </x:c>
      <x:c r="G316" s="25" t="n">
        <x:v>0.047015066219373826</x:v>
      </x:c>
      <x:c r="H316" s="25" t="n">
        <x:v>-1.739618143816644</x:v>
      </x:c>
      <x:c r="I316" s="25" t="n">
        <x:v>2451.170910304002</x:v>
      </x:c>
      <x:c r="J316" s="25" t="n">
        <x:v>18861.795910304</x:v>
      </x:c>
      <x:c r="K316" s="25" t="n">
        <x:v>6.238459998457328</x:v>
      </x:c>
      <x:c r="L316" s="25" t="n">
        <x:v>79.25</x:v>
      </x:c>
      <x:c r="M316" s="34" t="b">
        <x:v>0</x:v>
      </x:c>
      <x:c r="N316" s="25" t="n">
        <x:v>-25.05462495335054</x:v>
      </x:c>
    </x:row>
    <x:row r="317">
      <x:c r="A317" s="25" t="n">
        <x:v>10</x:v>
      </x:c>
      <x:c r="B317" s="25" t="n">
        <x:v>4</x:v>
      </x:c>
      <x:c r="C317" s="25" t="n">
        <x:v>2</x:v>
      </x:c>
      <x:c r="D317" s="25" t="n">
        <x:v>35</x:v>
      </x:c>
      <x:c r="E317" s="25" t="str">
        <x:v>Équilibré</x:v>
      </x:c>
      <x:c r="F317" s="25" t="n">
        <x:v>1</x:v>
      </x:c>
      <x:c r="G317" s="25" t="n">
        <x:v>0.0651168293480399</x:v>
      </x:c>
      <x:c r="H317" s="25" t="n">
        <x:v>-1.6187020980580937</x:v>
      </x:c>
      <x:c r="I317" s="25" t="n">
        <x:v>3235.5698170239966</x:v>
      </x:c>
      <x:c r="J317" s="25" t="n">
        <x:v>19646.194817023992</x:v>
      </x:c>
      <x:c r="K317" s="25" t="n">
        <x:v>5.1987166653811085</x:v>
      </x:c>
      <x:c r="L317" s="25" t="n">
        <x:v>58.75</x:v>
      </x:c>
      <x:c r="M317" s="34" t="b">
        <x:v>0</x:v>
      </x:c>
      <x:c r="N317" s="25" t="n">
        <x:v>-25.136126837310144</x:v>
      </x:c>
    </x:row>
    <x:row r="318">
      <x:c r="A318" s="25" t="n">
        <x:v>8</x:v>
      </x:c>
      <x:c r="B318" s="25" t="n">
        <x:v>3</x:v>
      </x:c>
      <x:c r="C318" s="25" t="n">
        <x:v>1.5</x:v>
      </x:c>
      <x:c r="D318" s="25" t="n">
        <x:v>30</x:v>
      </x:c>
      <x:c r="E318" s="25" t="str">
        <x:v>Équilibré</x:v>
      </x:c>
      <x:c r="F318" s="25" t="n">
        <x:v>0.8</x:v>
      </x:c>
      <x:c r="G318" s="25" t="n">
        <x:v>0.02617094409137973</x:v>
      </x:c>
      <x:c r="H318" s="25" t="n">
        <x:v>-1.6104250964071092</x:v>
      </x:c>
      <x:c r="I318" s="25" t="n">
        <x:v>1364.4446772160004</x:v>
      </x:c>
      <x:c r="J318" s="25" t="n">
        <x:v>17775.069677215997</x:v>
      </x:c>
      <x:c r="K318" s="25" t="n">
        <x:v>4.158973332304886</x:v>
      </x:c>
      <x:c r="L318" s="25" t="n">
        <x:v>68.25</x:v>
      </x:c>
      <x:c r="M318" s="34" t="b">
        <x:v>0</x:v>
      </x:c>
      <x:c r="N318" s="25" t="n">
        <x:v>-25.17122548515185</x:v>
      </x:c>
    </x:row>
    <x:row r="319">
      <x:c r="A319" s="25" t="n">
        <x:v>10</x:v>
      </x:c>
      <x:c r="B319" s="25" t="n">
        <x:v>4</x:v>
      </x:c>
      <x:c r="C319" s="25" t="n">
        <x:v>2</x:v>
      </x:c>
      <x:c r="D319" s="25" t="n">
        <x:v>35</x:v>
      </x:c>
      <x:c r="E319" s="25" t="str">
        <x:v>Équilibré</x:v>
      </x:c>
      <x:c r="F319" s="25" t="n">
        <x:v>1.2</x:v>
      </x:c>
      <x:c r="G319" s="25" t="n">
        <x:v>0.0651168293480399</x:v>
      </x:c>
      <x:c r="H319" s="25" t="n">
        <x:v>-1.644726155163599</x:v>
      </x:c>
      <x:c r="I319" s="25" t="n">
        <x:v>3235.5698170239966</x:v>
      </x:c>
      <x:c r="J319" s="25" t="n">
        <x:v>19646.194817023992</x:v>
      </x:c>
      <x:c r="K319" s="25" t="n">
        <x:v>6.238459998457328</x:v>
      </x:c>
      <x:c r="L319" s="25" t="n">
        <x:v>61.75</x:v>
      </x:c>
      <x:c r="M319" s="34" t="b">
        <x:v>0</x:v>
      </x:c>
      <x:c r="N319" s="25" t="n">
        <x:v>-25.186728264947774</x:v>
      </x:c>
    </x:row>
    <x:row r="320">
      <x:c r="A320" s="25" t="n">
        <x:v>10</x:v>
      </x:c>
      <x:c r="B320" s="25" t="n">
        <x:v>3</x:v>
      </x:c>
      <x:c r="C320" s="25" t="n">
        <x:v>2</x:v>
      </x:c>
      <x:c r="D320" s="25" t="n">
        <x:v>40</x:v>
      </x:c>
      <x:c r="E320" s="25" t="str">
        <x:v>Conservateur</x:v>
      </x:c>
      <x:c r="F320" s="25" t="n">
        <x:v>1</x:v>
      </x:c>
      <x:c r="G320" s="25" t="n">
        <x:v>0.0621038651635477</x:v>
      </x:c>
      <x:c r="H320" s="25" t="n">
        <x:v>-1.6431725381202438</x:v>
      </x:c>
      <x:c r="I320" s="25" t="n">
        <x:v>3146.6511156735933</x:v>
      </x:c>
      <x:c r="J320" s="25" t="n">
        <x:v>19557.27611567359</x:v>
      </x:c>
      <x:c r="K320" s="25" t="n">
        <x:v>5.1987166653811085</x:v>
      </x:c>
      <x:c r="L320" s="25" t="n">
        <x:v>62.25</x:v>
      </x:c>
      <x:c r="M320" s="34" t="b">
        <x:v>0</x:v>
      </x:c>
      <x:c r="N320" s="25" t="n">
        <x:v>-25.213600869010968</x:v>
      </x:c>
    </x:row>
    <x:row r="321">
      <x:c r="A321" s="25" t="n">
        <x:v>6</x:v>
      </x:c>
      <x:c r="B321" s="25" t="n">
        <x:v>4</x:v>
      </x:c>
      <x:c r="C321" s="25" t="n">
        <x:v>1.5</x:v>
      </x:c>
      <x:c r="D321" s="25" t="n">
        <x:v>35</x:v>
      </x:c>
      <x:c r="E321" s="25" t="str">
        <x:v>Conservateur</x:v>
      </x:c>
      <x:c r="F321" s="25" t="n">
        <x:v>0.8</x:v>
      </x:c>
      <x:c r="G321" s="25" t="n">
        <x:v>0.019277153990304014</x:v>
      </x:c>
      <x:c r="H321" s="25" t="n">
        <x:v>-1.6107033401433295</x:v>
      </x:c>
      <x:c r="I321" s="25" t="n">
        <x:v>935.2127246394859</x:v>
      </x:c>
      <x:c r="J321" s="25" t="n">
        <x:v>17345.83772463948</x:v>
      </x:c>
      <x:c r="K321" s="25" t="n">
        <x:v>4.158973332304886</x:v>
      </x:c>
      <x:c r="L321" s="25" t="n">
        <x:v>69.75</x:v>
      </x:c>
      <x:c r="M321" s="34" t="b">
        <x:v>0</x:v>
      </x:c>
      <x:c r="N321" s="25" t="n">
        <x:v>-25.257340034116517</x:v>
      </x:c>
    </x:row>
    <x:row r="322">
      <x:c r="A322" s="25" t="n">
        <x:v>8</x:v>
      </x:c>
      <x:c r="B322" s="25" t="n">
        <x:v>4</x:v>
      </x:c>
      <x:c r="C322" s="25" t="n">
        <x:v>2</x:v>
      </x:c>
      <x:c r="D322" s="25" t="n">
        <x:v>35</x:v>
      </x:c>
      <x:c r="E322" s="25" t="str">
        <x:v>Équilibré</x:v>
      </x:c>
      <x:c r="F322" s="25" t="n">
        <x:v>0.8</x:v>
      </x:c>
      <x:c r="G322" s="25" t="n">
        <x:v>0.050065478560110045</x:v>
      </x:c>
      <x:c r="H322" s="25" t="n">
        <x:v>-1.6310821533668427</x:v>
      </x:c>
      <x:c r="I322" s="25" t="n">
        <x:v>2487.687943743996</x:v>
      </x:c>
      <x:c r="J322" s="25" t="n">
        <x:v>18898.312943743993</x:v>
      </x:c>
      <x:c r="K322" s="25" t="n">
        <x:v>4.158973332304886</x:v>
      </x:c>
      <x:c r="L322" s="25" t="n">
        <x:v>63.75</x:v>
      </x:c>
      <x:c r="M322" s="34" t="b">
        <x:v>0</x:v>
      </x:c>
      <x:c r="N322" s="25" t="n">
        <x:v>-25.273452513365015</x:v>
      </x:c>
    </x:row>
    <x:row r="323">
      <x:c r="A323" s="25" t="n">
        <x:v>10</x:v>
      </x:c>
      <x:c r="B323" s="25" t="n">
        <x:v>3</x:v>
      </x:c>
      <x:c r="C323" s="25" t="n">
        <x:v>2</x:v>
      </x:c>
      <x:c r="D323" s="25" t="n">
        <x:v>40</x:v>
      </x:c>
      <x:c r="E323" s="25" t="str">
        <x:v>Conservateur</x:v>
      </x:c>
      <x:c r="F323" s="25" t="n">
        <x:v>1.2</x:v>
      </x:c>
      <x:c r="G323" s="25" t="n">
        <x:v>0.0621038651635477</x:v>
      </x:c>
      <x:c r="H323" s="25" t="n">
        <x:v>-1.669736581161443</x:v>
      </x:c>
      <x:c r="I323" s="25" t="n">
        <x:v>3146.6511156735933</x:v>
      </x:c>
      <x:c r="J323" s="25" t="n">
        <x:v>19557.27611567359</x:v>
      </x:c>
      <x:c r="K323" s="25" t="n">
        <x:v>6.238459998457328</x:v>
      </x:c>
      <x:c r="L323" s="25" t="n">
        <x:v>65.25</x:v>
      </x:c>
      <x:c r="M323" s="34" t="b">
        <x:v>0</x:v>
      </x:c>
      <x:c r="N323" s="25" t="n">
        <x:v>-25.277701945040956</x:v>
      </x:c>
    </x:row>
    <x:row r="324">
      <x:c r="A324" s="25" t="n">
        <x:v>10</x:v>
      </x:c>
      <x:c r="B324" s="25" t="n">
        <x:v>3</x:v>
      </x:c>
      <x:c r="C324" s="25" t="n">
        <x:v>1.5</x:v>
      </x:c>
      <x:c r="D324" s="25" t="n">
        <x:v>30</x:v>
      </x:c>
      <x:c r="E324" s="25" t="str">
        <x:v>Équilibré</x:v>
      </x:c>
      <x:c r="F324" s="25" t="n">
        <x:v>1</x:v>
      </x:c>
      <x:c r="G324" s="25" t="n">
        <x:v>0.040427581321263374</x:v>
      </x:c>
      <x:c r="H324" s="25" t="n">
        <x:v>-1.6066045196697718</x:v>
      </x:c>
      <x:c r="I324" s="25" t="n">
        <x:v>2107.7267199040016</x:v>
      </x:c>
      <x:c r="J324" s="25" t="n">
        <x:v>18518.351719903996</x:v>
      </x:c>
      <x:c r="K324" s="25" t="n">
        <x:v>5.1987166653811085</x:v>
      </x:c>
      <x:c r="L324" s="25" t="n">
        <x:v>63.25</x:v>
      </x:c>
      <x:c r="M324" s="34" t="b">
        <x:v>0</x:v>
      </x:c>
      <x:c r="N324" s="25" t="n">
        <x:v>-25.29159601907481</x:v>
      </x:c>
    </x:row>
    <x:row r="325">
      <x:c r="A325" s="25" t="n">
        <x:v>10</x:v>
      </x:c>
      <x:c r="B325" s="25" t="n">
        <x:v>3</x:v>
      </x:c>
      <x:c r="C325" s="25" t="n">
        <x:v>1.5</x:v>
      </x:c>
      <x:c r="D325" s="25" t="n">
        <x:v>30</x:v>
      </x:c>
      <x:c r="E325" s="25" t="str">
        <x:v>Équilibré</x:v>
      </x:c>
      <x:c r="F325" s="25" t="n">
        <x:v>1.2</x:v>
      </x:c>
      <x:c r="G325" s="25" t="n">
        <x:v>0.040427581321263374</x:v>
      </x:c>
      <x:c r="H325" s="25" t="n">
        <x:v>-1.6311445195946475</x:v>
      </x:c>
      <x:c r="I325" s="25" t="n">
        <x:v>2107.7267199040016</x:v>
      </x:c>
      <x:c r="J325" s="25" t="n">
        <x:v>18518.351719903996</x:v>
      </x:c>
      <x:c r="K325" s="25" t="n">
        <x:v>6.238459998457328</x:v>
      </x:c>
      <x:c r="L325" s="25" t="n">
        <x:v>66.25</x:v>
      </x:c>
      <x:c r="M325" s="34" t="b">
        <x:v>0</x:v>
      </x:c>
      <x:c r="N325" s="25" t="n">
        <x:v>-25.305096017196703</x:v>
      </x:c>
    </x:row>
    <x:row r="326">
      <x:c r="A326" s="25" t="n">
        <x:v>10</x:v>
      </x:c>
      <x:c r="B326" s="25" t="n">
        <x:v>4</x:v>
      </x:c>
      <x:c r="C326" s="25" t="n">
        <x:v>1.5</x:v>
      </x:c>
      <x:c r="D326" s="25" t="n">
        <x:v>40</x:v>
      </x:c>
      <x:c r="E326" s="25" t="str">
        <x:v>Conservateur</x:v>
      </x:c>
      <x:c r="F326" s="25" t="n">
        <x:v>0.8</x:v>
      </x:c>
      <x:c r="G326" s="25" t="n">
        <x:v>0.03478351806681078</x:v>
      </x:c>
      <x:c r="H326" s="25" t="n">
        <x:v>-1.5511783111960686</x:v>
      </x:c>
      <x:c r="I326" s="25" t="n">
        <x:v>1687.4891760563187</x:v>
      </x:c>
      <x:c r="J326" s="25" t="n">
        <x:v>18098.11417605631</x:v>
      </x:c>
      <x:c r="K326" s="25" t="n">
        <x:v>4.158973332304886</x:v>
      </x:c>
      <x:c r="L326" s="25" t="n">
        <x:v>57.25</x:v>
      </x:c>
      <x:c r="M326" s="34" t="b">
        <x:v>0</x:v>
      </x:c>
      <x:c r="N326" s="25" t="n">
        <x:v>-25.41636428622712</x:v>
      </x:c>
    </x:row>
    <x:row r="327">
      <x:c r="A327" s="25" t="n">
        <x:v>6</x:v>
      </x:c>
      <x:c r="B327" s="25" t="n">
        <x:v>2</x:v>
      </x:c>
      <x:c r="C327" s="25" t="n">
        <x:v>3</x:v>
      </x:c>
      <x:c r="D327" s="25" t="n">
        <x:v>30</x:v>
      </x:c>
      <x:c r="E327" s="25" t="str">
        <x:v>Agressif</x:v>
      </x:c>
      <x:c r="F327" s="25" t="n">
        <x:v>1</x:v>
      </x:c>
      <x:c r="G327" s="25" t="n">
        <x:v>0.10747022844470318</x:v>
      </x:c>
      <x:c r="H327" s="25" t="n">
        <x:v>-1.8971478698145583</x:v>
      </x:c>
      <x:c r="I327" s="25" t="n">
        <x:v>6320.161029416686</x:v>
      </x:c>
      <x:c r="J327" s="25" t="n">
        <x:v>22730.786029416682</x:v>
      </x:c>
      <x:c r="K327" s="25" t="n">
        <x:v>5.1987166653811085</x:v>
      </x:c>
      <x:c r="L327" s="25" t="n">
        <x:v>80.25</x:v>
      </x:c>
      <x:c r="M327" s="34" t="b">
        <x:v>0</x:v>
      </x:c>
      <x:c r="N327" s="25" t="n">
        <x:v>-25.46783418090528</x:v>
      </x:c>
    </x:row>
    <x:row r="328">
      <x:c r="A328" s="25" t="n">
        <x:v>6</x:v>
      </x:c>
      <x:c r="B328" s="25" t="n">
        <x:v>4</x:v>
      </x:c>
      <x:c r="C328" s="25" t="n">
        <x:v>2</x:v>
      </x:c>
      <x:c r="D328" s="25" t="n">
        <x:v>40</x:v>
      </x:c>
      <x:c r="E328" s="25" t="str">
        <x:v>Conservateur</x:v>
      </x:c>
      <x:c r="F328" s="25" t="n">
        <x:v>0.8</x:v>
      </x:c>
      <x:c r="G328" s="25" t="n">
        <x:v>0.03767082232031482</x:v>
      </x:c>
      <x:c r="H328" s="25" t="n">
        <x:v>-1.6710821344682114</x:v>
      </x:c>
      <x:c r="I328" s="25" t="n">
        <x:v>1827.563985809919</x:v>
      </x:c>
      <x:c r="J328" s="25" t="n">
        <x:v>18238.188985809917</x:v>
      </x:c>
      <x:c r="K328" s="25" t="n">
        <x:v>4.158973332304886</x:v>
      </x:c>
      <x:c r="L328" s="25" t="n">
        <x:v>70.25</x:v>
      </x:c>
      <x:c r="M328" s="34" t="b">
        <x:v>0</x:v>
      </x:c>
      <x:c r="N328" s="25" t="n">
        <x:v>-25.655158134087966</x:v>
      </x:c>
    </x:row>
    <x:row r="329">
      <x:c r="A329" s="25" t="n">
        <x:v>6</x:v>
      </x:c>
      <x:c r="B329" s="25" t="n">
        <x:v>2</x:v>
      </x:c>
      <x:c r="C329" s="25" t="n">
        <x:v>3</x:v>
      </x:c>
      <x:c r="D329" s="25" t="n">
        <x:v>30</x:v>
      </x:c>
      <x:c r="E329" s="25" t="str">
        <x:v>Agressif</x:v>
      </x:c>
      <x:c r="F329" s="25" t="n">
        <x:v>1.2</x:v>
      </x:c>
      <x:c r="G329" s="25" t="n">
        <x:v>0.10747022844470318</x:v>
      </x:c>
      <x:c r="H329" s="25" t="n">
        <x:v>-1.9332371077735018</x:v>
      </x:c>
      <x:c r="I329" s="25" t="n">
        <x:v>6320.161029416686</x:v>
      </x:c>
      <x:c r="J329" s="25" t="n">
        <x:v>22730.786029416682</x:v>
      </x:c>
      <x:c r="K329" s="25" t="n">
        <x:v>6.238459998457328</x:v>
      </x:c>
      <x:c r="L329" s="25" t="n">
        <x:v>83.25</x:v>
      </x:c>
      <x:c r="M329" s="34" t="b">
        <x:v>0</x:v>
      </x:c>
      <x:c r="N329" s="25" t="n">
        <x:v>-25.77006512987887</x:v>
      </x:c>
    </x:row>
    <x:row r="330">
      <x:c r="A330" s="25" t="n">
        <x:v>10</x:v>
      </x:c>
      <x:c r="B330" s="25" t="n">
        <x:v>2</x:v>
      </x:c>
      <x:c r="C330" s="25" t="n">
        <x:v>1.5</x:v>
      </x:c>
      <x:c r="D330" s="25" t="n">
        <x:v>35</x:v>
      </x:c>
      <x:c r="E330" s="25" t="str">
        <x:v>Conservateur</x:v>
      </x:c>
      <x:c r="F330" s="25" t="n">
        <x:v>0.8</x:v>
      </x:c>
      <x:c r="G330" s="25" t="n">
        <x:v>0.02672814728767223</x:v>
      </x:c>
      <x:c r="H330" s="25" t="n">
        <x:v>-1.5998268485282692</x:v>
      </x:c>
      <x:c r="I330" s="25" t="n">
        <x:v>1430.995745944572</x:v>
      </x:c>
      <x:c r="J330" s="25" t="n">
        <x:v>17841.620745944565</x:v>
      </x:c>
      <x:c r="K330" s="25" t="n">
        <x:v>4.158973332304886</x:v>
      </x:c>
      <x:c r="L330" s="25" t="n">
        <x:v>63.75</x:v>
      </x:c>
      <x:c r="M330" s="34" t="b">
        <x:v>0</x:v>
      </x:c>
      <x:c r="N330" s="25" t="n">
        <x:v>-25.775623112384757</x:v>
      </x:c>
    </x:row>
    <x:row r="331">
      <x:c r="A331" s="25" t="n">
        <x:v>6</x:v>
      </x:c>
      <x:c r="B331" s="25" t="n">
        <x:v>2</x:v>
      </x:c>
      <x:c r="C331" s="25" t="n">
        <x:v>3</x:v>
      </x:c>
      <x:c r="D331" s="25" t="n">
        <x:v>40</x:v>
      </x:c>
      <x:c r="E331" s="25" t="str">
        <x:v>Équilibré</x:v>
      </x:c>
      <x:c r="F331" s="25" t="n">
        <x:v>0.8</x:v>
      </x:c>
      <x:c r="G331" s="25" t="n">
        <x:v>0.09566860430439991</x:v>
      </x:c>
      <x:c r="H331" s="25" t="n">
        <x:v>-1.878584641290408</x:v>
      </x:c>
      <x:c r="I331" s="25" t="n">
        <x:v>5299.921666719999</x:v>
      </x:c>
      <x:c r="J331" s="25" t="n">
        <x:v>21710.546666719998</x:v>
      </x:c>
      <x:c r="K331" s="25" t="n">
        <x:v>4.158973332304886</x:v>
      </x:c>
      <x:c r="L331" s="25" t="n">
        <x:v>79.25</x:v>
      </x:c>
      <x:c r="M331" s="34" t="b">
        <x:v>0</x:v>
      </x:c>
      <x:c r="N331" s="25" t="n">
        <x:v>-25.8528427955182</x:v>
      </x:c>
    </x:row>
    <x:row r="332">
      <x:c r="A332" s="25" t="n">
        <x:v>8</x:v>
      </x:c>
      <x:c r="B332" s="25" t="n">
        <x:v>2</x:v>
      </x:c>
      <x:c r="C332" s="25" t="n">
        <x:v>3</x:v>
      </x:c>
      <x:c r="D332" s="25" t="n">
        <x:v>40</x:v>
      </x:c>
      <x:c r="E332" s="25" t="str">
        <x:v>Équilibré</x:v>
      </x:c>
      <x:c r="F332" s="25" t="n">
        <x:v>1</x:v>
      </x:c>
      <x:c r="G332" s="25" t="n">
        <x:v>0.1078826165035186</x:v>
      </x:c>
      <x:c r="H332" s="25" t="n">
        <x:v>-1.873887515963608</x:v>
      </x:c>
      <x:c r="I332" s="25" t="n">
        <x:v>5976.562748319999</x:v>
      </x:c>
      <x:c r="J332" s="25" t="n">
        <x:v>22387.187748319993</x:v>
      </x:c>
      <x:c r="K332" s="25" t="n">
        <x:v>5.1987166653811085</x:v>
      </x:c>
      <x:c r="L332" s="25" t="n">
        <x:v>74.25</x:v>
      </x:c>
      <x:c r="M332" s="34" t="b">
        <x:v>0</x:v>
      </x:c>
      <x:c r="N332" s="25" t="n">
        <x:v>-26.063643991396674</x:v>
      </x:c>
    </x:row>
    <x:row r="333">
      <x:c r="A333" s="25" t="n">
        <x:v>8</x:v>
      </x:c>
      <x:c r="B333" s="25" t="n">
        <x:v>3</x:v>
      </x:c>
      <x:c r="C333" s="25" t="n">
        <x:v>3</x:v>
      </x:c>
      <x:c r="D333" s="25" t="n">
        <x:v>35</x:v>
      </x:c>
      <x:c r="E333" s="25" t="str">
        <x:v>Agressif</x:v>
      </x:c>
      <x:c r="F333" s="25" t="n">
        <x:v>0.8</x:v>
      </x:c>
      <x:c r="G333" s="25" t="n">
        <x:v>0.10891710375138922</x:v>
      </x:c>
      <x:c r="H333" s="25" t="n">
        <x:v>-1.82611178190529</x:v>
      </x:c>
      <x:c r="I333" s="25" t="n">
        <x:v>5971.679648071546</x:v>
      </x:c>
      <x:c r="J333" s="25" t="n">
        <x:v>22382.304648071542</x:v>
      </x:c>
      <x:c r="K333" s="25" t="n">
        <x:v>4.158973332304886</x:v>
      </x:c>
      <x:c r="L333" s="25" t="n">
        <x:v>67.75</x:v>
      </x:c>
      <x:c r="M333" s="34" t="b">
        <x:v>0</x:v>
      </x:c>
      <x:c r="N333" s="25" t="n">
        <x:v>-26.112353841305843</x:v>
      </x:c>
    </x:row>
    <x:row r="334">
      <x:c r="A334" s="25" t="n">
        <x:v>10</x:v>
      </x:c>
      <x:c r="B334" s="25" t="n">
        <x:v>3</x:v>
      </x:c>
      <x:c r="C334" s="25" t="n">
        <x:v>2</x:v>
      </x:c>
      <x:c r="D334" s="25" t="n">
        <x:v>35</x:v>
      </x:c>
      <x:c r="E334" s="25" t="str">
        <x:v>Équilibré</x:v>
      </x:c>
      <x:c r="F334" s="25" t="n">
        <x:v>0.8</x:v>
      </x:c>
      <x:c r="G334" s="25" t="n">
        <x:v>0.051865460731251034</x:v>
      </x:c>
      <x:c r="H334" s="25" t="n">
        <x:v>-1.6479102802168752</x:v>
      </x:c>
      <x:c r="I334" s="25" t="n">
        <x:v>2704.0503995200006</x:v>
      </x:c>
      <x:c r="J334" s="25" t="n">
        <x:v>19114.675399519994</x:v>
      </x:c>
      <x:c r="K334" s="25" t="n">
        <x:v>4.158973332304886</x:v>
      </x:c>
      <x:c r="L334" s="25" t="n">
        <x:v>60.75</x:v>
      </x:c>
      <x:c r="M334" s="34" t="b">
        <x:v>0</x:v>
      </x:c>
      <x:c r="N334" s="25" t="n">
        <x:v>-26.19515666520308</x:v>
      </x:c>
    </x:row>
    <x:row r="335">
      <x:c r="A335" s="25" t="n">
        <x:v>10</x:v>
      </x:c>
      <x:c r="B335" s="25" t="n">
        <x:v>2</x:v>
      </x:c>
      <x:c r="C335" s="25" t="n">
        <x:v>2</x:v>
      </x:c>
      <x:c r="D335" s="25" t="n">
        <x:v>40</x:v>
      </x:c>
      <x:c r="E335" s="25" t="str">
        <x:v>Conservateur</x:v>
      </x:c>
      <x:c r="F335" s="25" t="n">
        <x:v>0.8</x:v>
      </x:c>
      <x:c r="G335" s="25" t="n">
        <x:v>0.045896559555575527</x:v>
      </x:c>
      <x:c r="H335" s="25" t="n">
        <x:v>-1.6632611184342057</x:v>
      </x:c>
      <x:c r="I335" s="25" t="n">
        <x:v>2457.2515547238363</x:v>
      </x:c>
      <x:c r="J335" s="25" t="n">
        <x:v>18867.876554723833</x:v>
      </x:c>
      <x:c r="K335" s="25" t="n">
        <x:v>4.158973332304886</x:v>
      </x:c>
      <x:c r="L335" s="25" t="n">
        <x:v>64.25</x:v>
      </x:c>
      <x:c r="M335" s="34" t="b">
        <x:v>0</x:v>
      </x:c>
      <x:c r="N335" s="25" t="n">
        <x:v>-26.207217185298482</x:v>
      </x:c>
    </x:row>
    <x:row r="336">
      <x:c r="A336" s="25" t="n">
        <x:v>10</x:v>
      </x:c>
      <x:c r="B336" s="25" t="n">
        <x:v>4</x:v>
      </x:c>
      <x:c r="C336" s="25" t="n">
        <x:v>2</x:v>
      </x:c>
      <x:c r="D336" s="25" t="n">
        <x:v>30</x:v>
      </x:c>
      <x:c r="E336" s="25" t="str">
        <x:v>Agressif</x:v>
      </x:c>
      <x:c r="F336" s="25" t="n">
        <x:v>0.8</x:v>
      </x:c>
      <x:c r="G336" s="25" t="n">
        <x:v>0.055342409758412196</x:v>
      </x:c>
      <x:c r="H336" s="25" t="n">
        <x:v>-1.628702125224656</x:v>
      </x:c>
      <x:c r="I336" s="25" t="n">
        <x:v>2869.072239758413</x:v>
      </x:c>
      <x:c r="J336" s="25" t="n">
        <x:v>19279.697239758407</x:v>
      </x:c>
      <x:c r="K336" s="25" t="n">
        <x:v>4.158973332304886</x:v>
      </x:c>
      <x:c r="L336" s="25" t="n">
        <x:v>57.25</x:v>
      </x:c>
      <x:c r="M336" s="34" t="b">
        <x:v>0</x:v>
      </x:c>
      <x:c r="N336" s="25" t="n">
        <x:v>-26.223720593903728</x:v>
      </x:c>
    </x:row>
    <x:row r="337">
      <x:c r="A337" s="25" t="n">
        <x:v>8</x:v>
      </x:c>
      <x:c r="B337" s="25" t="n">
        <x:v>2</x:v>
      </x:c>
      <x:c r="C337" s="25" t="n">
        <x:v>3</x:v>
      </x:c>
      <x:c r="D337" s="25" t="n">
        <x:v>40</x:v>
      </x:c>
      <x:c r="E337" s="25" t="str">
        <x:v>Équilibré</x:v>
      </x:c>
      <x:c r="F337" s="25" t="n">
        <x:v>1.2</x:v>
      </x:c>
      <x:c r="G337" s="25" t="n">
        <x:v>0.1078826165035186</x:v>
      </x:c>
      <x:c r="H337" s="25" t="n">
        <x:v>-1.9092775369557269</x:v>
      </x:c>
      <x:c r="I337" s="25" t="n">
        <x:v>5976.562748319999</x:v>
      </x:c>
      <x:c r="J337" s="25" t="n">
        <x:v>22387.187748319993</x:v>
      </x:c>
      <x:c r="K337" s="25" t="n">
        <x:v>6.238459998457328</x:v>
      </x:c>
      <x:c r="L337" s="25" t="n">
        <x:v>77.25</x:v>
      </x:c>
      <x:c r="M337" s="34" t="b">
        <x:v>0</x:v>
      </x:c>
      <x:c r="N337" s="25" t="n">
        <x:v>-26.34839451619964</x:v>
      </x:c>
    </x:row>
    <x:row r="338">
      <x:c r="A338" s="25" t="n">
        <x:v>10</x:v>
      </x:c>
      <x:c r="B338" s="25" t="n">
        <x:v>2</x:v>
      </x:c>
      <x:c r="C338" s="25" t="n">
        <x:v>1.5</x:v>
      </x:c>
      <x:c r="D338" s="25" t="n">
        <x:v>30</x:v>
      </x:c>
      <x:c r="E338" s="25" t="str">
        <x:v>Équilibré</x:v>
      </x:c>
      <x:c r="F338" s="25" t="n">
        <x:v>0.8</x:v>
      </x:c>
      <x:c r="G338" s="25" t="n">
        <x:v>0.022364470550522854</x:v>
      </x:c>
      <x:c r="H338" s="25" t="n">
        <x:v>-1.6257956084221798</x:v>
      </x:c>
      <x:c r="I338" s="25" t="n">
        <x:v>1238.963847097601</x:v>
      </x:c>
      <x:c r="J338" s="25" t="n">
        <x:v>17649.588847097595</x:v>
      </x:c>
      <x:c r="K338" s="25" t="n">
        <x:v>4.158973332304886</x:v>
      </x:c>
      <x:c r="L338" s="25" t="n">
        <x:v>65.25</x:v>
      </x:c>
      <x:c r="M338" s="34" t="b">
        <x:v>0</x:v>
      </x:c>
      <x:c r="N338" s="25" t="n">
        <x:v>-26.364844330275734</x:v>
      </x:c>
    </x:row>
    <x:row r="339">
      <x:c r="A339" s="25" t="n">
        <x:v>6</x:v>
      </x:c>
      <x:c r="B339" s="25" t="n">
        <x:v>2</x:v>
      </x:c>
      <x:c r="C339" s="25" t="n">
        <x:v>2</x:v>
      </x:c>
      <x:c r="D339" s="25" t="n">
        <x:v>35</x:v>
      </x:c>
      <x:c r="E339" s="25" t="str">
        <x:v>Conservateur</x:v>
      </x:c>
      <x:c r="F339" s="25" t="n">
        <x:v>1</x:v>
      </x:c>
      <x:c r="G339" s="25" t="n">
        <x:v>0.033071190923648505</x:v>
      </x:c>
      <x:c r="H339" s="25" t="n">
        <x:v>-1.7678603615294357</x:v>
      </x:c>
      <x:c r="I339" s="25" t="n">
        <x:v>1770.5953583580124</x:v>
      </x:c>
      <x:c r="J339" s="25" t="n">
        <x:v>18181.22035835801</x:v>
      </x:c>
      <x:c r="K339" s="25" t="n">
        <x:v>5.1987166653811085</x:v>
      </x:c>
      <x:c r="L339" s="25" t="n">
        <x:v>79.75</x:v>
      </x:c>
      <x:c r="M339" s="34" t="b">
        <x:v>0</x:v>
      </x:c>
      <x:c r="N339" s="25" t="n">
        <x:v>-26.42759353743522</x:v>
      </x:c>
    </x:row>
    <x:row r="340">
      <x:c r="A340" s="25" t="n">
        <x:v>8</x:v>
      </x:c>
      <x:c r="B340" s="25" t="n">
        <x:v>3</x:v>
      </x:c>
      <x:c r="C340" s="25" t="n">
        <x:v>1.5</x:v>
      </x:c>
      <x:c r="D340" s="25" t="n">
        <x:v>35</x:v>
      </x:c>
      <x:c r="E340" s="25" t="str">
        <x:v>Conservateur</x:v>
      </x:c>
      <x:c r="F340" s="25" t="n">
        <x:v>1</x:v>
      </x:c>
      <x:c r="G340" s="25" t="n">
        <x:v>0.02229672467944531</x:v>
      </x:c>
      <x:c r="H340" s="25" t="n">
        <x:v>-1.6687310858413245</x:v>
      </x:c>
      <x:c r="I340" s="25" t="n">
        <x:v>1129.7205641497567</x:v>
      </x:c>
      <x:c r="J340" s="25" t="n">
        <x:v>17540.345564149753</x:v>
      </x:c>
      <x:c r="K340" s="25" t="n">
        <x:v>5.1987166653811085</x:v>
      </x:c>
      <x:c r="L340" s="25" t="n">
        <x:v>69.75</x:v>
      </x:c>
      <x:c r="M340" s="34" t="b">
        <x:v>0</x:v>
      </x:c>
      <x:c r="N340" s="25" t="n">
        <x:v>-26.541957288663617</x:v>
      </x:c>
    </x:row>
    <x:row r="341">
      <x:c r="A341" s="25" t="n">
        <x:v>6</x:v>
      </x:c>
      <x:c r="B341" s="25" t="n">
        <x:v>2</x:v>
      </x:c>
      <x:c r="C341" s="25" t="n">
        <x:v>2</x:v>
      </x:c>
      <x:c r="D341" s="25" t="n">
        <x:v>35</x:v>
      </x:c>
      <x:c r="E341" s="25" t="str">
        <x:v>Conservateur</x:v>
      </x:c>
      <x:c r="F341" s="25" t="n">
        <x:v>1.2</x:v>
      </x:c>
      <x:c r="G341" s="25" t="n">
        <x:v>0.033071190923648505</x:v>
      </x:c>
      <x:c r="H341" s="25" t="n">
        <x:v>-1.7964502221214171</x:v>
      </x:c>
      <x:c r="I341" s="25" t="n">
        <x:v>1770.5953583580124</x:v>
      </x:c>
      <x:c r="J341" s="25" t="n">
        <x:v>18181.22035835801</x:v>
      </x:c>
      <x:c r="K341" s="25" t="n">
        <x:v>6.238459998457328</x:v>
      </x:c>
      <x:c r="L341" s="25" t="n">
        <x:v>82.75</x:v>
      </x:c>
      <x:c r="M341" s="34" t="b">
        <x:v>0</x:v>
      </x:c>
      <x:c r="N341" s="25" t="n">
        <x:v>-26.54234005223476</x:v>
      </x:c>
    </x:row>
    <x:row r="342">
      <x:c r="A342" s="25" t="n">
        <x:v>6</x:v>
      </x:c>
      <x:c r="B342" s="25" t="n">
        <x:v>4</x:v>
      </x:c>
      <x:c r="C342" s="25" t="n">
        <x:v>1.5</x:v>
      </x:c>
      <x:c r="D342" s="25" t="n">
        <x:v>30</x:v>
      </x:c>
      <x:c r="E342" s="25" t="str">
        <x:v>Équilibré</x:v>
      </x:c>
      <x:c r="F342" s="25" t="n">
        <x:v>0.8</x:v>
      </x:c>
      <x:c r="G342" s="25" t="n">
        <x:v>0.010316911814391216</x:v>
      </x:c>
      <x:c r="H342" s="25" t="n">
        <x:v>-1.6545285120590536</x:v>
      </x:c>
      <x:c r="I342" s="25" t="n">
        <x:v>512.6338122687988</x:v>
      </x:c>
      <x:c r="J342" s="25" t="n">
        <x:v>16923.258812268796</x:v>
      </x:c>
      <x:c r="K342" s="25" t="n">
        <x:v>4.158973332304886</x:v>
      </x:c>
      <x:c r="L342" s="25" t="n">
        <x:v>71.25</x:v>
      </x:c>
      <x:c r="M342" s="34" t="b">
        <x:v>0</x:v>
      </x:c>
      <x:c r="N342" s="25" t="n">
        <x:v>-26.545782651684817</x:v>
      </x:c>
    </x:row>
    <x:row r="343">
      <x:c r="A343" s="25" t="n">
        <x:v>8</x:v>
      </x:c>
      <x:c r="B343" s="25" t="n">
        <x:v>3</x:v>
      </x:c>
      <x:c r="C343" s="25" t="n">
        <x:v>1.5</x:v>
      </x:c>
      <x:c r="D343" s="25" t="n">
        <x:v>35</x:v>
      </x:c>
      <x:c r="E343" s="25" t="str">
        <x:v>Conservateur</x:v>
      </x:c>
      <x:c r="F343" s="25" t="n">
        <x:v>1.2</x:v>
      </x:c>
      <x:c r="G343" s="25" t="n">
        <x:v>0.02229672467944531</x:v>
      </x:c>
      <x:c r="H343" s="25" t="n">
        <x:v>-1.6938120201564455</x:v>
      </x:c>
      <x:c r="I343" s="25" t="n">
        <x:v>1129.7205641497567</x:v>
      </x:c>
      <x:c r="J343" s="25" t="n">
        <x:v>17540.345564149753</x:v>
      </x:c>
      <x:c r="K343" s="25" t="n">
        <x:v>6.238459998457328</x:v>
      </x:c>
      <x:c r="L343" s="25" t="n">
        <x:v>72.75</x:v>
      </x:c>
      <x:c r="M343" s="34" t="b">
        <x:v>0</x:v>
      </x:c>
      <x:c r="N343" s="25" t="n">
        <x:v>-26.56898064654165</x:v>
      </x:c>
    </x:row>
    <x:row r="344">
      <x:c r="A344" s="25" t="n">
        <x:v>8</x:v>
      </x:c>
      <x:c r="B344" s="25" t="n">
        <x:v>4</x:v>
      </x:c>
      <x:c r="C344" s="25" t="n">
        <x:v>3</x:v>
      </x:c>
      <x:c r="D344" s="25" t="n">
        <x:v>35</x:v>
      </x:c>
      <x:c r="E344" s="25" t="str">
        <x:v>Agressif</x:v>
      </x:c>
      <x:c r="F344" s="25" t="n">
        <x:v>1</x:v>
      </x:c>
      <x:c r="G344" s="25" t="n">
        <x:v>0.11009068399040375</x:v>
      </x:c>
      <x:c r="H344" s="25" t="n">
        <x:v>-1.8361876168453237</x:v>
      </x:c>
      <x:c r="I344" s="25" t="n">
        <x:v>5707.343187109269</x:v>
      </x:c>
      <x:c r="J344" s="25" t="n">
        <x:v>22117.968187109265</x:v>
      </x:c>
      <x:c r="K344" s="25" t="n">
        <x:v>5.1987166653811085</x:v>
      </x:c>
      <x:c r="L344" s="25" t="n">
        <x:v>65.75</x:v>
      </x:c>
      <x:c r="M344" s="34" t="b">
        <x:v>0</x:v>
      </x:c>
      <x:c r="N344" s="25" t="n">
        <x:v>-26.699702801660884</x:v>
      </x:c>
    </x:row>
    <x:row r="345">
      <x:c r="A345" s="25" t="n">
        <x:v>10</x:v>
      </x:c>
      <x:c r="B345" s="25" t="n">
        <x:v>2</x:v>
      </x:c>
      <x:c r="C345" s="25" t="n">
        <x:v>3</x:v>
      </x:c>
      <x:c r="D345" s="25" t="n">
        <x:v>35</x:v>
      </x:c>
      <x:c r="E345" s="25" t="str">
        <x:v>Agressif</x:v>
      </x:c>
      <x:c r="F345" s="25" t="n">
        <x:v>0.8</x:v>
      </x:c>
      <x:c r="G345" s="25" t="n">
        <x:v>0.112074316541822</x:v>
      </x:c>
      <x:c r="H345" s="25" t="n">
        <x:v>-1.8336048769263422</x:v>
      </x:c>
      <x:c r="I345" s="25" t="n">
        <x:v>6590.920462875821</x:v>
      </x:c>
      <x:c r="J345" s="25" t="n">
        <x:v>23001.545462875813</x:v>
      </x:c>
      <x:c r="K345" s="25" t="n">
        <x:v>4.158973332304886</x:v>
      </x:c>
      <x:c r="L345" s="25" t="n">
        <x:v>64.75</x:v>
      </x:c>
      <x:c r="M345" s="34" t="b">
        <x:v>0</x:v>
      </x:c>
      <x:c r="N345" s="25" t="n">
        <x:v>-26.726034513358343</x:v>
      </x:c>
    </x:row>
    <x:row r="346">
      <x:c r="A346" s="25" t="n">
        <x:v>8</x:v>
      </x:c>
      <x:c r="B346" s="25" t="n">
        <x:v>4</x:v>
      </x:c>
      <x:c r="C346" s="25" t="n">
        <x:v>3</x:v>
      </x:c>
      <x:c r="D346" s="25" t="n">
        <x:v>35</x:v>
      </x:c>
      <x:c r="E346" s="25" t="str">
        <x:v>Agressif</x:v>
      </x:c>
      <x:c r="F346" s="25" t="n">
        <x:v>1.2</x:v>
      </x:c>
      <x:c r="G346" s="25" t="n">
        <x:v>0.11009068399040375</x:v>
      </x:c>
      <x:c r="H346" s="25" t="n">
        <x:v>-1.8703941617058304</x:v>
      </x:c>
      <x:c r="I346" s="25" t="n">
        <x:v>5707.343187109269</x:v>
      </x:c>
      <x:c r="J346" s="25" t="n">
        <x:v>22117.968187109265</x:v>
      </x:c>
      <x:c r="K346" s="25" t="n">
        <x:v>6.238459998457328</x:v>
      </x:c>
      <x:c r="L346" s="25" t="n">
        <x:v>68.75</x:v>
      </x:c>
      <x:c r="M346" s="34" t="b">
        <x:v>0</x:v>
      </x:c>
      <x:c r="N346" s="25" t="n">
        <x:v>-26.954866423173556</x:v>
      </x:c>
    </x:row>
    <x:row r="347">
      <x:c r="A347" s="25" t="n">
        <x:v>6</x:v>
      </x:c>
      <x:c r="B347" s="25" t="n">
        <x:v>3</x:v>
      </x:c>
      <x:c r="C347" s="25" t="n">
        <x:v>3</x:v>
      </x:c>
      <x:c r="D347" s="25" t="n">
        <x:v>40</x:v>
      </x:c>
      <x:c r="E347" s="25" t="str">
        <x:v>Équilibré</x:v>
      </x:c>
      <x:c r="F347" s="25" t="n">
        <x:v>1</x:v>
      </x:c>
      <x:c r="G347" s="25" t="n">
        <x:v>0.09629571478824753</x:v>
      </x:c>
      <x:c r="H347" s="25" t="n">
        <x:v>-1.910295314805239</x:v>
      </x:c>
      <x:c r="I347" s="25" t="n">
        <x:v>5020.459904800001</x:v>
      </x:c>
      <x:c r="J347" s="25" t="n">
        <x:v>21431.0849048</x:v>
      </x:c>
      <x:c r="K347" s="25" t="n">
        <x:v>5.1987166653811085</x:v>
      </x:c>
      <x:c r="L347" s="25" t="n">
        <x:v>77.25</x:v>
      </x:c>
      <x:c r="M347" s="34" t="b">
        <x:v>0</x:v>
      </x:c>
      <x:c r="N347" s="25" t="n">
        <x:v>-27.01111855677736</x:v>
      </x:c>
    </x:row>
    <x:row r="348">
      <x:c r="A348" s="25" t="n">
        <x:v>10</x:v>
      </x:c>
      <x:c r="B348" s="25" t="n">
        <x:v>3</x:v>
      </x:c>
      <x:c r="C348" s="25" t="n">
        <x:v>3</x:v>
      </x:c>
      <x:c r="D348" s="25" t="n">
        <x:v>35</x:v>
      </x:c>
      <x:c r="E348" s="25" t="str">
        <x:v>Agressif</x:v>
      </x:c>
      <x:c r="F348" s="25" t="n">
        <x:v>1</x:v>
      </x:c>
      <x:c r="G348" s="25" t="n">
        <x:v>0.11690871116638661</x:v>
      </x:c>
      <x:c r="H348" s="25" t="n">
        <x:v>-1.8437899668280444</x:v>
      </x:c>
      <x:c r="I348" s="25" t="n">
        <x:v>6409.841495125883</x:v>
      </x:c>
      <x:c r="J348" s="25" t="n">
        <x:v>22820.466495125882</x:v>
      </x:c>
      <x:c r="K348" s="25" t="n">
        <x:v>5.1987166653811085</x:v>
      </x:c>
      <x:c r="L348" s="25" t="n">
        <x:v>62.75</x:v>
      </x:c>
      <x:c r="M348" s="34" t="b">
        <x:v>0</x:v>
      </x:c>
      <x:c r="N348" s="25" t="n">
        <x:v>-27.11477005654984</x:v>
      </x:c>
    </x:row>
    <x:row r="349">
      <x:c r="A349" s="25" t="n">
        <x:v>8</x:v>
      </x:c>
      <x:c r="B349" s="25" t="n">
        <x:v>3</x:v>
      </x:c>
      <x:c r="C349" s="25" t="n">
        <x:v>2</x:v>
      </x:c>
      <x:c r="D349" s="25" t="n">
        <x:v>40</x:v>
      </x:c>
      <x:c r="E349" s="25" t="str">
        <x:v>Conservateur</x:v>
      </x:c>
      <x:c r="F349" s="25" t="n">
        <x:v>1</x:v>
      </x:c>
      <x:c r="G349" s="25" t="n">
        <x:v>0.03960338749703435</x:v>
      </x:c>
      <x:c r="H349" s="25" t="n">
        <x:v>-1.7398249011257483</x:v>
      </x:c>
      <x:c r="I349" s="25" t="n">
        <x:v>2006.606885478397</x:v>
      </x:c>
      <x:c r="J349" s="25" t="n">
        <x:v>18417.231885478388</x:v>
      </x:c>
      <x:c r="K349" s="25" t="n">
        <x:v>5.1987166653811085</x:v>
      </x:c>
      <x:c r="L349" s="25" t="n">
        <x:v>70.25</x:v>
      </x:c>
      <x:c r="M349" s="34" t="b">
        <x:v>0</x:v>
      </x:c>
      <x:c r="N349" s="25" t="n">
        <x:v>-27.267436215806814</x:v>
      </x:c>
    </x:row>
    <x:row r="350">
      <x:c r="A350" s="25" t="n">
        <x:v>6</x:v>
      </x:c>
      <x:c r="B350" s="25" t="n">
        <x:v>3</x:v>
      </x:c>
      <x:c r="C350" s="25" t="n">
        <x:v>3</x:v>
      </x:c>
      <x:c r="D350" s="25" t="n">
        <x:v>40</x:v>
      </x:c>
      <x:c r="E350" s="25" t="str">
        <x:v>Équilibré</x:v>
      </x:c>
      <x:c r="F350" s="25" t="n">
        <x:v>1.2</x:v>
      </x:c>
      <x:c r="G350" s="25" t="n">
        <x:v>0.09629571478824753</x:v>
      </x:c>
      <x:c r="H350" s="25" t="n">
        <x:v>-1.9457070634551972</x:v>
      </x:c>
      <x:c r="I350" s="25" t="n">
        <x:v>5020.459904800001</x:v>
      </x:c>
      <x:c r="J350" s="25" t="n">
        <x:v>21431.0849048</x:v>
      </x:c>
      <x:c r="K350" s="25" t="n">
        <x:v>6.238459998457328</x:v>
      </x:c>
      <x:c r="L350" s="25" t="n">
        <x:v>80.25</x:v>
      </x:c>
      <x:c r="M350" s="34" t="b">
        <x:v>0</x:v>
      </x:c>
      <x:c r="N350" s="25" t="n">
        <x:v>-27.296412273026316</x:v>
      </x:c>
    </x:row>
    <x:row r="351">
      <x:c r="A351" s="25" t="n">
        <x:v>10</x:v>
      </x:c>
      <x:c r="B351" s="25" t="n">
        <x:v>4</x:v>
      </x:c>
      <x:c r="C351" s="25" t="n">
        <x:v>3</x:v>
      </x:c>
      <x:c r="D351" s="25" t="n">
        <x:v>40</x:v>
      </x:c>
      <x:c r="E351" s="25" t="str">
        <x:v>Agressif</x:v>
      </x:c>
      <x:c r="F351" s="25" t="n">
        <x:v>0.8</x:v>
      </x:c>
      <x:c r="G351" s="25" t="n">
        <x:v>0.10904083543509417</x:v>
      </x:c>
      <x:c r="H351" s="25" t="n">
        <x:v>-1.7986586872432377</x:v>
      </x:c>
      <x:c r="I351" s="25" t="n">
        <x:v>5652.916729007102</x:v>
      </x:c>
      <x:c r="J351" s="25" t="n">
        <x:v>22063.541729007095</x:v>
      </x:c>
      <x:c r="K351" s="25" t="n">
        <x:v>4.158973332304886</x:v>
      </x:c>
      <x:c r="L351" s="25" t="n">
        <x:v>58.25</x:v>
      </x:c>
      <x:c r="M351" s="34" t="b">
        <x:v>0</x:v>
      </x:c>
      <x:c r="N351" s="25" t="n">
        <x:v>-27.319221232150767</x:v>
      </x:c>
    </x:row>
    <x:row r="352">
      <x:c r="A352" s="25" t="n">
        <x:v>6</x:v>
      </x:c>
      <x:c r="B352" s="25" t="n">
        <x:v>2</x:v>
      </x:c>
      <x:c r="C352" s="25" t="n">
        <x:v>2</x:v>
      </x:c>
      <x:c r="D352" s="25" t="n">
        <x:v>30</x:v>
      </x:c>
      <x:c r="E352" s="25" t="str">
        <x:v>Équilibré</x:v>
      </x:c>
      <x:c r="F352" s="25" t="n">
        <x:v>1</x:v>
      </x:c>
      <x:c r="G352" s="25" t="n">
        <x:v>0.027266008103893184</x:v>
      </x:c>
      <x:c r="H352" s="25" t="n">
        <x:v>-1.802855468762227</x:v>
      </x:c>
      <x:c r="I352" s="25" t="n">
        <x:v>1510.5029300416008</x:v>
      </x:c>
      <x:c r="J352" s="25" t="n">
        <x:v>17921.127930041595</x:v>
      </x:c>
      <x:c r="K352" s="25" t="n">
        <x:v>5.1987166653811085</x:v>
      </x:c>
      <x:c r="L352" s="25" t="n">
        <x:v>81.25</x:v>
      </x:c>
      <x:c r="M352" s="34" t="b">
        <x:v>0</x:v>
      </x:c>
      <x:c r="N352" s="25" t="n">
        <x:v>-27.32175627334155</x:v>
      </x:c>
    </x:row>
    <x:row r="353">
      <x:c r="A353" s="25" t="n">
        <x:v>8</x:v>
      </x:c>
      <x:c r="B353" s="25" t="n">
        <x:v>3</x:v>
      </x:c>
      <x:c r="C353" s="25" t="n">
        <x:v>2</x:v>
      </x:c>
      <x:c r="D353" s="25" t="n">
        <x:v>40</x:v>
      </x:c>
      <x:c r="E353" s="25" t="str">
        <x:v>Conservateur</x:v>
      </x:c>
      <x:c r="F353" s="25" t="n">
        <x:v>1.2</x:v>
      </x:c>
      <x:c r="G353" s="25" t="n">
        <x:v>0.03960338749703435</x:v>
      </x:c>
      <x:c r="H353" s="25" t="n">
        <x:v>-1.767692605920327</x:v>
      </x:c>
      <x:c r="I353" s="25" t="n">
        <x:v>2006.606885478397</x:v>
      </x:c>
      <x:c r="J353" s="25" t="n">
        <x:v>18417.231885478388</x:v>
      </x:c>
      <x:c r="K353" s="25" t="n">
        <x:v>6.238459998457328</x:v>
      </x:c>
      <x:c r="L353" s="25" t="n">
        <x:v>73.25</x:v>
      </x:c>
      <x:c r="M353" s="34" t="b">
        <x:v>0</x:v>
      </x:c>
      <x:c r="N353" s="25" t="n">
        <x:v>-27.364128835671288</x:v>
      </x:c>
    </x:row>
    <x:row r="354">
      <x:c r="A354" s="25" t="n">
        <x:v>10</x:v>
      </x:c>
      <x:c r="B354" s="25" t="n">
        <x:v>3</x:v>
      </x:c>
      <x:c r="C354" s="25" t="n">
        <x:v>3</x:v>
      </x:c>
      <x:c r="D354" s="25" t="n">
        <x:v>35</x:v>
      </x:c>
      <x:c r="E354" s="25" t="str">
        <x:v>Agressif</x:v>
      </x:c>
      <x:c r="F354" s="25" t="n">
        <x:v>1.2</x:v>
      </x:c>
      <x:c r="G354" s="25" t="n">
        <x:v>0.11690871116638661</x:v>
      </x:c>
      <x:c r="H354" s="25" t="n">
        <x:v>-1.87871897276983</x:v>
      </x:c>
      <x:c r="I354" s="25" t="n">
        <x:v>6409.841495125883</x:v>
      </x:c>
      <x:c r="J354" s="25" t="n">
        <x:v>22820.466495125882</x:v>
      </x:c>
      <x:c r="K354" s="25" t="n">
        <x:v>6.238459998457328</x:v>
      </x:c>
      <x:c r="L354" s="25" t="n">
        <x:v>65.75</x:v>
      </x:c>
      <x:c r="M354" s="34" t="b">
        <x:v>0</x:v>
      </x:c>
      <x:c r="N354" s="25" t="n">
        <x:v>-27.387995205094484</x:v>
      </x:c>
    </x:row>
    <x:row r="355">
      <x:c r="A355" s="25" t="n">
        <x:v>8</x:v>
      </x:c>
      <x:c r="B355" s="25" t="n">
        <x:v>2</x:v>
      </x:c>
      <x:c r="C355" s="25" t="n">
        <x:v>1.5</x:v>
      </x:c>
      <x:c r="D355" s="25" t="n">
        <x:v>35</x:v>
      </x:c>
      <x:c r="E355" s="25" t="str">
        <x:v>Conservateur</x:v>
      </x:c>
      <x:c r="F355" s="25" t="n">
        <x:v>0.8</x:v>
      </x:c>
      <x:c r="G355" s="25" t="n">
        <x:v>0.005246884579484095</x:v>
      </x:c>
      <x:c r="H355" s="25" t="n">
        <x:v>-1.6829272314282793</x:v>
      </x:c>
      <x:c r="I355" s="25" t="n">
        <x:v>280.9124565160915</x:v>
      </x:c>
      <x:c r="J355" s="25" t="n">
        <x:v>16691.53745651609</x:v>
      </x:c>
      <x:c r="K355" s="25" t="n">
        <x:v>4.158973332304886</x:v>
      </x:c>
      <x:c r="L355" s="25" t="n">
        <x:v>71.75</x:v>
      </x:c>
      <x:c r="M355" s="34" t="b">
        <x:v>0</x:v>
      </x:c>
      <x:c r="N355" s="25" t="n">
        <x:v>-27.434602133835355</x:v>
      </x:c>
    </x:row>
    <x:row r="356">
      <x:c r="A356" s="25" t="n">
        <x:v>6</x:v>
      </x:c>
      <x:c r="B356" s="25" t="n">
        <x:v>2</x:v>
      </x:c>
      <x:c r="C356" s="25" t="n">
        <x:v>2</x:v>
      </x:c>
      <x:c r="D356" s="25" t="n">
        <x:v>30</x:v>
      </x:c>
      <x:c r="E356" s="25" t="str">
        <x:v>Équilibré</x:v>
      </x:c>
      <x:c r="F356" s="25" t="n">
        <x:v>1.2</x:v>
      </x:c>
      <x:c r="G356" s="25" t="n">
        <x:v>0.027266008103893184</x:v>
      </x:c>
      <x:c r="H356" s="25" t="n">
        <x:v>-1.832180685298096</x:v>
      </x:c>
      <x:c r="I356" s="25" t="n">
        <x:v>1510.5029300416008</x:v>
      </x:c>
      <x:c r="J356" s="25" t="n">
        <x:v>17921.127930041595</x:v>
      </x:c>
      <x:c r="K356" s="25" t="n">
        <x:v>6.238459998457328</x:v>
      </x:c>
      <x:c r="L356" s="25" t="n">
        <x:v>84.25</x:v>
      </x:c>
      <x:c r="M356" s="34" t="b">
        <x:v>0</x:v>
      </x:c>
      <x:c r="N356" s="25" t="n">
        <x:v>-27.45488668673827</x:v>
      </x:c>
    </x:row>
    <x:row r="357">
      <x:c r="A357" s="25" t="n">
        <x:v>6</x:v>
      </x:c>
      <x:c r="B357" s="25" t="n">
        <x:v>4</x:v>
      </x:c>
      <x:c r="C357" s="25" t="n">
        <x:v>1.5</x:v>
      </x:c>
      <x:c r="D357" s="25" t="n">
        <x:v>35</x:v>
      </x:c>
      <x:c r="E357" s="25" t="str">
        <x:v>Conservateur</x:v>
      </x:c>
      <x:c r="F357" s="25" t="n">
        <x:v>1</x:v>
      </x:c>
      <x:c r="G357" s="25" t="n">
        <x:v>0.009308201638901852</x:v>
      </x:c>
      <x:c r="H357" s="25" t="n">
        <x:v>-1.702197264162905</x:v>
      </x:c>
      <x:c r="I357" s="25" t="n">
        <x:v>451.5785172743668</x:v>
      </x:c>
      <x:c r="J357" s="25" t="n">
        <x:v>16862.203517274364</x:v>
      </x:c>
      <x:c r="K357" s="25" t="n">
        <x:v>5.1987166653811085</x:v>
      </x:c>
      <x:c r="L357" s="25" t="n">
        <x:v>72.75</x:v>
      </x:c>
      <x:c r="M357" s="34" t="b">
        <x:v>0</x:v>
      </x:c>
      <x:c r="N357" s="25" t="n">
        <x:v>-27.492980513933023</x:v>
      </x:c>
    </x:row>
    <x:row r="358">
      <x:c r="A358" s="25" t="n">
        <x:v>8</x:v>
      </x:c>
      <x:c r="B358" s="25" t="n">
        <x:v>3</x:v>
      </x:c>
      <x:c r="C358" s="25" t="n">
        <x:v>1.5</x:v>
      </x:c>
      <x:c r="D358" s="25" t="n">
        <x:v>30</x:v>
      </x:c>
      <x:c r="E358" s="25" t="str">
        <x:v>Équilibré</x:v>
      </x:c>
      <x:c r="F358" s="25" t="n">
        <x:v>1</x:v>
      </x:c>
      <x:c r="G358" s="25" t="n">
        <x:v>0.015716831550798255</x:v>
      </x:c>
      <x:c r="H358" s="25" t="n">
        <x:v>-1.7044308301249107</x:v>
      </x:c>
      <x:c r="I358" s="25" t="n">
        <x:v>819.4105293760003</x:v>
      </x:c>
      <x:c r="J358" s="25" t="n">
        <x:v>17230.035529375993</x:v>
      </x:c>
      <x:c r="K358" s="25" t="n">
        <x:v>5.1987166653811085</x:v>
      </x:c>
      <x:c r="L358" s="25" t="n">
        <x:v>71.25</x:v>
      </x:c>
      <x:c r="M358" s="34" t="b">
        <x:v>0</x:v>
      </x:c>
      <x:c r="N358" s="25" t="n">
        <x:v>-27.496345017828858</x:v>
      </x:c>
    </x:row>
    <x:row r="359">
      <x:c r="A359" s="25" t="n">
        <x:v>6</x:v>
      </x:c>
      <x:c r="B359" s="25" t="n">
        <x:v>4</x:v>
      </x:c>
      <x:c r="C359" s="25" t="n">
        <x:v>1.5</x:v>
      </x:c>
      <x:c r="D359" s="25" t="n">
        <x:v>35</x:v>
      </x:c>
      <x:c r="E359" s="25" t="str">
        <x:v>Conservateur</x:v>
      </x:c>
      <x:c r="F359" s="25" t="n">
        <x:v>1.2</x:v>
      </x:c>
      <x:c r="G359" s="25" t="n">
        <x:v>0.009308201638901852</x:v>
      </x:c>
      <x:c r="H359" s="25" t="n">
        <x:v>-1.7272473547887104</x:v>
      </x:c>
      <x:c r="I359" s="25" t="n">
        <x:v>451.5785172743668</x:v>
      </x:c>
      <x:c r="J359" s="25" t="n">
        <x:v>16862.203517274364</x:v>
      </x:c>
      <x:c r="K359" s="25" t="n">
        <x:v>6.238459998457328</x:v>
      </x:c>
      <x:c r="L359" s="25" t="n">
        <x:v>75.75</x:v>
      </x:c>
      <x:c r="M359" s="34" t="b">
        <x:v>0</x:v>
      </x:c>
      <x:c r="N359" s="25" t="n">
        <x:v>-27.519232779578154</x:v>
      </x:c>
    </x:row>
    <x:row r="360">
      <x:c r="A360" s="25" t="n">
        <x:v>8</x:v>
      </x:c>
      <x:c r="B360" s="25" t="n">
        <x:v>3</x:v>
      </x:c>
      <x:c r="C360" s="25" t="n">
        <x:v>1.5</x:v>
      </x:c>
      <x:c r="D360" s="25" t="n">
        <x:v>30</x:v>
      </x:c>
      <x:c r="E360" s="25" t="str">
        <x:v>Équilibré</x:v>
      </x:c>
      <x:c r="F360" s="25" t="n">
        <x:v>1.2</x:v>
      </x:c>
      <x:c r="G360" s="25" t="n">
        <x:v>0.015716831550798255</x:v>
      </x:c>
      <x:c r="H360" s="25" t="n">
        <x:v>-1.730203295658623</x:v>
      </x:c>
      <x:c r="I360" s="25" t="n">
        <x:v>819.4105293760003</x:v>
      </x:c>
      <x:c r="J360" s="25" t="n">
        <x:v>17230.035529375993</x:v>
      </x:c>
      <x:c r="K360" s="25" t="n">
        <x:v>6.238459998457328</x:v>
      </x:c>
      <x:c r="L360" s="25" t="n">
        <x:v>74.25</x:v>
      </x:c>
      <x:c r="M360" s="34" t="b">
        <x:v>0</x:v>
      </x:c>
      <x:c r="N360" s="25" t="n">
        <x:v>-27.54065665617167</x:v>
      </x:c>
    </x:row>
    <x:row r="361">
      <x:c r="A361" s="25" t="n">
        <x:v>10</x:v>
      </x:c>
      <x:c r="B361" s="25" t="n">
        <x:v>4</x:v>
      </x:c>
      <x:c r="C361" s="25" t="n">
        <x:v>1.5</x:v>
      </x:c>
      <x:c r="D361" s="25" t="n">
        <x:v>40</x:v>
      </x:c>
      <x:c r="E361" s="25" t="str">
        <x:v>Conservateur</x:v>
      </x:c>
      <x:c r="F361" s="25" t="n">
        <x:v>1</x:v>
      </x:c>
      <x:c r="G361" s="25" t="n">
        <x:v>0.025124239860124097</x:v>
      </x:c>
      <x:c r="H361" s="25" t="n">
        <x:v>-1.6402670583840606</x:v>
      </x:c>
      <x:c r="I361" s="25" t="n">
        <x:v>1218.8785142195193</x:v>
      </x:c>
      <x:c r="J361" s="25" t="n">
        <x:v>17629.503514219512</x:v>
      </x:c>
      <x:c r="K361" s="25" t="n">
        <x:v>5.1987166653811085</x:v>
      </x:c>
      <x:c r="L361" s="25" t="n">
        <x:v>60.25</x:v>
      </x:c>
      <x:c r="M361" s="34" t="b">
        <x:v>0</x:v>
      </x:c>
      <x:c r="N361" s="25" t="n">
        <x:v>-27.574843267294685</x:v>
      </x:c>
    </x:row>
    <x:row r="362">
      <x:c r="A362" s="25" t="n">
        <x:v>10</x:v>
      </x:c>
      <x:c r="B362" s="25" t="n">
        <x:v>4</x:v>
      </x:c>
      <x:c r="C362" s="25" t="n">
        <x:v>1.5</x:v>
      </x:c>
      <x:c r="D362" s="25" t="n">
        <x:v>40</x:v>
      </x:c>
      <x:c r="E362" s="25" t="str">
        <x:v>Conservateur</x:v>
      </x:c>
      <x:c r="F362" s="25" t="n">
        <x:v>1.2</x:v>
      </x:c>
      <x:c r="G362" s="25" t="n">
        <x:v>0.025124239860124097</x:v>
      </x:c>
      <x:c r="H362" s="25" t="n">
        <x:v>-1.6646288034680101</x:v>
      </x:c>
      <x:c r="I362" s="25" t="n">
        <x:v>1218.8785142195193</x:v>
      </x:c>
      <x:c r="J362" s="25" t="n">
        <x:v>17629.503514219512</x:v>
      </x:c>
      <x:c r="K362" s="25" t="n">
        <x:v>6.238459998457328</x:v>
      </x:c>
      <x:c r="L362" s="25" t="n">
        <x:v>63.25</x:v>
      </x:c>
      <x:c r="M362" s="34" t="b">
        <x:v>0</x:v>
      </x:c>
      <x:c r="N362" s="25" t="n">
        <x:v>-27.583886894393423</x:v>
      </x:c>
    </x:row>
    <x:row r="363">
      <x:c r="A363" s="25" t="n">
        <x:v>8</x:v>
      </x:c>
      <x:c r="B363" s="25" t="n">
        <x:v>4</x:v>
      </x:c>
      <x:c r="C363" s="25" t="n">
        <x:v>2</x:v>
      </x:c>
      <x:c r="D363" s="25" t="n">
        <x:v>35</x:v>
      </x:c>
      <x:c r="E363" s="25" t="str">
        <x:v>Équilibré</x:v>
      </x:c>
      <x:c r="F363" s="25" t="n">
        <x:v>1</x:v>
      </x:c>
      <x:c r="G363" s="25" t="n">
        <x:v>0.03904440000476561</x:v>
      </x:c>
      <x:c r="H363" s="25" t="n">
        <x:v>-1.7316781099677752</x:v>
      </x:c>
      <x:c r="I363" s="25" t="n">
        <x:v>1940.0650099839963</x:v>
      </x:c>
      <x:c r="J363" s="25" t="n">
        <x:v>18350.69000998399</x:v>
      </x:c>
      <x:c r="K363" s="25" t="n">
        <x:v>5.1987166653811085</x:v>
      </x:c>
      <x:c r="L363" s="25" t="n">
        <x:v>66.75</x:v>
      </x:c>
      <x:c r="M363" s="34" t="b">
        <x:v>0</x:v>
      </x:c>
      <x:c r="N363" s="25" t="n">
        <x:v>-27.794510748932268</x:v>
      </x:c>
    </x:row>
    <x:row r="364">
      <x:c r="A364" s="25" t="n">
        <x:v>8</x:v>
      </x:c>
      <x:c r="B364" s="25" t="n">
        <x:v>4</x:v>
      </x:c>
      <x:c r="C364" s="25" t="n">
        <x:v>1.5</x:v>
      </x:c>
      <x:c r="D364" s="25" t="n">
        <x:v>40</x:v>
      </x:c>
      <x:c r="E364" s="25" t="str">
        <x:v>Conservateur</x:v>
      </x:c>
      <x:c r="F364" s="25" t="n">
        <x:v>0.8</x:v>
      </x:c>
      <x:c r="G364" s="25" t="n">
        <x:v>0.00859131929091748</x:v>
      </x:c>
      <x:c r="H364" s="25" t="n">
        <x:v>-1.6558291721223257</x:v>
      </x:c>
      <x:c r="I364" s="25" t="n">
        <x:v>416.79965446911905</x:v>
      </x:c>
      <x:c r="J364" s="25" t="n">
        <x:v>16827.424654469112</x:v>
      </x:c>
      <x:c r="K364" s="25" t="n">
        <x:v>4.158973332304886</x:v>
      </x:c>
      <x:c r="L364" s="25" t="n">
        <x:v>65.25</x:v>
      </x:c>
      <x:c r="M364" s="34" t="b">
        <x:v>0</x:v>
      </x:c>
      <x:c r="N364" s="25" t="n">
        <x:v>-27.87320674205768</x:v>
      </x:c>
    </x:row>
    <x:row r="365">
      <x:c r="A365" s="25" t="n">
        <x:v>8</x:v>
      </x:c>
      <x:c r="B365" s="25" t="n">
        <x:v>4</x:v>
      </x:c>
      <x:c r="C365" s="25" t="n">
        <x:v>2</x:v>
      </x:c>
      <x:c r="D365" s="25" t="n">
        <x:v>35</x:v>
      </x:c>
      <x:c r="E365" s="25" t="str">
        <x:v>Équilibré</x:v>
      </x:c>
      <x:c r="F365" s="25" t="n">
        <x:v>1.2</x:v>
      </x:c>
      <x:c r="G365" s="25" t="n">
        <x:v>0.03904440000476561</x:v>
      </x:c>
      <x:c r="H365" s="25" t="n">
        <x:v>-1.7592260046825856</x:v>
      </x:c>
      <x:c r="I365" s="25" t="n">
        <x:v>1940.0650099839963</x:v>
      </x:c>
      <x:c r="J365" s="25" t="n">
        <x:v>18350.69000998399</x:v>
      </x:c>
      <x:c r="K365" s="25" t="n">
        <x:v>6.238459998457328</x:v>
      </x:c>
      <x:c r="L365" s="25" t="n">
        <x:v>69.75</x:v>
      </x:c>
      <x:c r="M365" s="34" t="b">
        <x:v>0</x:v>
      </x:c>
      <x:c r="N365" s="25" t="n">
        <x:v>-27.88320811680253</x:v>
      </x:c>
    </x:row>
    <x:row r="366">
      <x:c r="A366" s="25" t="n">
        <x:v>6</x:v>
      </x:c>
      <x:c r="B366" s="25" t="n">
        <x:v>3</x:v>
      </x:c>
      <x:c r="C366" s="25" t="n">
        <x:v>1.5</x:v>
      </x:c>
      <x:c r="D366" s="25" t="n">
        <x:v>35</x:v>
      </x:c>
      <x:c r="E366" s="25" t="str">
        <x:v>Conservateur</x:v>
      </x:c>
      <x:c r="F366" s="25" t="n">
        <x:v>0.8</x:v>
      </x:c>
      <x:c r="G366" s="25" t="n">
        <x:v>-0.0016685417417751475</x:v>
      </x:c>
      <x:c r="H366" s="25" t="n">
        <x:v>-1.7103031017547685</x:v>
      </x:c>
      <x:c r="I366" s="25" t="n">
        <x:v>-84.54093347456319</x:v>
      </x:c>
      <x:c r="J366" s="25" t="n">
        <x:v>16326.084066525433</x:v>
      </x:c>
      <x:c r="K366" s="25" t="n">
        <x:v>4.158973332304886</x:v>
      </x:c>
      <x:c r="L366" s="25" t="n">
        <x:v>74.75</x:v>
      </x:c>
      <x:c r="M366" s="34" t="b">
        <x:v>0</x:v>
      </x:c>
      <x:c r="N366" s="25" t="n">
        <x:v>-27.89934733966684</x:v>
      </x:c>
    </x:row>
    <x:row r="367">
      <x:c r="A367" s="25" t="n">
        <x:v>8</x:v>
      </x:c>
      <x:c r="B367" s="25" t="n">
        <x:v>2</x:v>
      </x:c>
      <x:c r="C367" s="25" t="n">
        <x:v>2</x:v>
      </x:c>
      <x:c r="D367" s="25" t="n">
        <x:v>40</x:v>
      </x:c>
      <x:c r="E367" s="25" t="str">
        <x:v>Conservateur</x:v>
      </x:c>
      <x:c r="F367" s="25" t="n">
        <x:v>0.8</x:v>
      </x:c>
      <x:c r="G367" s="25" t="n">
        <x:v>0.0251165314152019</x:v>
      </x:c>
      <x:c r="H367" s="25" t="n">
        <x:v>-1.7493377888131698</x:v>
      </x:c>
      <x:c r="I367" s="25" t="n">
        <x:v>1344.7115964006387</x:v>
      </x:c>
      <x:c r="J367" s="25" t="n">
        <x:v>17755.336596400633</x:v>
      </x:c>
      <x:c r="K367" s="25" t="n">
        <x:v>4.158973332304886</x:v>
      </x:c>
      <x:c r="L367" s="25" t="n">
        <x:v>72.25</x:v>
      </x:c>
      <x:c r="M367" s="34" t="b">
        <x:v>0</x:v>
      </x:c>
      <x:c r="N367" s="25" t="n">
        <x:v>-27.90203549249314</x:v>
      </x:c>
    </x:row>
    <x:row r="368">
      <x:c r="A368" s="25" t="n">
        <x:v>10</x:v>
      </x:c>
      <x:c r="B368" s="25" t="n">
        <x:v>2</x:v>
      </x:c>
      <x:c r="C368" s="25" t="n">
        <x:v>1.5</x:v>
      </x:c>
      <x:c r="D368" s="25" t="n">
        <x:v>35</x:v>
      </x:c>
      <x:c r="E368" s="25" t="str">
        <x:v>Conservateur</x:v>
      </x:c>
      <x:c r="F368" s="25" t="n">
        <x:v>1</x:v>
      </x:c>
      <x:c r="G368" s="25" t="n">
        <x:v>0.016045767491462845</x:v>
      </x:c>
      <x:c r="H368" s="25" t="n">
        <x:v>-1.6940983822050333</x:v>
      </x:c>
      <x:c r="I368" s="25" t="n">
        <x:v>859.0728258703323</x:v>
      </x:c>
      <x:c r="J368" s="25" t="n">
        <x:v>17269.697825870328</x:v>
      </x:c>
      <x:c r="K368" s="25" t="n">
        <x:v>5.1987166653811085</x:v>
      </x:c>
      <x:c r="L368" s="25" t="n">
        <x:v>66.75</x:v>
      </x:c>
      <x:c r="M368" s="34" t="b">
        <x:v>0</x:v>
      </x:c>
      <x:c r="N368" s="25" t="n">
        <x:v>-28.119942343095374</x:v>
      </x:c>
    </x:row>
    <x:row r="369">
      <x:c r="A369" s="25" t="n">
        <x:v>10</x:v>
      </x:c>
      <x:c r="B369" s="25" t="n">
        <x:v>2</x:v>
      </x:c>
      <x:c r="C369" s="25" t="n">
        <x:v>1.5</x:v>
      </x:c>
      <x:c r="D369" s="25" t="n">
        <x:v>35</x:v>
      </x:c>
      <x:c r="E369" s="25" t="str">
        <x:v>Conservateur</x:v>
      </x:c>
      <x:c r="F369" s="25" t="n">
        <x:v>1.2</x:v>
      </x:c>
      <x:c r="G369" s="25" t="n">
        <x:v>0.016045767491462845</x:v>
      </x:c>
      <x:c r="H369" s="25" t="n">
        <x:v>-1.7199418196894924</x:v>
      </x:c>
      <x:c r="I369" s="25" t="n">
        <x:v>859.0728258703323</x:v>
      </x:c>
      <x:c r="J369" s="25" t="n">
        <x:v>17269.697825870328</x:v>
      </x:c>
      <x:c r="K369" s="25" t="n">
        <x:v>6.238459998457328</x:v>
      </x:c>
      <x:c r="L369" s="25" t="n">
        <x:v>69.75</x:v>
      </x:c>
      <x:c r="M369" s="34" t="b">
        <x:v>0</x:v>
      </x:c>
      <x:c r="N369" s="25" t="n">
        <x:v>-28.166028280206852</x:v>
      </x:c>
    </x:row>
    <x:row r="370">
      <x:c r="A370" s="25" t="n">
        <x:v>8</x:v>
      </x:c>
      <x:c r="B370" s="25" t="n">
        <x:v>2</x:v>
      </x:c>
      <x:c r="C370" s="25" t="n">
        <x:v>1.5</x:v>
      </x:c>
      <x:c r="D370" s="25" t="n">
        <x:v>30</x:v>
      </x:c>
      <x:c r="E370" s="25" t="str">
        <x:v>Équilibré</x:v>
      </x:c>
      <x:c r="F370" s="25" t="n">
        <x:v>0.8</x:v>
      </x:c>
      <x:c r="G370" s="25" t="n">
        <x:v>-0.0004019007746383506</x:v>
      </x:c>
      <x:c r="H370" s="25" t="n">
        <x:v>-1.7127100430138362</x:v>
      </x:c>
      <x:c r="I370" s="25" t="n">
        <x:v>-22.264802950400966</x:v>
      </x:c>
      <x:c r="J370" s="25" t="n">
        <x:v>16388.360197049595</x:v>
      </x:c>
      <x:c r="K370" s="25" t="n">
        <x:v>4.158973332304886</x:v>
      </x:c>
      <x:c r="L370" s="25" t="n">
        <x:v>73.25</x:v>
      </x:c>
      <x:c r="M370" s="34" t="b">
        <x:v>0</x:v>
      </x:c>
      <x:c r="N370" s="25" t="n">
        <x:v>-28.18985561795101</x:v>
      </x:c>
    </x:row>
    <x:row r="371">
      <x:c r="A371" s="25" t="n">
        <x:v>6</x:v>
      </x:c>
      <x:c r="B371" s="25" t="n">
        <x:v>4</x:v>
      </x:c>
      <x:c r="C371" s="25" t="n">
        <x:v>2</x:v>
      </x:c>
      <x:c r="D371" s="25" t="n">
        <x:v>40</x:v>
      </x:c>
      <x:c r="E371" s="25" t="str">
        <x:v>Conservateur</x:v>
      </x:c>
      <x:c r="F371" s="25" t="n">
        <x:v>1</x:v>
      </x:c>
      <x:c r="G371" s="25" t="n">
        <x:v>0.026594208596534618</x:v>
      </x:c>
      <x:c r="H371" s="25" t="n">
        <x:v>-1.7727420500455175</x:v>
      </x:c>
      <x:c r="I371" s="25" t="n">
        <x:v>1290.1926442931187</x:v>
      </x:c>
      <x:c r="J371" s="25" t="n">
        <x:v>17700.817644293114</x:v>
      </x:c>
      <x:c r="K371" s="25" t="n">
        <x:v>5.1987166653811085</x:v>
      </x:c>
      <x:c r="L371" s="25" t="n">
        <x:v>73.25</x:v>
      </x:c>
      <x:c r="M371" s="34" t="b">
        <x:v>0</x:v>
      </x:c>
      <x:c r="N371" s="25" t="n">
        <x:v>-28.20586977832854</x:v>
      </x:c>
    </x:row>
    <x:row r="372">
      <x:c r="A372" s="25" t="n">
        <x:v>6</x:v>
      </x:c>
      <x:c r="B372" s="25" t="n">
        <x:v>4</x:v>
      </x:c>
      <x:c r="C372" s="25" t="n">
        <x:v>3</x:v>
      </x:c>
      <x:c r="D372" s="25" t="n">
        <x:v>35</x:v>
      </x:c>
      <x:c r="E372" s="25" t="str">
        <x:v>Agressif</x:v>
      </x:c>
      <x:c r="F372" s="25" t="n">
        <x:v>0.8</x:v>
      </x:c>
      <x:c r="G372" s="25" t="n">
        <x:v>0.08850037545123454</x:v>
      </x:c>
      <x:c r="H372" s="25" t="n">
        <x:v>-1.8893744877729868</x:v>
      </x:c>
      <x:c r="I372" s="25" t="n">
        <x:v>4588.054107577749</x:v>
      </x:c>
      <x:c r="J372" s="25" t="n">
        <x:v>20998.679107577747</x:v>
      </x:c>
      <x:c r="K372" s="25" t="n">
        <x:v>4.158973332304886</x:v>
      </x:c>
      <x:c r="L372" s="25" t="n">
        <x:v>70.75</x:v>
      </x:c>
      <x:c r="M372" s="34" t="b">
        <x:v>0</x:v>
      </x:c>
      <x:c r="N372" s="25" t="n">
        <x:v>-28.21684154450677</x:v>
      </x:c>
    </x:row>
    <x:row r="373">
      <x:c r="A373" s="25" t="n">
        <x:v>6</x:v>
      </x:c>
      <x:c r="B373" s="25" t="n">
        <x:v>4</x:v>
      </x:c>
      <x:c r="C373" s="25" t="n">
        <x:v>2</x:v>
      </x:c>
      <x:c r="D373" s="25" t="n">
        <x:v>40</x:v>
      </x:c>
      <x:c r="E373" s="25" t="str">
        <x:v>Conservateur</x:v>
      </x:c>
      <x:c r="F373" s="25" t="n">
        <x:v>1.2</x:v>
      </x:c>
      <x:c r="G373" s="25" t="n">
        <x:v>0.026594208596534618</x:v>
      </x:c>
      <x:c r="H373" s="25" t="n">
        <x:v>-1.8005754840741905</x:v>
      </x:c>
      <x:c r="I373" s="25" t="n">
        <x:v>1290.1926442931187</x:v>
      </x:c>
      <x:c r="J373" s="25" t="n">
        <x:v>17700.817644293114</x:v>
      </x:c>
      <x:c r="K373" s="25" t="n">
        <x:v>6.238459998457328</x:v>
      </x:c>
      <x:c r="L373" s="25" t="n">
        <x:v>76.25</x:v>
      </x:c>
      <x:c r="M373" s="34" t="b">
        <x:v>0</x:v>
      </x:c>
      <x:c r="N373" s="25" t="n">
        <x:v>-28.301705629045358</x:v>
      </x:c>
    </x:row>
    <x:row r="374">
      <x:c r="A374" s="25" t="n">
        <x:v>6</x:v>
      </x:c>
      <x:c r="B374" s="25" t="n">
        <x:v>3</x:v>
      </x:c>
      <x:c r="C374" s="25" t="n">
        <x:v>2</x:v>
      </x:c>
      <x:c r="D374" s="25" t="n">
        <x:v>40</x:v>
      </x:c>
      <x:c r="E374" s="25" t="str">
        <x:v>Conservateur</x:v>
      </x:c>
      <x:c r="F374" s="25" t="n">
        <x:v>0.8</x:v>
      </x:c>
      <x:c r="G374" s="25" t="n">
        <x:v>0.01786987661835706</x:v>
      </x:c>
      <x:c r="H374" s="25" t="n">
        <x:v>-1.7759919724503386</x:v>
      </x:c>
      <x:c r="I374" s="25" t="n">
        <x:v>905.422988569598</x:v>
      </x:c>
      <x:c r="J374" s="25" t="n">
        <x:v>17316.047988569593</x:v>
      </x:c>
      <x:c r="K374" s="25" t="n">
        <x:v>4.158973332304886</x:v>
      </x:c>
      <x:c r="L374" s="25" t="n">
        <x:v>75.25</x:v>
      </x:c>
      <x:c r="M374" s="34" t="b">
        <x:v>0</x:v>
      </x:c>
      <x:c r="N374" s="25" t="n">
        <x:v>-28.36695609724882</x:v>
      </x:c>
    </x:row>
    <x:row r="375">
      <x:c r="A375" s="25" t="n">
        <x:v>8</x:v>
      </x:c>
      <x:c r="B375" s="25" t="n">
        <x:v>3</x:v>
      </x:c>
      <x:c r="C375" s="25" t="n">
        <x:v>2</x:v>
      </x:c>
      <x:c r="D375" s="25" t="n">
        <x:v>35</x:v>
      </x:c>
      <x:c r="E375" s="25" t="str">
        <x:v>Équilibré</x:v>
      </x:c>
      <x:c r="F375" s="25" t="n">
        <x:v>0.8</x:v>
      </x:c>
      <x:c r="G375" s="25" t="n">
        <x:v>0.02761631719281127</x:v>
      </x:c>
      <x:c r="H375" s="25" t="n">
        <x:v>-1.7481923407693625</x:v>
      </x:c>
      <x:c r="I375" s="25" t="n">
        <x:v>1439.8004468800007</x:v>
      </x:c>
      <x:c r="J375" s="25" t="n">
        <x:v>17850.425446879995</x:v>
      </x:c>
      <x:c r="K375" s="25" t="n">
        <x:v>4.158973332304886</x:v>
      </x:c>
      <x:c r="L375" s="25" t="n">
        <x:v>68.75</x:v>
      </x:c>
      <x:c r="M375" s="34" t="b">
        <x:v>0</x:v>
      </x:c>
      <x:c r="N375" s="25" t="n">
        <x:v>-28.43591107362944</x:v>
      </x:c>
    </x:row>
    <x:row r="376">
      <x:c r="A376" s="25" t="n">
        <x:v>10</x:v>
      </x:c>
      <x:c r="B376" s="25" t="n">
        <x:v>2</x:v>
      </x:c>
      <x:c r="C376" s="25" t="n">
        <x:v>1.5</x:v>
      </x:c>
      <x:c r="D376" s="25" t="n">
        <x:v>30</x:v>
      </x:c>
      <x:c r="E376" s="25" t="str">
        <x:v>Équilibré</x:v>
      </x:c>
      <x:c r="F376" s="25" t="n">
        <x:v>1</x:v>
      </x:c>
      <x:c r="G376" s="25" t="n">
        <x:v>0.011319997259028715</x:v>
      </x:c>
      <x:c r="H376" s="25" t="n">
        <x:v>-1.7222325253197293</x:v>
      </x:c>
      <x:c r="I376" s="25" t="n">
        <x:v>627.1137660736005</x:v>
      </x:c>
      <x:c r="J376" s="25" t="n">
        <x:v>17037.73876607359</x:v>
      </x:c>
      <x:c r="K376" s="25" t="n">
        <x:v>5.1987166653811085</x:v>
      </x:c>
      <x:c r="L376" s="25" t="n">
        <x:v>68.25</x:v>
      </x:c>
      <x:c r="M376" s="34" t="b">
        <x:v>0</x:v>
      </x:c>
      <x:c r="N376" s="25" t="n">
        <x:v>-28.783213283746655</x:v>
      </x:c>
    </x:row>
    <x:row r="377">
      <x:c r="A377" s="25" t="n">
        <x:v>10</x:v>
      </x:c>
      <x:c r="B377" s="25" t="n">
        <x:v>4</x:v>
      </x:c>
      <x:c r="C377" s="25" t="n">
        <x:v>2</x:v>
      </x:c>
      <x:c r="D377" s="25" t="n">
        <x:v>30</x:v>
      </x:c>
      <x:c r="E377" s="25" t="str">
        <x:v>Agressif</x:v>
      </x:c>
      <x:c r="F377" s="25" t="n">
        <x:v>1</x:v>
      </x:c>
      <x:c r="G377" s="25" t="n">
        <x:v>0.04403485978416979</x:v>
      </x:c>
      <x:c r="H377" s="25" t="n">
        <x:v>-1.730673727972045</x:v>
      </x:c>
      <x:c r="I377" s="25" t="n">
        <x:v>2282.8639797205756</x:v>
      </x:c>
      <x:c r="J377" s="25" t="n">
        <x:v>18693.488979720565</x:v>
      </x:c>
      <x:c r="K377" s="25" t="n">
        <x:v>5.1987166653811085</x:v>
      </x:c>
      <x:c r="L377" s="25" t="n">
        <x:v>60.25</x:v>
      </x:c>
      <x:c r="M377" s="34" t="b">
        <x:v>0</x:v>
      </x:c>
      <x:c r="N377" s="25" t="n">
        <x:v>-28.79492591117179</x:v>
      </x:c>
    </x:row>
    <x:row r="378">
      <x:c r="A378" s="25" t="n">
        <x:v>8</x:v>
      </x:c>
      <x:c r="B378" s="25" t="n">
        <x:v>2</x:v>
      </x:c>
      <x:c r="C378" s="25" t="n">
        <x:v>3</x:v>
      </x:c>
      <x:c r="D378" s="25" t="n">
        <x:v>35</x:v>
      </x:c>
      <x:c r="E378" s="25" t="str">
        <x:v>Agressif</x:v>
      </x:c>
      <x:c r="F378" s="25" t="n">
        <x:v>0.8</x:v>
      </x:c>
      <x:c r="G378" s="25" t="n">
        <x:v>0.09123390048553741</x:v>
      </x:c>
      <x:c r="H378" s="25" t="n">
        <x:v>-1.9347023537100563</x:v>
      </x:c>
      <x:c r="I378" s="25" t="n">
        <x:v>5365.327223688364</x:v>
      </x:c>
      <x:c r="J378" s="25" t="n">
        <x:v>21775.952223688357</x:v>
      </x:c>
      <x:c r="K378" s="25" t="n">
        <x:v>4.158973332304886</x:v>
      </x:c>
      <x:c r="L378" s="25" t="n">
        <x:v>72.75</x:v>
      </x:c>
      <x:c r="M378" s="34" t="b">
        <x:v>0</x:v>
      </x:c>
      <x:c r="N378" s="25" t="n">
        <x:v>-28.79969431604685</x:v>
      </x:c>
    </x:row>
    <x:row r="379">
      <x:c r="A379" s="25" t="n">
        <x:v>10</x:v>
      </x:c>
      <x:c r="B379" s="25" t="n">
        <x:v>3</x:v>
      </x:c>
      <x:c r="C379" s="25" t="n">
        <x:v>2</x:v>
      </x:c>
      <x:c r="D379" s="25" t="n">
        <x:v>35</x:v>
      </x:c>
      <x:c r="E379" s="25" t="str">
        <x:v>Équilibré</x:v>
      </x:c>
      <x:c r="F379" s="25" t="n">
        <x:v>1</x:v>
      </x:c>
      <x:c r="G379" s="25" t="n">
        <x:v>0.04040251179744615</x:v>
      </x:c>
      <x:c r="H379" s="25" t="n">
        <x:v>-1.7512290235417904</x:v>
      </x:c>
      <x:c r="I379" s="25" t="n">
        <x:v>2106.4196987200003</x:v>
      </x:c>
      <x:c r="J379" s="25" t="n">
        <x:v>18517.044698719998</x:v>
      </x:c>
      <x:c r="K379" s="25" t="n">
        <x:v>5.1987166653811085</x:v>
      </x:c>
      <x:c r="L379" s="25" t="n">
        <x:v>63.75</x:v>
      </x:c>
      <x:c r="M379" s="34" t="b">
        <x:v>0</x:v>
      </x:c>
      <x:c r="N379" s="25" t="n">
        <x:v>-28.808587439685226</x:v>
      </x:c>
    </x:row>
    <x:row r="380">
      <x:c r="A380" s="25" t="n">
        <x:v>10</x:v>
      </x:c>
      <x:c r="B380" s="25" t="n">
        <x:v>2</x:v>
      </x:c>
      <x:c r="C380" s="25" t="n">
        <x:v>1.5</x:v>
      </x:c>
      <x:c r="D380" s="25" t="n">
        <x:v>30</x:v>
      </x:c>
      <x:c r="E380" s="25" t="str">
        <x:v>Équilibré</x:v>
      </x:c>
      <x:c r="F380" s="25" t="n">
        <x:v>1.2</x:v>
      </x:c>
      <x:c r="G380" s="25" t="n">
        <x:v>0.011319997259028715</x:v>
      </x:c>
      <x:c r="H380" s="25" t="n">
        <x:v>-1.7486894082522384</x:v>
      </x:c>
      <x:c r="I380" s="25" t="n">
        <x:v>627.1137660736005</x:v>
      </x:c>
      <x:c r="J380" s="25" t="n">
        <x:v>17037.73876607359</x:v>
      </x:c>
      <x:c r="K380" s="25" t="n">
        <x:v>6.238459998457328</x:v>
      </x:c>
      <x:c r="L380" s="25" t="n">
        <x:v>71.25</x:v>
      </x:c>
      <x:c r="M380" s="34" t="b">
        <x:v>0</x:v>
      </x:c>
      <x:c r="N380" s="25" t="n">
        <x:v>-28.84463535705938</x:v>
      </x:c>
    </x:row>
    <x:row r="381">
      <x:c r="A381" s="25" t="n">
        <x:v>6</x:v>
      </x:c>
      <x:c r="B381" s="25" t="n">
        <x:v>4</x:v>
      </x:c>
      <x:c r="C381" s="25" t="n">
        <x:v>1.5</x:v>
      </x:c>
      <x:c r="D381" s="25" t="n">
        <x:v>30</x:v>
      </x:c>
      <x:c r="E381" s="25" t="str">
        <x:v>Équilibré</x:v>
      </x:c>
      <x:c r="F381" s="25" t="n">
        <x:v>1</x:v>
      </x:c>
      <x:c r="G381" s="25" t="n">
        <x:v>-0.000052407120171925154</x:v>
      </x:c>
      <x:c r="H381" s="25" t="n">
        <x:v>-1.7488849394873847</x:v>
      </x:c>
      <x:c r="I381" s="25" t="n">
        <x:v>-2.604041043201294</x:v>
      </x:c>
      <x:c r="J381" s="25" t="n">
        <x:v>16408.020958956793</x:v>
      </x:c>
      <x:c r="K381" s="25" t="n">
        <x:v>5.1987166653811085</x:v>
      </x:c>
      <x:c r="L381" s="25" t="n">
        <x:v>74.25</x:v>
      </x:c>
      <x:c r="M381" s="34" t="b">
        <x:v>0</x:v>
      </x:c>
      <x:c r="N381" s="25" t="n">
        <x:v>-28.87500587879407</x:v>
      </x:c>
    </x:row>
    <x:row r="382">
      <x:c r="A382" s="25" t="n">
        <x:v>10</x:v>
      </x:c>
      <x:c r="B382" s="25" t="n">
        <x:v>2</x:v>
      </x:c>
      <x:c r="C382" s="25" t="n">
        <x:v>2</x:v>
      </x:c>
      <x:c r="D382" s="25" t="n">
        <x:v>40</x:v>
      </x:c>
      <x:c r="E382" s="25" t="str">
        <x:v>Conservateur</x:v>
      </x:c>
      <x:c r="F382" s="25" t="n">
        <x:v>1</x:v>
      </x:c>
      <x:c r="G382" s="25" t="n">
        <x:v>0.03402724867089843</x:v>
      </x:c>
      <x:c r="H382" s="25" t="n">
        <x:v>-1.768007266963944</x:v>
      </x:c>
      <x:c r="I382" s="25" t="n">
        <x:v>1821.7816435302364</x:v>
      </x:c>
      <x:c r="J382" s="25" t="n">
        <x:v>18232.40664353023</x:v>
      </x:c>
      <x:c r="K382" s="25" t="n">
        <x:v>5.1987166653811085</x:v>
      </x:c>
      <x:c r="L382" s="25" t="n">
        <x:v>67.25</x:v>
      </x:c>
      <x:c r="M382" s="34" t="b">
        <x:v>0</x:v>
      </x:c>
      <x:c r="N382" s="25" t="n">
        <x:v>-28.878682997199185</x:v>
      </x:c>
    </x:row>
    <x:row r="383">
      <x:c r="A383" s="25" t="n">
        <x:v>10</x:v>
      </x:c>
      <x:c r="B383" s="25" t="n">
        <x:v>4</x:v>
      </x:c>
      <x:c r="C383" s="25" t="n">
        <x:v>2</x:v>
      </x:c>
      <x:c r="D383" s="25" t="n">
        <x:v>30</x:v>
      </x:c>
      <x:c r="E383" s="25" t="str">
        <x:v>Agressif</x:v>
      </x:c>
      <x:c r="F383" s="25" t="n">
        <x:v>1.2</x:v>
      </x:c>
      <x:c r="G383" s="25" t="n">
        <x:v>0.04403485978416979</x:v>
      </x:c>
      <x:c r="H383" s="25" t="n">
        <x:v>-1.7586217549223184</x:v>
      </x:c>
      <x:c r="I383" s="25" t="n">
        <x:v>2282.8639797205756</x:v>
      </x:c>
      <x:c r="J383" s="25" t="n">
        <x:v>18693.488979720565</x:v>
      </x:c>
      <x:c r="K383" s="25" t="n">
        <x:v>6.238459998457328</x:v>
      </x:c>
      <x:c r="L383" s="25" t="n">
        <x:v>63.25</x:v>
      </x:c>
      <x:c r="M383" s="34" t="b">
        <x:v>0</x:v>
      </x:c>
      <x:c r="N383" s="25" t="n">
        <x:v>-28.893626584928626</x:v>
      </x:c>
    </x:row>
    <x:row r="384">
      <x:c r="A384" s="25" t="n">
        <x:v>10</x:v>
      </x:c>
      <x:c r="B384" s="25" t="n">
        <x:v>3</x:v>
      </x:c>
      <x:c r="C384" s="25" t="n">
        <x:v>2</x:v>
      </x:c>
      <x:c r="D384" s="25" t="n">
        <x:v>35</x:v>
      </x:c>
      <x:c r="E384" s="25" t="str">
        <x:v>Équilibré</x:v>
      </x:c>
      <x:c r="F384" s="25" t="n">
        <x:v>1.2</x:v>
      </x:c>
      <x:c r="G384" s="25" t="n">
        <x:v>0.04040251179744615</x:v>
      </x:c>
      <x:c r="H384" s="25" t="n">
        <x:v>-1.7795444080704932</x:v>
      </x:c>
      <x:c r="I384" s="25" t="n">
        <x:v>2106.4196987200003</x:v>
      </x:c>
      <x:c r="J384" s="25" t="n">
        <x:v>18517.044698719998</x:v>
      </x:c>
      <x:c r="K384" s="25" t="n">
        <x:v>6.238459998457328</x:v>
      </x:c>
      <x:c r="L384" s="25" t="n">
        <x:v>66.75</x:v>
      </x:c>
      <x:c r="M384" s="34" t="b">
        <x:v>0</x:v>
      </x:c>
      <x:c r="N384" s="25" t="n">
        <x:v>-28.91647205290279</x:v>
      </x:c>
    </x:row>
    <x:row r="385">
      <x:c r="A385" s="25" t="n">
        <x:v>6</x:v>
      </x:c>
      <x:c r="B385" s="25" t="n">
        <x:v>4</x:v>
      </x:c>
      <x:c r="C385" s="25" t="n">
        <x:v>1.5</x:v>
      </x:c>
      <x:c r="D385" s="25" t="n">
        <x:v>30</x:v>
      </x:c>
      <x:c r="E385" s="25" t="str">
        <x:v>Équilibré</x:v>
      </x:c>
      <x:c r="F385" s="25" t="n">
        <x:v>1.2</x:v>
      </x:c>
      <x:c r="G385" s="25" t="n">
        <x:v>-0.000052407120171925154</x:v>
      </x:c>
      <x:c r="H385" s="25" t="n">
        <x:v>-1.7747407704656502</x:v>
      </x:c>
      <x:c r="I385" s="25" t="n">
        <x:v>-2.604041043201294</x:v>
      </x:c>
      <x:c r="J385" s="25" t="n">
        <x:v>16408.020958956793</x:v>
      </x:c>
      <x:c r="K385" s="25" t="n">
        <x:v>6.238459998457328</x:v>
      </x:c>
      <x:c r="L385" s="25" t="n">
        <x:v>77.25</x:v>
      </x:c>
      <x:c r="M385" s="34" t="b">
        <x:v>0</x:v>
      </x:c>
      <x:c r="N385" s="25" t="n">
        <x:v>-28.921401653250705</x:v>
      </x:c>
    </x:row>
    <x:row r="386">
      <x:c r="A386" s="25" t="n">
        <x:v>10</x:v>
      </x:c>
      <x:c r="B386" s="25" t="n">
        <x:v>2</x:v>
      </x:c>
      <x:c r="C386" s="25" t="n">
        <x:v>2</x:v>
      </x:c>
      <x:c r="D386" s="25" t="n">
        <x:v>40</x:v>
      </x:c>
      <x:c r="E386" s="25" t="str">
        <x:v>Conservateur</x:v>
      </x:c>
      <x:c r="F386" s="25" t="n">
        <x:v>1.2</x:v>
      </x:c>
      <x:c r="G386" s="25" t="n">
        <x:v>0.03402724867089843</x:v>
      </x:c>
      <x:c r="H386" s="25" t="n">
        <x:v>-1.7967221975022318</x:v>
      </x:c>
      <x:c r="I386" s="25" t="n">
        <x:v>1821.7816435302364</x:v>
      </x:c>
      <x:c r="J386" s="25" t="n">
        <x:v>18232.40664353023</x:v>
      </x:c>
      <x:c r="K386" s="25" t="n">
        <x:v>6.238459998457328</x:v>
      </x:c>
      <x:c r="L386" s="25" t="n">
        <x:v>70.25</x:v>
      </x:c>
      <x:c r="M386" s="34" t="b">
        <x:v>0</x:v>
      </x:c>
      <x:c r="N386" s="25" t="n">
        <x:v>-28.99655626065638</x:v>
      </x:c>
    </x:row>
    <x:row r="387">
      <x:c r="A387" s="25" t="n">
        <x:v>10</x:v>
      </x:c>
      <x:c r="B387" s="25" t="n">
        <x:v>4</x:v>
      </x:c>
      <x:c r="C387" s="25" t="n">
        <x:v>1.5</x:v>
      </x:c>
      <x:c r="D387" s="25" t="n">
        <x:v>35</x:v>
      </x:c>
      <x:c r="E387" s="25" t="str">
        <x:v>Équilibré</x:v>
      </x:c>
      <x:c r="F387" s="25" t="n">
        <x:v>0.8</x:v>
      </x:c>
      <x:c r="G387" s="25" t="n">
        <x:v>0.011187818846494753</x:v>
      </x:c>
      <x:c r="H387" s="25" t="n">
        <x:v>-1.6563474219840384</x:v>
      </x:c>
      <x:c r="I387" s="25" t="n">
        <x:v>555.9080400639974</x:v>
      </x:c>
      <x:c r="J387" s="25" t="n">
        <x:v>16966.533040063994</x:v>
      </x:c>
      <x:c r="K387" s="25" t="n">
        <x:v>4.158973332304886</x:v>
      </x:c>
      <x:c r="L387" s="25" t="n">
        <x:v>58.75</x:v>
      </x:c>
      <x:c r="M387" s="34" t="b">
        <x:v>0</x:v>
      </x:c>
      <x:c r="N387" s="25" t="n">
        <x:v>-29.04335551304375</x:v>
      </x:c>
    </x:row>
    <x:row r="388">
      <x:c r="A388" s="25" t="n">
        <x:v>6</x:v>
      </x:c>
      <x:c r="B388" s="25" t="n">
        <x:v>3</x:v>
      </x:c>
      <x:c r="C388" s="25" t="n">
        <x:v>1.5</x:v>
      </x:c>
      <x:c r="D388" s="25" t="n">
        <x:v>30</x:v>
      </x:c>
      <x:c r="E388" s="25" t="str">
        <x:v>Équilibré</x:v>
      </x:c>
      <x:c r="F388" s="25" t="n">
        <x:v>0.8</x:v>
      </x:c>
      <x:c r="G388" s="25" t="n">
        <x:v>-0.01011584536739201</x:v>
      </x:c>
      <x:c r="H388" s="25" t="n">
        <x:v>-1.7504703278355052</x:v>
      </x:c>
      <x:c r="I388" s="25" t="n">
        <x:v>-527.3982978559982</x:v>
      </x:c>
      <x:c r="J388" s="25" t="n">
        <x:v>15883.226702143998</x:v>
      </x:c>
      <x:c r="K388" s="25" t="n">
        <x:v>4.158973332304886</x:v>
      </x:c>
      <x:c r="L388" s="25" t="n">
        <x:v>76.25</x:v>
      </x:c>
      <x:c r="M388" s="34" t="b">
        <x:v>0</x:v>
      </x:c>
      <x:c r="N388" s="25" t="n">
        <x:v>-29.068129691094192</x:v>
      </x:c>
    </x:row>
    <x:row r="389">
      <x:c r="A389" s="25" t="n">
        <x:v>10</x:v>
      </x:c>
      <x:c r="B389" s="25" t="n">
        <x:v>3</x:v>
      </x:c>
      <x:c r="C389" s="25" t="n">
        <x:v>1.5</x:v>
      </x:c>
      <x:c r="D389" s="25" t="n">
        <x:v>40</x:v>
      </x:c>
      <x:c r="E389" s="25" t="str">
        <x:v>Conservateur</x:v>
      </x:c>
      <x:c r="F389" s="25" t="n">
        <x:v>0.8</x:v>
      </x:c>
      <x:c r="G389" s="25" t="n">
        <x:v>0.006989863666163539</x:v>
      </x:c>
      <x:c r="H389" s="25" t="n">
        <x:v>-1.6813139084215407</x:v>
      </x:c>
      <x:c r="I389" s="25" t="n">
        <x:v>354.15931432959724</x:v>
      </x:c>
      <x:c r="J389" s="25" t="n">
        <x:v>16764.78431432959</x:v>
      </x:c>
      <x:c r="K389" s="25" t="n">
        <x:v>4.158973332304886</x:v>
      </x:c>
      <x:c r="L389" s="25" t="n">
        <x:v>62.25</x:v>
      </x:c>
      <x:c r="M389" s="34" t="b">
        <x:v>0</x:v>
      </x:c>
      <x:c r="N389" s="25" t="n">
        <x:v>-29.198405208899523</x:v>
      </x:c>
    </x:row>
    <x:row r="390">
      <x:c r="A390" s="25" t="n">
        <x:v>8</x:v>
      </x:c>
      <x:c r="B390" s="25" t="n">
        <x:v>4</x:v>
      </x:c>
      <x:c r="C390" s="25" t="n">
        <x:v>2</x:v>
      </x:c>
      <x:c r="D390" s="25" t="n">
        <x:v>30</x:v>
      </x:c>
      <x:c r="E390" s="25" t="str">
        <x:v>Agressif</x:v>
      </x:c>
      <x:c r="F390" s="25" t="n">
        <x:v>0.8</x:v>
      </x:c>
      <x:c r="G390" s="25" t="n">
        <x:v>0.026412892070173367</x:v>
      </x:c>
      <x:c r="H390" s="25" t="n">
        <x:v>-1.7485479526893548</x:v>
      </x:c>
      <x:c r="I390" s="25" t="n">
        <x:v>1369.3024163760902</x:v>
      </x:c>
      <x:c r="J390" s="25" t="n">
        <x:v>17779.927416376082</x:v>
      </x:c>
      <x:c r="K390" s="25" t="n">
        <x:v>4.158973332304886</x:v>
      </x:c>
      <x:c r="L390" s="25" t="n">
        <x:v>65.25</x:v>
      </x:c>
      <x:c r="M390" s="34" t="b">
        <x:v>0</x:v>
      </x:c>
      <x:c r="N390" s="25" t="n">
        <x:v>-29.21098975337433</x:v>
      </x:c>
    </x:row>
    <x:row r="391">
      <x:c r="A391" s="25" t="n">
        <x:v>10</x:v>
      </x:c>
      <x:c r="B391" s="25" t="n">
        <x:v>4</x:v>
      </x:c>
      <x:c r="C391" s="25" t="n">
        <x:v>2</x:v>
      </x:c>
      <x:c r="D391" s="25" t="n">
        <x:v>40</x:v>
      </x:c>
      <x:c r="E391" s="25" t="str">
        <x:v>Équilibré</x:v>
      </x:c>
      <x:c r="F391" s="25" t="n">
        <x:v>0.8</x:v>
      </x:c>
      <x:c r="G391" s="25" t="n">
        <x:v>0.030500996399019435</x:v>
      </x:c>
      <x:c r="H391" s="25" t="n">
        <x:v>-1.718818708661102</x:v>
      </x:c>
      <x:c r="I391" s="25" t="n">
        <x:v>1515.5544937599996</x:v>
      </x:c>
      <x:c r="J391" s="25" t="n">
        <x:v>17926.17949375999</x:v>
      </x:c>
      <x:c r="K391" s="25" t="n">
        <x:v>4.158973332304886</x:v>
      </x:c>
      <x:c r="L391" s="25" t="n">
        <x:v>59.25</x:v>
      </x:c>
      <x:c r="M391" s="34" t="b">
        <x:v>0</x:v>
      </x:c>
      <x:c r="N391" s="25" t="n">
        <x:v>-29.442912914581484</x:v>
      </x:c>
    </x:row>
    <x:row r="392">
      <x:c r="A392" s="25" t="n">
        <x:v>6</x:v>
      </x:c>
      <x:c r="B392" s="25" t="n">
        <x:v>2</x:v>
      </x:c>
      <x:c r="C392" s="25" t="n">
        <x:v>3</x:v>
      </x:c>
      <x:c r="D392" s="25" t="n">
        <x:v>40</x:v>
      </x:c>
      <x:c r="E392" s="25" t="str">
        <x:v>Équilibré</x:v>
      </x:c>
      <x:c r="F392" s="25" t="n">
        <x:v>1</x:v>
      </x:c>
      <x:c r="G392" s="25" t="n">
        <x:v>0.07994185728502638</x:v>
      </x:c>
      <x:c r="H392" s="25" t="n">
        <x:v>-2.0155375949317422</x:v>
      </x:c>
      <x:c r="I392" s="25" t="n">
        <x:v>4428.679445919998</x:v>
      </x:c>
      <x:c r="J392" s="25" t="n">
        <x:v>20839.304445919995</x:v>
      </x:c>
      <x:c r="K392" s="25" t="n">
        <x:v>5.1987166653811085</x:v>
      </x:c>
      <x:c r="L392" s="25" t="n">
        <x:v>82.25</x:v>
      </x:c>
      <x:c r="M392" s="34" t="b">
        <x:v>0</x:v>
      </x:c>
      <x:c r="N392" s="25" t="n">
        <x:v>-29.541637722617107</x:v>
      </x:c>
    </x:row>
    <x:row r="393">
      <x:c r="A393" s="25" t="n">
        <x:v>10</x:v>
      </x:c>
      <x:c r="B393" s="25" t="n">
        <x:v>3</x:v>
      </x:c>
      <x:c r="C393" s="25" t="n">
        <x:v>2</x:v>
      </x:c>
      <x:c r="D393" s="25" t="n">
        <x:v>30</x:v>
      </x:c>
      <x:c r="E393" s="25" t="str">
        <x:v>Agressif</x:v>
      </x:c>
      <x:c r="F393" s="25" t="n">
        <x:v>0.8</x:v>
      </x:c>
      <x:c r="G393" s="25" t="n">
        <x:v>0.03103262175432104</x:v>
      </x:c>
      <x:c r="H393" s="25" t="n">
        <x:v>-1.7528511167207552</x:v>
      </x:c>
      <x:c r="I393" s="25" t="n">
        <x:v>1701.4488025643775</x:v>
      </x:c>
      <x:c r="J393" s="25" t="n">
        <x:v>18112.07380256437</x:v>
      </x:c>
      <x:c r="K393" s="25" t="n">
        <x:v>4.158973332304886</x:v>
      </x:c>
      <x:c r="L393" s="25" t="n">
        <x:v>62.25</x:v>
      </x:c>
      <x:c r="M393" s="34" t="b">
        <x:v>0</x:v>
      </x:c>
      <x:c r="N393" s="25" t="n">
        <x:v>-29.66448372153122</x:v>
      </x:c>
    </x:row>
    <x:row r="394">
      <x:c r="A394" s="25" t="n">
        <x:v>8</x:v>
      </x:c>
      <x:c r="B394" s="25" t="n">
        <x:v>3</x:v>
      </x:c>
      <x:c r="C394" s="25" t="n">
        <x:v>3</x:v>
      </x:c>
      <x:c r="D394" s="25" t="n">
        <x:v>35</x:v>
      </x:c>
      <x:c r="E394" s="25" t="str">
        <x:v>Agressif</x:v>
      </x:c>
      <x:c r="F394" s="25" t="n">
        <x:v>1</x:v>
      </x:c>
      <x:c r="G394" s="25" t="n">
        <x:v>0.09377626654216671</x:v>
      </x:c>
      <x:c r="H394" s="25" t="n">
        <x:v>-1.959967591695005</x:v>
      </x:c>
      <x:c r="I394" s="25" t="n">
        <x:v>5141.541622886266</x:v>
      </x:c>
      <x:c r="J394" s="25" t="n">
        <x:v>21552.166622886263</x:v>
      </x:c>
      <x:c r="K394" s="25" t="n">
        <x:v>5.1987166653811085</x:v>
      </x:c>
      <x:c r="L394" s="25" t="n">
        <x:v>70.75</x:v>
      </x:c>
      <x:c r="M394" s="34" t="b">
        <x:v>0</x:v>
      </x:c>
      <x:c r="N394" s="25" t="n">
        <x:v>-29.691495132555957</x:v>
      </x:c>
    </x:row>
    <x:row r="395">
      <x:c r="A395" s="25" t="n">
        <x:v>10</x:v>
      </x:c>
      <x:c r="B395" s="25" t="n">
        <x:v>2</x:v>
      </x:c>
      <x:c r="C395" s="25" t="n">
        <x:v>2</x:v>
      </x:c>
      <x:c r="D395" s="25" t="n">
        <x:v>35</x:v>
      </x:c>
      <x:c r="E395" s="25" t="str">
        <x:v>Équilibré</x:v>
      </x:c>
      <x:c r="F395" s="25" t="n">
        <x:v>0.8</x:v>
      </x:c>
      <x:c r="G395" s="25" t="n">
        <x:v>0.02359018802458308</x:v>
      </x:c>
      <x:c r="H395" s="25" t="n">
        <x:v>-1.7678821479487907</x:v>
      </x:c>
      <x:c r="I395" s="25" t="n">
        <x:v>1306.8670703679998</x:v>
      </x:c>
      <x:c r="J395" s="25" t="n">
        <x:v>17717.492070367996</x:v>
      </x:c>
      <x:c r="K395" s="25" t="n">
        <x:v>4.158973332304886</x:v>
      </x:c>
      <x:c r="L395" s="25" t="n">
        <x:v>65.75</x:v>
      </x:c>
      <x:c r="M395" s="34" t="b">
        <x:v>0</x:v>
      </x:c>
      <x:c r="N395" s="25" t="n">
        <x:v>-29.7495933573677</x:v>
      </x:c>
    </x:row>
    <x:row r="396">
      <x:c r="A396" s="25" t="n">
        <x:v>6</x:v>
      </x:c>
      <x:c r="B396" s="25" t="n">
        <x:v>4</x:v>
      </x:c>
      <x:c r="C396" s="25" t="n">
        <x:v>2</x:v>
      </x:c>
      <x:c r="D396" s="25" t="n">
        <x:v>35</x:v>
      </x:c>
      <x:c r="E396" s="25" t="str">
        <x:v>Équilibré</x:v>
      </x:c>
      <x:c r="F396" s="25" t="n">
        <x:v>0.8</x:v>
      </x:c>
      <x:c r="G396" s="25" t="n">
        <x:v>0.011900354760504024</x:v>
      </x:c>
      <x:c r="H396" s="25" t="n">
        <x:v>-1.7922693269534535</x:v>
      </x:c>
      <x:c r="I396" s="25" t="n">
        <x:v>591.3130147839989</x:v>
      </x:c>
      <x:c r="J396" s="25" t="n">
        <x:v>17001.938014783995</x:v>
      </x:c>
      <x:c r="K396" s="25" t="n">
        <x:v>4.158973332304886</x:v>
      </x:c>
      <x:c r="L396" s="25" t="n">
        <x:v>71.75</x:v>
      </x:c>
      <x:c r="M396" s="34" t="b">
        <x:v>0</x:v>
      </x:c>
      <x:c r="N396" s="25" t="n">
        <x:v>-29.80221366200861</x:v>
      </x:c>
    </x:row>
    <x:row r="397">
      <x:c r="A397" s="25" t="n">
        <x:v>6</x:v>
      </x:c>
      <x:c r="B397" s="25" t="n">
        <x:v>2</x:v>
      </x:c>
      <x:c r="C397" s="25" t="n">
        <x:v>3</x:v>
      </x:c>
      <x:c r="D397" s="25" t="n">
        <x:v>40</x:v>
      </x:c>
      <x:c r="E397" s="25" t="str">
        <x:v>Équilibré</x:v>
      </x:c>
      <x:c r="F397" s="25" t="n">
        <x:v>1.2</x:v>
      </x:c>
      <x:c r="G397" s="25" t="n">
        <x:v>0.07994185728502638</x:v>
      </x:c>
      <x:c r="H397" s="25" t="n">
        <x:v>-2.0531340263879843</x:v>
      </x:c>
      <x:c r="I397" s="25" t="n">
        <x:v>4428.679445919998</x:v>
      </x:c>
      <x:c r="J397" s="25" t="n">
        <x:v>20839.304445919995</x:v>
      </x:c>
      <x:c r="K397" s="25" t="n">
        <x:v>6.238459998457328</x:v>
      </x:c>
      <x:c r="L397" s="25" t="n">
        <x:v>85.25</x:v>
      </x:c>
      <x:c r="M397" s="34" t="b">
        <x:v>0</x:v>
      </x:c>
      <x:c r="N397" s="25" t="n">
        <x:v>-29.88154850902316</x:v>
      </x:c>
    </x:row>
    <x:row r="398">
      <x:c r="A398" s="25" t="n">
        <x:v>8</x:v>
      </x:c>
      <x:c r="B398" s="25" t="n">
        <x:v>2</x:v>
      </x:c>
      <x:c r="C398" s="25" t="n">
        <x:v>1.5</x:v>
      </x:c>
      <x:c r="D398" s="25" t="n">
        <x:v>35</x:v>
      </x:c>
      <x:c r="E398" s="25" t="str">
        <x:v>Conservateur</x:v>
      </x:c>
      <x:c r="F398" s="25" t="n">
        <x:v>1</x:v>
      </x:c>
      <x:c r="G398" s="25" t="n">
        <x:v>-0.005897847679020532</x:v>
      </x:c>
      <x:c r="H398" s="25" t="n">
        <x:v>-1.781176742153412</x:v>
      </x:c>
      <x:c r="I398" s="25" t="n">
        <x:v>-315.764308242948</x:v>
      </x:c>
      <x:c r="J398" s="25" t="n">
        <x:v>16094.860691757047</x:v>
      </x:c>
      <x:c r="K398" s="25" t="n">
        <x:v>5.1987166653811085</x:v>
      </x:c>
      <x:c r="L398" s="25" t="n">
        <x:v>74.75</x:v>
      </x:c>
      <x:c r="M398" s="34" t="b">
        <x:v>0</x:v>
      </x:c>
      <x:c r="N398" s="25" t="n">
        <x:v>-29.903800176181427</x:v>
      </x:c>
    </x:row>
    <x:row r="399">
      <x:c r="A399" s="25" t="n">
        <x:v>8</x:v>
      </x:c>
      <x:c r="B399" s="25" t="n">
        <x:v>2</x:v>
      </x:c>
      <x:c r="C399" s="25" t="n">
        <x:v>1.5</x:v>
      </x:c>
      <x:c r="D399" s="25" t="n">
        <x:v>35</x:v>
      </x:c>
      <x:c r="E399" s="25" t="str">
        <x:v>Conservateur</x:v>
      </x:c>
      <x:c r="F399" s="25" t="n">
        <x:v>1.2</x:v>
      </x:c>
      <x:c r="G399" s="25" t="n">
        <x:v>-0.005897847679020532</x:v>
      </x:c>
      <x:c r="H399" s="25" t="n">
        <x:v>-1.8081187488808803</x:v>
      </x:c>
      <x:c r="I399" s="25" t="n">
        <x:v>-315.764308242948</x:v>
      </x:c>
      <x:c r="J399" s="25" t="n">
        <x:v>16094.860691757047</x:v>
      </x:c>
      <x:c r="K399" s="25" t="n">
        <x:v>6.238459998457328</x:v>
      </x:c>
      <x:c r="L399" s="25" t="n">
        <x:v>77.75</x:v>
      </x:c>
      <x:c r="M399" s="34" t="b">
        <x:v>0</x:v>
      </x:c>
      <x:c r="N399" s="25" t="n">
        <x:v>-29.977350344368137</x:v>
      </x:c>
    </x:row>
    <x:row r="400">
      <x:c r="A400" s="25" t="n">
        <x:v>8</x:v>
      </x:c>
      <x:c r="B400" s="25" t="n">
        <x:v>3</x:v>
      </x:c>
      <x:c r="C400" s="25" t="n">
        <x:v>3</x:v>
      </x:c>
      <x:c r="D400" s="25" t="n">
        <x:v>35</x:v>
      </x:c>
      <x:c r="E400" s="25" t="str">
        <x:v>Agressif</x:v>
      </x:c>
      <x:c r="F400" s="25" t="n">
        <x:v>1.2</x:v>
      </x:c>
      <x:c r="G400" s="25" t="n">
        <x:v>0.09377626654216671</x:v>
      </x:c>
      <x:c r="H400" s="25" t="n">
        <x:v>-1.9967067515497188</x:v>
      </x:c>
      <x:c r="I400" s="25" t="n">
        <x:v>5141.541622886266</x:v>
      </x:c>
      <x:c r="J400" s="25" t="n">
        <x:v>21552.166622886263</x:v>
      </x:c>
      <x:c r="K400" s="25" t="n">
        <x:v>6.238459998457328</x:v>
      </x:c>
      <x:c r="L400" s="25" t="n">
        <x:v>73.75</x:v>
      </x:c>
      <x:c r="M400" s="34" t="b">
        <x:v>0</x:v>
      </x:c>
      <x:c r="N400" s="25" t="n">
        <x:v>-30.0099741289238</x:v>
      </x:c>
    </x:row>
    <x:row r="401">
      <x:c r="A401" s="25" t="n">
        <x:v>8</x:v>
      </x:c>
      <x:c r="B401" s="25" t="n">
        <x:v>4</x:v>
      </x:c>
      <x:c r="C401" s="25" t="n">
        <x:v>1.5</x:v>
      </x:c>
      <x:c r="D401" s="25" t="n">
        <x:v>40</x:v>
      </x:c>
      <x:c r="E401" s="25" t="str">
        <x:v>Conservateur</x:v>
      </x:c>
      <x:c r="F401" s="25" t="n">
        <x:v>1</x:v>
      </x:c>
      <x:c r="G401" s="25" t="n">
        <x:v>-0.0016348931226066068</x:v>
      </x:c>
      <x:c r="H401" s="25" t="n">
        <x:v>-1.7499463866660432</x:v>
      </x:c>
      <x:c r="I401" s="25" t="n">
        <x:v>-79.3152792396804</x:v>
      </x:c>
      <x:c r="J401" s="25" t="n">
        <x:v>16331.309720760315</x:v>
      </x:c>
      <x:c r="K401" s="25" t="n">
        <x:v>5.1987166653811085</x:v>
      </x:c>
      <x:c r="L401" s="25" t="n">
        <x:v>68.25</x:v>
      </x:c>
      <x:c r="M401" s="34" t="b">
        <x:v>0</x:v>
      </x:c>
      <x:c r="N401" s="25" t="n">
        <x:v>-30.188578788394445</x:v>
      </x:c>
    </x:row>
    <x:row r="402">
      <x:c r="A402" s="25" t="n">
        <x:v>8</x:v>
      </x:c>
      <x:c r="B402" s="25" t="n">
        <x:v>4</x:v>
      </x:c>
      <x:c r="C402" s="25" t="n">
        <x:v>1.5</x:v>
      </x:c>
      <x:c r="D402" s="25" t="n">
        <x:v>40</x:v>
      </x:c>
      <x:c r="E402" s="25" t="str">
        <x:v>Conservateur</x:v>
      </x:c>
      <x:c r="F402" s="25" t="n">
        <x:v>1.2</x:v>
      </x:c>
      <x:c r="G402" s="25" t="n">
        <x:v>-0.0016348931226066068</x:v>
      </x:c>
      <x:c r="H402" s="25" t="n">
        <x:v>-1.7756968073278816</x:v>
      </x:c>
      <x:c r="I402" s="25" t="n">
        <x:v>-79.3152792396804</x:v>
      </x:c>
      <x:c r="J402" s="25" t="n">
        <x:v>16331.309720760315</x:v>
      </x:c>
      <x:c r="K402" s="25" t="n">
        <x:v>6.238459998457328</x:v>
      </x:c>
      <x:c r="L402" s="25" t="n">
        <x:v>71.25</x:v>
      </x:c>
      <x:c r="M402" s="34" t="b">
        <x:v>0</x:v>
      </x:c>
      <x:c r="N402" s="25" t="n">
        <x:v>-30.232339304940403</x:v>
      </x:c>
    </x:row>
    <x:row r="403">
      <x:c r="A403" s="25" t="n">
        <x:v>6</x:v>
      </x:c>
      <x:c r="B403" s="25" t="n">
        <x:v>3</x:v>
      </x:c>
      <x:c r="C403" s="25" t="n">
        <x:v>1.5</x:v>
      </x:c>
      <x:c r="D403" s="25" t="n">
        <x:v>35</x:v>
      </x:c>
      <x:c r="E403" s="25" t="str">
        <x:v>Conservateur</x:v>
      </x:c>
      <x:c r="F403" s="25" t="n">
        <x:v>1</x:v>
      </x:c>
      <x:c r="G403" s="25" t="n">
        <x:v>-0.012484026800758673</x:v>
      </x:c>
      <x:c r="H403" s="25" t="n">
        <x:v>-1.808233427620069</x:v>
      </x:c>
      <x:c r="I403" s="25" t="n">
        <x:v>-632.5351370201622</x:v>
      </x:c>
      <x:c r="J403" s="25" t="n">
        <x:v>15778.089862979832</x:v>
      </x:c>
      <x:c r="K403" s="25" t="n">
        <x:v>5.1987166653811085</x:v>
      </x:c>
      <x:c r="L403" s="25" t="n">
        <x:v>77.75</x:v>
      </x:c>
      <x:c r="M403" s="34" t="b">
        <x:v>0</x:v>
      </x:c>
      <x:c r="N403" s="25" t="n">
        <x:v>-30.34245716454345</x:v>
      </x:c>
    </x:row>
    <x:row r="404">
      <x:c r="A404" s="25" t="n">
        <x:v>10</x:v>
      </x:c>
      <x:c r="B404" s="25" t="n">
        <x:v>2</x:v>
      </x:c>
      <x:c r="C404" s="25" t="n">
        <x:v>3</x:v>
      </x:c>
      <x:c r="D404" s="25" t="n">
        <x:v>35</x:v>
      </x:c>
      <x:c r="E404" s="25" t="str">
        <x:v>Agressif</x:v>
      </x:c>
      <x:c r="F404" s="25" t="n">
        <x:v>1</x:v>
      </x:c>
      <x:c r="G404" s="25" t="n">
        <x:v>0.09616706955166353</x:v>
      </x:c>
      <x:c r="H404" s="25" t="n">
        <x:v>-1.970035929686117</x:v>
      </x:c>
      <x:c r="I404" s="25" t="n">
        <x:v>5655.439409495213</x:v>
      </x:c>
      <x:c r="J404" s="25" t="n">
        <x:v>22066.06440949521</x:v>
      </x:c>
      <x:c r="K404" s="25" t="n">
        <x:v>5.1987166653811085</x:v>
      </x:c>
      <x:c r="L404" s="25" t="n">
        <x:v>67.75</x:v>
      </x:c>
      <x:c r="M404" s="34" t="b">
        <x:v>0</x:v>
      </x:c>
      <x:c r="N404" s="25" t="n">
        <x:v>-30.41170941681143</x:v>
      </x:c>
    </x:row>
    <x:row r="405">
      <x:c r="A405" s="25" t="n">
        <x:v>6</x:v>
      </x:c>
      <x:c r="B405" s="25" t="n">
        <x:v>3</x:v>
      </x:c>
      <x:c r="C405" s="25" t="n">
        <x:v>1.5</x:v>
      </x:c>
      <x:c r="D405" s="25" t="n">
        <x:v>35</x:v>
      </x:c>
      <x:c r="E405" s="25" t="str">
        <x:v>Conservateur</x:v>
      </x:c>
      <x:c r="F405" s="25" t="n">
        <x:v>1.2</x:v>
      </x:c>
      <x:c r="G405" s="25" t="n">
        <x:v>-0.012484026800758673</x:v>
      </x:c>
      <x:c r="H405" s="25" t="n">
        <x:v>-1.8350743053022525</x:v>
      </x:c>
      <x:c r="I405" s="25" t="n">
        <x:v>-632.5351370201622</x:v>
      </x:c>
      <x:c r="J405" s="25" t="n">
        <x:v>15778.089862979832</x:v>
      </x:c>
      <x:c r="K405" s="25" t="n">
        <x:v>6.238459998457328</x:v>
      </x:c>
      <x:c r="L405" s="25" t="n">
        <x:v>80.75</x:v>
      </x:c>
      <x:c r="M405" s="34" t="b">
        <x:v>0</x:v>
      </x:c>
      <x:c r="N405" s="25" t="n">
        <x:v>-30.413479106598036</x:v>
      </x:c>
    </x:row>
    <x:row r="406">
      <x:c r="A406" s="25" t="n">
        <x:v>8</x:v>
      </x:c>
      <x:c r="B406" s="25" t="n">
        <x:v>4</x:v>
      </x:c>
      <x:c r="C406" s="25" t="n">
        <x:v>3</x:v>
      </x:c>
      <x:c r="D406" s="25" t="n">
        <x:v>40</x:v>
      </x:c>
      <x:c r="E406" s="25" t="str">
        <x:v>Agressif</x:v>
      </x:c>
      <x:c r="F406" s="25" t="n">
        <x:v>0.8</x:v>
      </x:c>
      <x:c r="G406" s="25" t="n">
        <x:v>0.08296526220609908</x:v>
      </x:c>
      <x:c r="H406" s="25" t="n">
        <x:v>-1.9299689583023976</x:v>
      </x:c>
      <x:c r="I406" s="25" t="n">
        <x:v>4301.10166324326</x:v>
      </x:c>
      <x:c r="J406" s="25" t="n">
        <x:v>20711.726663243255</x:v>
      </x:c>
      <x:c r="K406" s="25" t="n">
        <x:v>4.158973332304886</x:v>
      </x:c>
      <x:c r="L406" s="25" t="n">
        <x:v>66.25</x:v>
      </x:c>
      <x:c r="M406" s="34" t="b">
        <x:v>0</x:v>
      </x:c>
      <x:c r="N406" s="25" t="n">
        <x:v>-30.436134536224493</x:v>
      </x:c>
    </x:row>
    <x:row r="407">
      <x:c r="A407" s="25" t="n">
        <x:v>6</x:v>
      </x:c>
      <x:c r="B407" s="25" t="n">
        <x:v>3</x:v>
      </x:c>
      <x:c r="C407" s="25" t="n">
        <x:v>3</x:v>
      </x:c>
      <x:c r="D407" s="25" t="n">
        <x:v>35</x:v>
      </x:c>
      <x:c r="E407" s="25" t="str">
        <x:v>Agressif</x:v>
      </x:c>
      <x:c r="F407" s="25" t="n">
        <x:v>0.8</x:v>
      </x:c>
      <x:c r="G407" s="25" t="n">
        <x:v>0.07538682235911237</x:v>
      </x:c>
      <x:c r="H407" s="25" t="n">
        <x:v>-1.9905462253207706</x:v>
      </x:c>
      <x:c r="I407" s="25" t="n">
        <x:v>4133.289789290364</x:v>
      </x:c>
      <x:c r="J407" s="25" t="n">
        <x:v>20543.91478929036</x:v>
      </x:c>
      <x:c r="K407" s="25" t="n">
        <x:v>4.158973332304886</x:v>
      </x:c>
      <x:c r="L407" s="25" t="n">
        <x:v>75.75</x:v>
      </x:c>
      <x:c r="M407" s="34" t="b">
        <x:v>0</x:v>
      </x:c>
      <x:c r="N407" s="25" t="n">
        <x:v>-30.467380403268088</x:v>
      </x:c>
    </x:row>
    <x:row r="408">
      <x:c r="A408" s="25" t="n">
        <x:v>8</x:v>
      </x:c>
      <x:c r="B408" s="25" t="n">
        <x:v>2</x:v>
      </x:c>
      <x:c r="C408" s="25" t="n">
        <x:v>2</x:v>
      </x:c>
      <x:c r="D408" s="25" t="n">
        <x:v>40</x:v>
      </x:c>
      <x:c r="E408" s="25" t="str">
        <x:v>Conservateur</x:v>
      </x:c>
      <x:c r="F408" s="25" t="n">
        <x:v>1</x:v>
      </x:c>
      <x:c r="G408" s="25" t="n">
        <x:v>0.012733495572418976</x:v>
      </x:c>
      <x:c r="H408" s="25" t="n">
        <x:v>-1.8585039118410955</x:v>
      </x:c>
      <x:c r="I408" s="25" t="n">
        <x:v>681.7374133350387</x:v>
      </x:c>
      <x:c r="J408" s="25" t="n">
        <x:v>17092.36241333503</x:v>
      </x:c>
      <x:c r="K408" s="25" t="n">
        <x:v>5.1987166653811085</x:v>
      </x:c>
      <x:c r="L408" s="25" t="n">
        <x:v>75.25</x:v>
      </x:c>
      <x:c r="M408" s="34" t="b">
        <x:v>0</x:v>
      </x:c>
      <x:c r="N408" s="25" t="n">
        <x:v>-30.71225553954434</x:v>
      </x:c>
    </x:row>
    <x:row r="409">
      <x:c r="A409" s="25" t="n">
        <x:v>6</x:v>
      </x:c>
      <x:c r="B409" s="25" t="n">
        <x:v>2</x:v>
      </x:c>
      <x:c r="C409" s="25" t="n">
        <x:v>1.5</x:v>
      </x:c>
      <x:c r="D409" s="25" t="n">
        <x:v>35</x:v>
      </x:c>
      <x:c r="E409" s="25" t="str">
        <x:v>Conservateur</x:v>
      </x:c>
      <x:c r="F409" s="25" t="n">
        <x:v>0.8</x:v>
      </x:c>
      <x:c r="G409" s="25" t="n">
        <x:v>-0.026975009482798077</x:v>
      </x:c>
      <x:c r="H409" s="25" t="n">
        <x:v>-1.807577805778294</x:v>
      </x:c>
      <x:c r="I409" s="25" t="n">
        <x:v>-1444.2124776266276</x:v>
      </x:c>
      <x:c r="J409" s="25" t="n">
        <x:v>14966.412522373368</x:v>
      </x:c>
      <x:c r="K409" s="25" t="n">
        <x:v>4.158973332304886</x:v>
      </x:c>
      <x:c r="L409" s="25" t="n">
        <x:v>79.75</x:v>
      </x:c>
      <x:c r="M409" s="34" t="b">
        <x:v>0</x:v>
      </x:c>
      <x:c r="N409" s="25" t="n">
        <x:v>-30.723070666011246</x:v>
      </x:c>
    </x:row>
    <x:row r="410">
      <x:c r="A410" s="25" t="n">
        <x:v>8</x:v>
      </x:c>
      <x:c r="B410" s="25" t="n">
        <x:v>2</x:v>
      </x:c>
      <x:c r="C410" s="25" t="n">
        <x:v>1.5</x:v>
      </x:c>
      <x:c r="D410" s="25" t="n">
        <x:v>30</x:v>
      </x:c>
      <x:c r="E410" s="25" t="str">
        <x:v>Équilibré</x:v>
      </x:c>
      <x:c r="F410" s="25" t="n">
        <x:v>1</x:v>
      </x:c>
      <x:c r="G410" s="25" t="n">
        <x:v>-0.011935329819579368</x:v>
      </x:c>
      <x:c r="H410" s="25" t="n">
        <x:v>-1.813301514688462</x:v>
      </x:c>
      <x:c r="I410" s="25" t="n">
        <x:v>-661.2024244544012</x:v>
      </x:c>
      <x:c r="J410" s="25" t="n">
        <x:v>15749.422575545592</x:v>
      </x:c>
      <x:c r="K410" s="25" t="n">
        <x:v>5.1987166653811085</x:v>
      </x:c>
      <x:c r="L410" s="25" t="n">
        <x:v>76.25</x:v>
      </x:c>
      <x:c r="M410" s="34" t="b">
        <x:v>0</x:v>
      </x:c>
      <x:c r="N410" s="25" t="n">
        <x:v>-30.738981007288416</x:v>
      </x:c>
    </x:row>
    <x:row r="411">
      <x:c r="A411" s="25" t="n">
        <x:v>10</x:v>
      </x:c>
      <x:c r="B411" s="25" t="n">
        <x:v>2</x:v>
      </x:c>
      <x:c r="C411" s="25" t="n">
        <x:v>3</x:v>
      </x:c>
      <x:c r="D411" s="25" t="n">
        <x:v>35</x:v>
      </x:c>
      <x:c r="E411" s="25" t="str">
        <x:v>Agressif</x:v>
      </x:c>
      <x:c r="F411" s="25" t="n">
        <x:v>1.2</x:v>
      </x:c>
      <x:c r="G411" s="25" t="n">
        <x:v>0.09616706955166353</x:v>
      </x:c>
      <x:c r="H411" s="25" t="n">
        <x:v>-2.007503916939185</x:v>
      </x:c>
      <x:c r="I411" s="25" t="n">
        <x:v>5655.439409495213</x:v>
      </x:c>
      <x:c r="J411" s="25" t="n">
        <x:v>22066.06440949521</x:v>
      </x:c>
      <x:c r="K411" s="25" t="n">
        <x:v>6.238459998457328</x:v>
      </x:c>
      <x:c r="L411" s="25" t="n">
        <x:v>70.75</x:v>
      </x:c>
      <x:c r="M411" s="34" t="b">
        <x:v>0</x:v>
      </x:c>
      <x:c r="N411" s="25" t="n">
        <x:v>-30.748409098138133</x:v>
      </x:c>
    </x:row>
    <x:row r="412">
      <x:c r="A412" s="25" t="n">
        <x:v>10</x:v>
      </x:c>
      <x:c r="B412" s="25" t="n">
        <x:v>4</x:v>
      </x:c>
      <x:c r="C412" s="25" t="n">
        <x:v>3</x:v>
      </x:c>
      <x:c r="D412" s="25" t="n">
        <x:v>40</x:v>
      </x:c>
      <x:c r="E412" s="25" t="str">
        <x:v>Agressif</x:v>
      </x:c>
      <x:c r="F412" s="25" t="n">
        <x:v>1</x:v>
      </x:c>
      <x:c r="G412" s="25" t="n">
        <x:v>0.09454397649375776</x:v>
      </x:c>
      <x:c r="H412" s="25" t="n">
        <x:v>-1.9293915112783515</x:v>
      </x:c>
      <x:c r="I412" s="25" t="n">
        <x:v>4901.3676776765415</x:v>
      </x:c>
      <x:c r="J412" s="25" t="n">
        <x:v>21311.99267767654</x:v>
      </x:c>
      <x:c r="K412" s="25" t="n">
        <x:v>5.1987166653811085</x:v>
      </x:c>
      <x:c r="L412" s="25" t="n">
        <x:v>61.25</x:v>
      </x:c>
      <x:c r="M412" s="34" t="b">
        <x:v>0</x:v>
      </x:c>
      <x:c r="N412" s="25" t="n">
        <x:v>-30.78486907480211</x:v>
      </x:c>
    </x:row>
    <x:row r="413">
      <x:c r="A413" s="25" t="n">
        <x:v>8</x:v>
      </x:c>
      <x:c r="B413" s="25" t="n">
        <x:v>2</x:v>
      </x:c>
      <x:c r="C413" s="25" t="n">
        <x:v>1.5</x:v>
      </x:c>
      <x:c r="D413" s="25" t="n">
        <x:v>30</x:v>
      </x:c>
      <x:c r="E413" s="25" t="str">
        <x:v>Équilibré</x:v>
      </x:c>
      <x:c r="F413" s="25" t="n">
        <x:v>1.2</x:v>
      </x:c>
      <x:c r="G413" s="25" t="n">
        <x:v>-0.011935329819579368</x:v>
      </x:c>
      <x:c r="H413" s="25" t="n">
        <x:v>-1.840905731062315</x:v>
      </x:c>
      <x:c r="I413" s="25" t="n">
        <x:v>-661.2024244544012</x:v>
      </x:c>
      <x:c r="J413" s="25" t="n">
        <x:v>15749.422575545592</x:v>
      </x:c>
      <x:c r="K413" s="25" t="n">
        <x:v>6.238459998457328</x:v>
      </x:c>
      <x:c r="L413" s="25" t="n">
        <x:v>79.25</x:v>
      </x:c>
      <x:c r="M413" s="34" t="b">
        <x:v>0</x:v>
      </x:c>
      <x:c r="N413" s="25" t="n">
        <x:v>-30.829086416634738</x:v>
      </x:c>
    </x:row>
    <x:row r="414">
      <x:c r="A414" s="25" t="n">
        <x:v>8</x:v>
      </x:c>
      <x:c r="B414" s="25" t="n">
        <x:v>2</x:v>
      </x:c>
      <x:c r="C414" s="25" t="n">
        <x:v>2</x:v>
      </x:c>
      <x:c r="D414" s="25" t="n">
        <x:v>40</x:v>
      </x:c>
      <x:c r="E414" s="25" t="str">
        <x:v>Conservateur</x:v>
      </x:c>
      <x:c r="F414" s="25" t="n">
        <x:v>1.2</x:v>
      </x:c>
      <x:c r="G414" s="25" t="n">
        <x:v>0.012733495572418976</x:v>
      </x:c>
      <x:c r="H414" s="25" t="n">
        <x:v>-1.8884394748716158</x:v>
      </x:c>
      <x:c r="I414" s="25" t="n">
        <x:v>681.7374133350387</x:v>
      </x:c>
      <x:c r="J414" s="25" t="n">
        <x:v>17092.36241333503</x:v>
      </x:c>
      <x:c r="K414" s="25" t="n">
        <x:v>6.238459998457328</x:v>
      </x:c>
      <x:c r="L414" s="25" t="n">
        <x:v>78.25</x:v>
      </x:c>
      <x:c r="M414" s="34" t="b">
        <x:v>0</x:v>
      </x:c>
      <x:c r="N414" s="25" t="n">
        <x:v>-30.860644615307358</x:v>
      </x:c>
    </x:row>
    <x:row r="415">
      <x:c r="A415" s="25" t="n">
        <x:v>10</x:v>
      </x:c>
      <x:c r="B415" s="25" t="n">
        <x:v>3</x:v>
      </x:c>
      <x:c r="C415" s="25" t="n">
        <x:v>3</x:v>
      </x:c>
      <x:c r="D415" s="25" t="n">
        <x:v>40</x:v>
      </x:c>
      <x:c r="E415" s="25" t="str">
        <x:v>Agressif</x:v>
      </x:c>
      <x:c r="F415" s="25" t="n">
        <x:v>0.8</x:v>
      </x:c>
      <x:c r="G415" s="25" t="n">
        <x:v>0.08882319140726498</x:v>
      </x:c>
      <x:c r="H415" s="25" t="n">
        <x:v>-1.9399258612326225</x:v>
      </x:c>
      <x:c r="I415" s="25" t="n">
        <x:v>4869.975661621118</x:v>
      </x:c>
      <x:c r="J415" s="25" t="n">
        <x:v>21280.600661621113</x:v>
      </x:c>
      <x:c r="K415" s="25" t="n">
        <x:v>4.158973332304886</x:v>
      </x:c>
      <x:c r="L415" s="25" t="n">
        <x:v>63.25</x:v>
      </x:c>
      <x:c r="M415" s="34" t="b">
        <x:v>0</x:v>
      </x:c>
      <x:c r="N415" s="25" t="n">
        <x:v>-30.96287100341599</x:v>
      </x:c>
    </x:row>
    <x:row r="416">
      <x:c r="A416" s="25" t="n">
        <x:v>10</x:v>
      </x:c>
      <x:c r="B416" s="25" t="n">
        <x:v>4</x:v>
      </x:c>
      <x:c r="C416" s="25" t="n">
        <x:v>3</x:v>
      </x:c>
      <x:c r="D416" s="25" t="n">
        <x:v>40</x:v>
      </x:c>
      <x:c r="E416" s="25" t="str">
        <x:v>Agressif</x:v>
      </x:c>
      <x:c r="F416" s="25" t="n">
        <x:v>1.2</x:v>
      </x:c>
      <x:c r="G416" s="25" t="n">
        <x:v>0.09454397649375776</x:v>
      </x:c>
      <x:c r="H416" s="25" t="n">
        <x:v>-1.9652223150607542</x:v>
      </x:c>
      <x:c r="I416" s="25" t="n">
        <x:v>4901.3676776765415</x:v>
      </x:c>
      <x:c r="J416" s="25" t="n">
        <x:v>21311.99267767654</x:v>
      </x:c>
      <x:c r="K416" s="25" t="n">
        <x:v>6.238459998457328</x:v>
      </x:c>
      <x:c r="L416" s="25" t="n">
        <x:v>64.25</x:v>
      </x:c>
      <x:c r="M416" s="34" t="b">
        <x:v>0</x:v>
      </x:c>
      <x:c r="N416" s="25" t="n">
        <x:v>-31.08063916936218</x:v>
      </x:c>
    </x:row>
    <x:row r="417">
      <x:c r="A417" s="25" t="n">
        <x:v>6</x:v>
      </x:c>
      <x:c r="B417" s="25" t="n">
        <x:v>3</x:v>
      </x:c>
      <x:c r="C417" s="25" t="n">
        <x:v>2</x:v>
      </x:c>
      <x:c r="D417" s="25" t="n">
        <x:v>40</x:v>
      </x:c>
      <x:c r="E417" s="25" t="str">
        <x:v>Conservateur</x:v>
      </x:c>
      <x:c r="F417" s="25" t="n">
        <x:v>1</x:v>
      </x:c>
      <x:c r="G417" s="25" t="n">
        <x:v>0.005852670997264227</x:v>
      </x:c>
      <x:c r="H417" s="25" t="n">
        <x:v>-1.8848034456340053</x:v>
      </x:c>
      <x:c r="I417" s="25" t="n">
        <x:v>296.54054018559776</x:v>
      </x:c>
      <x:c r="J417" s="25" t="n">
        <x:v>16707.16554018559</x:v>
      </x:c>
      <x:c r="K417" s="25" t="n">
        <x:v>5.1987166653811085</x:v>
      </x:c>
      <x:c r="L417" s="25" t="n">
        <x:v>78.25</x:v>
      </x:c>
      <x:c r="M417" s="34" t="b">
        <x:v>0</x:v>
      </x:c>
      <x:c r="N417" s="25" t="n">
        <x:v>-31.148189236000604</x:v>
      </x:c>
    </x:row>
    <x:row r="418">
      <x:c r="A418" s="25" t="n">
        <x:v>8</x:v>
      </x:c>
      <x:c r="B418" s="25" t="n">
        <x:v>3</x:v>
      </x:c>
      <x:c r="C418" s="25" t="n">
        <x:v>2</x:v>
      </x:c>
      <x:c r="D418" s="25" t="n">
        <x:v>35</x:v>
      </x:c>
      <x:c r="E418" s="25" t="str">
        <x:v>Équilibré</x:v>
      </x:c>
      <x:c r="F418" s="25" t="n">
        <x:v>1</x:v>
      </x:c>
      <x:c r="G418" s="25" t="n">
        <x:v>0.015553879645986476</x:v>
      </x:c>
      <x:c r="H418" s="25" t="n">
        <x:v>-1.8566604950591337</x:v>
      </x:c>
      <x:c r="I418" s="25" t="n">
        <x:v>810.9148916800001</x:v>
      </x:c>
      <x:c r="J418" s="25" t="n">
        <x:v>17221.539891679997</x:v>
      </x:c>
      <x:c r="K418" s="25" t="n">
        <x:v>5.1987166653811085</x:v>
      </x:c>
      <x:c r="L418" s="25" t="n">
        <x:v>71.75</x:v>
      </x:c>
      <x:c r="M418" s="34" t="b">
        <x:v>0</x:v>
      </x:c>
      <x:c r="N418" s="25" t="n">
        <x:v>-31.211048995949085</x:v>
      </x:c>
    </x:row>
    <x:row r="419">
      <x:c r="A419" s="25" t="n">
        <x:v>6</x:v>
      </x:c>
      <x:c r="B419" s="25" t="n">
        <x:v>2</x:v>
      </x:c>
      <x:c r="C419" s="25" t="n">
        <x:v>2</x:v>
      </x:c>
      <x:c r="D419" s="25" t="n">
        <x:v>40</x:v>
      </x:c>
      <x:c r="E419" s="25" t="str">
        <x:v>Conservateur</x:v>
      </x:c>
      <x:c r="F419" s="25" t="n">
        <x:v>0.8</x:v>
      </x:c>
      <x:c r="G419" s="25" t="n">
        <x:v>-0.006053510795358586</x:v>
      </x:c>
      <x:c r="H419" s="25" t="n">
        <x:v>-1.878452794381616</x:v>
      </x:c>
      <x:c r="I419" s="25" t="n">
        <x:v>-324.0983410841607</x:v>
      </x:c>
      <x:c r="J419" s="25" t="n">
        <x:v>16086.526658915835</x:v>
      </x:c>
      <x:c r="K419" s="25" t="n">
        <x:v>4.158973332304886</x:v>
      </x:c>
      <x:c r="L419" s="25" t="n">
        <x:v>80.25</x:v>
      </x:c>
      <x:c r="M419" s="34" t="b">
        <x:v>0</x:v>
      </x:c>
      <x:c r="N419" s="25" t="n">
        <x:v>-31.244262953285126</x:v>
      </x:c>
    </x:row>
    <x:row r="420">
      <x:c r="A420" s="25" t="n">
        <x:v>6</x:v>
      </x:c>
      <x:c r="B420" s="25" t="n">
        <x:v>3</x:v>
      </x:c>
      <x:c r="C420" s="25" t="n">
        <x:v>2</x:v>
      </x:c>
      <x:c r="D420" s="25" t="n">
        <x:v>40</x:v>
      </x:c>
      <x:c r="E420" s="25" t="str">
        <x:v>Conservateur</x:v>
      </x:c>
      <x:c r="F420" s="25" t="n">
        <x:v>1.2</x:v>
      </x:c>
      <x:c r="G420" s="25" t="n">
        <x:v>0.005852670997264227</x:v>
      </x:c>
      <x:c r="H420" s="25" t="n">
        <x:v>-1.9146266430586536</x:v>
      </x:c>
      <x:c r="I420" s="25" t="n">
        <x:v>296.54054018559776</x:v>
      </x:c>
      <x:c r="J420" s="25" t="n">
        <x:v>16707.16554018559</x:v>
      </x:c>
      <x:c r="K420" s="25" t="n">
        <x:v>6.238459998457328</x:v>
      </x:c>
      <x:c r="L420" s="25" t="n">
        <x:v>81.25</x:v>
      </x:c>
      <x:c r="M420" s="34" t="b">
        <x:v>0</x:v>
      </x:c>
      <x:c r="N420" s="25" t="n">
        <x:v>-31.29376917161681</x:v>
      </x:c>
    </x:row>
    <x:row r="421">
      <x:c r="A421" s="25" t="n">
        <x:v>8</x:v>
      </x:c>
      <x:c r="B421" s="25" t="n">
        <x:v>3</x:v>
      </x:c>
      <x:c r="C421" s="25" t="n">
        <x:v>2</x:v>
      </x:c>
      <x:c r="D421" s="25" t="n">
        <x:v>35</x:v>
      </x:c>
      <x:c r="E421" s="25" t="str">
        <x:v>Équilibré</x:v>
      </x:c>
      <x:c r="F421" s="25" t="n">
        <x:v>1.2</x:v>
      </x:c>
      <x:c r="G421" s="25" t="n">
        <x:v>0.015553879645986476</x:v>
      </x:c>
      <x:c r="H421" s="25" t="n">
        <x:v>-1.8863979552903403</x:v>
      </x:c>
      <x:c r="I421" s="25" t="n">
        <x:v>810.9148916800001</x:v>
      </x:c>
      <x:c r="J421" s="25" t="n">
        <x:v>17221.539891679997</x:v>
      </x:c>
      <x:c r="K421" s="25" t="n">
        <x:v>6.238459998457328</x:v>
      </x:c>
      <x:c r="L421" s="25" t="n">
        <x:v>74.75</x:v>
      </x:c>
      <x:c r="M421" s="34" t="b">
        <x:v>0</x:v>
      </x:c>
      <x:c r="N421" s="25" t="n">
        <x:v>-31.354485501729243</x:v>
      </x:c>
    </x:row>
    <x:row r="422">
      <x:c r="A422" s="25" t="n">
        <x:v>10</x:v>
      </x:c>
      <x:c r="B422" s="25" t="n">
        <x:v>4</x:v>
      </x:c>
      <x:c r="C422" s="25" t="n">
        <x:v>1.5</x:v>
      </x:c>
      <x:c r="D422" s="25" t="n">
        <x:v>35</x:v>
      </x:c>
      <x:c r="E422" s="25" t="str">
        <x:v>Équilibré</x:v>
      </x:c>
      <x:c r="F422" s="25" t="n">
        <x:v>1</x:v>
      </x:c>
      <x:c r="G422" s="25" t="n">
        <x:v>0.0007957537680205511</x:v>
      </x:c>
      <x:c r="H422" s="25" t="n">
        <x:v>-1.7514254823996966</x:v>
      </x:c>
      <x:c r="I422" s="25" t="n">
        <x:v>39.53996070399752</x:v>
      </x:c>
      <x:c r="J422" s="25" t="n">
        <x:v>16450.164960703994</x:v>
      </x:c>
      <x:c r="K422" s="25" t="n">
        <x:v>5.1987166653811085</x:v>
      </x:c>
      <x:c r="L422" s="25" t="n">
        <x:v>61.75</x:v>
      </x:c>
      <x:c r="M422" s="34" t="b">
        <x:v>0</x:v>
      </x:c>
      <x:c r="N422" s="25" t="n">
        <x:v>-31.391870602751283</x:v>
      </x:c>
    </x:row>
    <x:row r="423">
      <x:c r="A423" s="25" t="n">
        <x:v>8</x:v>
      </x:c>
      <x:c r="B423" s="25" t="n">
        <x:v>3</x:v>
      </x:c>
      <x:c r="C423" s="25" t="n">
        <x:v>1.5</x:v>
      </x:c>
      <x:c r="D423" s="25" t="n">
        <x:v>40</x:v>
      </x:c>
      <x:c r="E423" s="25" t="str">
        <x:v>Conservateur</x:v>
      </x:c>
      <x:c r="F423" s="25" t="n">
        <x:v>0.8</x:v>
      </x:c>
      <x:c r="G423" s="25" t="n">
        <x:v>-0.018089094188524255</x:v>
      </x:c>
      <x:c r="H423" s="25" t="n">
        <x:v>-1.7795581110416983</x:v>
      </x:c>
      <x:c r="I423" s="25" t="n">
        <x:v>-916.5302072576023</x:v>
      </x:c>
      <x:c r="J423" s="25" t="n">
        <x:v>15494.094792742393</x:v>
      </x:c>
      <x:c r="K423" s="25" t="n">
        <x:v>4.158973332304886</x:v>
      </x:c>
      <x:c r="L423" s="25" t="n">
        <x:v>70.25</x:v>
      </x:c>
      <x:c r="M423" s="34" t="b">
        <x:v>0</x:v>
      </x:c>
      <x:c r="N423" s="25" t="n">
        <x:v>-31.433852956411283</x:v>
      </x:c>
    </x:row>
    <x:row r="424">
      <x:c r="A424" s="25" t="n">
        <x:v>10</x:v>
      </x:c>
      <x:c r="B424" s="25" t="n">
        <x:v>4</x:v>
      </x:c>
      <x:c r="C424" s="25" t="n">
        <x:v>1.5</x:v>
      </x:c>
      <x:c r="D424" s="25" t="n">
        <x:v>35</x:v>
      </x:c>
      <x:c r="E424" s="25" t="str">
        <x:v>Équilibré</x:v>
      </x:c>
      <x:c r="F424" s="25" t="n">
        <x:v>1.2</x:v>
      </x:c>
      <x:c r="G424" s="25" t="n">
        <x:v>0.0007957537680205511</x:v>
      </x:c>
      <x:c r="H424" s="25" t="n">
        <x:v>-1.7774495395052012</x:v>
      </x:c>
      <x:c r="I424" s="25" t="n">
        <x:v>39.53996070399752</x:v>
      </x:c>
      <x:c r="J424" s="25" t="n">
        <x:v>16450.164960703994</x:v>
      </x:c>
      <x:c r="K424" s="25" t="n">
        <x:v>6.238459998457328</x:v>
      </x:c>
      <x:c r="L424" s="25" t="n">
        <x:v>64.75</x:v>
      </x:c>
      <x:c r="M424" s="34" t="b">
        <x:v>0</x:v>
      </x:c>
      <x:c r="N424" s="25" t="n">
        <x:v>-31.442472030388892</x:v>
      </x:c>
    </x:row>
    <x:row r="425">
      <x:c r="A425" s="25" t="n">
        <x:v>6</x:v>
      </x:c>
      <x:c r="B425" s="25" t="n">
        <x:v>3</x:v>
      </x:c>
      <x:c r="C425" s="25" t="n">
        <x:v>1.5</x:v>
      </x:c>
      <x:c r="D425" s="25" t="n">
        <x:v>30</x:v>
      </x:c>
      <x:c r="E425" s="25" t="str">
        <x:v>Équilibré</x:v>
      </x:c>
      <x:c r="F425" s="25" t="n">
        <x:v>1</x:v>
      </x:c>
      <x:c r="G425" s="25" t="n">
        <x:v>-0.021349293104899365</x:v>
      </x:c>
      <x:c r="H425" s="25" t="n">
        <x:v>-1.8511702958076195</x:v>
      </x:c>
      <x:c r="I425" s="25" t="n">
        <x:v>-1113.0637564159981</x:v>
      </x:c>
      <x:c r="J425" s="25" t="n">
        <x:v>15297.561243583998</x:v>
      </x:c>
      <x:c r="K425" s="25" t="n">
        <x:v>5.1987166653811085</x:v>
      </x:c>
      <x:c r="L425" s="25" t="n">
        <x:v>79.25</x:v>
      </x:c>
      <x:c r="M425" s="34" t="b">
        <x:v>0</x:v>
      </x:c>
      <x:c r="N425" s="25" t="n">
        <x:v>-31.603468515959946</x:v>
      </x:c>
    </x:row>
    <x:row r="426">
      <x:c r="A426" s="25" t="n">
        <x:v>10</x:v>
      </x:c>
      <x:c r="B426" s="25" t="n">
        <x:v>3</x:v>
      </x:c>
      <x:c r="C426" s="25" t="n">
        <x:v>1.5</x:v>
      </x:c>
      <x:c r="D426" s="25" t="n">
        <x:v>40</x:v>
      </x:c>
      <x:c r="E426" s="25" t="str">
        <x:v>Conservateur</x:v>
      </x:c>
      <x:c r="F426" s="25" t="n">
        <x:v>1</x:v>
      </x:c>
      <x:c r="G426" s="25" t="n">
        <x:v>-0.0036702471190480307</x:v>
      </x:c>
      <x:c r="H426" s="25" t="n">
        <x:v>-1.778323812048296</x:v>
      </x:c>
      <x:c r="I426" s="25" t="n">
        <x:v>-185.9624543744024</x:v>
      </x:c>
      <x:c r="J426" s="25" t="n">
        <x:v>16224.662545625593</x:v>
      </x:c>
      <x:c r="K426" s="25" t="n">
        <x:v>5.1987166653811085</x:v>
      </x:c>
      <x:c r="L426" s="25" t="n">
        <x:v>65.25</x:v>
      </x:c>
      <x:c r="M426" s="34" t="b">
        <x:v>0</x:v>
      </x:c>
      <x:c r="N426" s="25" t="n">
        <x:v>-31.609958892755042</x:v>
      </x:c>
    </x:row>
    <x:row r="427">
      <x:c r="A427" s="25" t="n">
        <x:v>10</x:v>
      </x:c>
      <x:c r="B427" s="25" t="n">
        <x:v>3</x:v>
      </x:c>
      <x:c r="C427" s="25" t="n">
        <x:v>1.5</x:v>
      </x:c>
      <x:c r="D427" s="25" t="n">
        <x:v>40</x:v>
      </x:c>
      <x:c r="E427" s="25" t="str">
        <x:v>Conservateur</x:v>
      </x:c>
      <x:c r="F427" s="25" t="n">
        <x:v>1.2</x:v>
      </x:c>
      <x:c r="G427" s="25" t="n">
        <x:v>-0.0036702471190480307</x:v>
      </x:c>
      <x:c r="H427" s="25" t="n">
        <x:v>-1.8048878550894953</x:v>
      </x:c>
      <x:c r="I427" s="25" t="n">
        <x:v>-185.9624543744024</x:v>
      </x:c>
      <x:c r="J427" s="25" t="n">
        <x:v>16224.662545625593</x:v>
      </x:c>
      <x:c r="K427" s="25" t="n">
        <x:v>6.238459998457328</x:v>
      </x:c>
      <x:c r="L427" s="25" t="n">
        <x:v>68.25</x:v>
      </x:c>
      <x:c r="M427" s="34" t="b">
        <x:v>0</x:v>
      </x:c>
      <x:c r="N427" s="25" t="n">
        <x:v>-31.67405996878503</x:v>
      </x:c>
    </x:row>
    <x:row r="428">
      <x:c r="A428" s="25" t="n">
        <x:v>6</x:v>
      </x:c>
      <x:c r="B428" s="25" t="n">
        <x:v>3</x:v>
      </x:c>
      <x:c r="C428" s="25" t="n">
        <x:v>1.5</x:v>
      </x:c>
      <x:c r="D428" s="25" t="n">
        <x:v>30</x:v>
      </x:c>
      <x:c r="E428" s="25" t="str">
        <x:v>Équilibré</x:v>
      </x:c>
      <x:c r="F428" s="25" t="n">
        <x:v>1.2</x:v>
      </x:c>
      <x:c r="G428" s="25" t="n">
        <x:v>-0.021349293104899365</x:v>
      </x:c>
      <x:c r="H428" s="25" t="n">
        <x:v>-1.8787914597545867</x:v>
      </x:c>
      <x:c r="I428" s="25" t="n">
        <x:v>-1113.0637564159981</x:v>
      </x:c>
      <x:c r="J428" s="25" t="n">
        <x:v>15297.561243583998</x:v>
      </x:c>
      <x:c r="K428" s="25" t="n">
        <x:v>6.238459998457328</x:v>
      </x:c>
      <x:c r="L428" s="25" t="n">
        <x:v>82.25</x:v>
      </x:c>
      <x:c r="M428" s="34" t="b">
        <x:v>0</x:v>
      </x:c>
      <x:c r="N428" s="25" t="n">
        <x:v>-31.69399761463413</x:v>
      </x:c>
    </x:row>
    <x:row r="429">
      <x:c r="A429" s="25" t="n">
        <x:v>6</x:v>
      </x:c>
      <x:c r="B429" s="25" t="n">
        <x:v>2</x:v>
      </x:c>
      <x:c r="C429" s="25" t="n">
        <x:v>1.5</x:v>
      </x:c>
      <x:c r="D429" s="25" t="n">
        <x:v>30</x:v>
      </x:c>
      <x:c r="E429" s="25" t="str">
        <x:v>Équilibré</x:v>
      </x:c>
      <x:c r="F429" s="25" t="n">
        <x:v>0.8</x:v>
      </x:c>
      <x:c r="G429" s="25" t="n">
        <x:v>-0.03455145776238007</x:v>
      </x:c>
      <x:c r="H429" s="25" t="n">
        <x:v>-1.8430816949013205</x:v>
      </x:c>
      <x:c r="I429" s="25" t="n">
        <x:v>-1914.107778022399</x:v>
      </x:c>
      <x:c r="J429" s="25" t="n">
        <x:v>14496.517221977598</x:v>
      </x:c>
      <x:c r="K429" s="25" t="n">
        <x:v>4.158973332304886</x:v>
      </x:c>
      <x:c r="L429" s="25" t="n">
        <x:v>81.25</x:v>
      </x:c>
      <x:c r="M429" s="34" t="b">
        <x:v>0</x:v>
      </x:c>
      <x:c r="N429" s="25" t="n">
        <x:v>-31.727372549463915</x:v>
      </x:c>
    </x:row>
    <x:row r="430">
      <x:c r="A430" s="25" t="n">
        <x:v>8</x:v>
      </x:c>
      <x:c r="B430" s="25" t="n">
        <x:v>2</x:v>
      </x:c>
      <x:c r="C430" s="25" t="n">
        <x:v>2</x:v>
      </x:c>
      <x:c r="D430" s="25" t="n">
        <x:v>35</x:v>
      </x:c>
      <x:c r="E430" s="25" t="str">
        <x:v>Équilibré</x:v>
      </x:c>
      <x:c r="F430" s="25" t="n">
        <x:v>0.8</x:v>
      </x:c>
      <x:c r="G430" s="25" t="n">
        <x:v>0.0007692793269220561</x:v>
      </x:c>
      <x:c r="H430" s="25" t="n">
        <x:v>-1.8612372572628346</x:v>
      </x:c>
      <x:c r="I430" s="25" t="n">
        <x:v>42.61711772799921</x:v>
      </x:c>
      <x:c r="J430" s="25" t="n">
        <x:v>16453.242117727994</x:v>
      </x:c>
      <x:c r="K430" s="25" t="n">
        <x:v>4.158973332304886</x:v>
      </x:c>
      <x:c r="L430" s="25" t="n">
        <x:v>73.75</x:v>
      </x:c>
      <x:c r="M430" s="34" t="b">
        <x:v>0</x:v>
      </x:c>
      <x:c r="N430" s="25" t="n">
        <x:v>-31.73862106859015</x:v>
      </x:c>
    </x:row>
    <x:row r="431">
      <x:c r="A431" s="25" t="n">
        <x:v>6</x:v>
      </x:c>
      <x:c r="B431" s="25" t="n">
        <x:v>4</x:v>
      </x:c>
      <x:c r="C431" s="25" t="n">
        <x:v>3</x:v>
      </x:c>
      <x:c r="D431" s="25" t="n">
        <x:v>35</x:v>
      </x:c>
      <x:c r="E431" s="25" t="str">
        <x:v>Agressif</x:v>
      </x:c>
      <x:c r="F431" s="25" t="n">
        <x:v>1</x:v>
      </x:c>
      <x:c r="G431" s="25" t="n">
        <x:v>0.07339374921824007</x:v>
      </x:c>
      <x:c r="H431" s="25" t="n">
        <x:v>-2.024766518377813</x:v>
      </x:c>
      <x:c r="I431" s="25" t="n">
        <x:v>3804.8933787498445</x:v>
      </x:c>
      <x:c r="J431" s="25" t="n">
        <x:v>20215.518378749843</x:v>
      </x:c>
      <x:c r="K431" s="25" t="n">
        <x:v>5.1987166653811085</x:v>
      </x:c>
      <x:c r="L431" s="25" t="n">
        <x:v>73.75</x:v>
      </x:c>
      <x:c r="M431" s="34" t="b">
        <x:v>0</x:v>
      </x:c>
      <x:c r="N431" s="25" t="n">
        <x:v>-31.83250675244213</x:v>
      </x:c>
    </x:row>
    <x:row r="432">
      <x:c r="A432" s="25" t="n">
        <x:v>8</x:v>
      </x:c>
      <x:c r="B432" s="25" t="n">
        <x:v>4</x:v>
      </x:c>
      <x:c r="C432" s="25" t="n">
        <x:v>1.5</x:v>
      </x:c>
      <x:c r="D432" s="25" t="n">
        <x:v>35</x:v>
      </x:c>
      <x:c r="E432" s="25" t="str">
        <x:v>Équilibré</x:v>
      </x:c>
      <x:c r="F432" s="25" t="n">
        <x:v>0.8</x:v>
      </x:c>
      <x:c r="G432" s="25" t="n">
        <x:v>-0.017872424511913104</x:v>
      </x:c>
      <x:c r="H432" s="25" t="n">
        <x:v>-1.7711841198166611</x:v>
      </x:c>
      <x:c r="I432" s="25" t="n">
        <x:v>-888.0573253760022</x:v>
      </x:c>
      <x:c r="J432" s="25" t="n">
        <x:v>15522.567674623993</x:v>
      </x:c>
      <x:c r="K432" s="25" t="n">
        <x:v>4.158973332304886</x:v>
      </x:c>
      <x:c r="L432" s="25" t="n">
        <x:v>66.75</x:v>
      </x:c>
      <x:c r="M432" s="34" t="b">
        <x:v>0</x:v>
      </x:c>
      <x:c r="N432" s="25" t="n">
        <x:v>-31.912586343571746</x:v>
      </x:c>
    </x:row>
    <x:row r="433">
      <x:c r="A433" s="25" t="n">
        <x:v>8</x:v>
      </x:c>
      <x:c r="B433" s="25" t="n">
        <x:v>4</x:v>
      </x:c>
      <x:c r="C433" s="25" t="n">
        <x:v>2</x:v>
      </x:c>
      <x:c r="D433" s="25" t="n">
        <x:v>30</x:v>
      </x:c>
      <x:c r="E433" s="25" t="str">
        <x:v>Agressif</x:v>
      </x:c>
      <x:c r="F433" s="25" t="n">
        <x:v>1</x:v>
      </x:c>
      <x:c r="G433" s="25" t="n">
        <x:v>0.01439139832485651</x:v>
      </x:c>
      <x:c r="H433" s="25" t="n">
        <x:v>-1.8566668182807946</x:v>
      </x:c>
      <x:c r="I433" s="25" t="n">
        <x:v>746.0817410263809</x:v>
      </x:c>
      <x:c r="J433" s="25" t="n">
        <x:v>17156.706741026377</x:v>
      </x:c>
      <x:c r="K433" s="25" t="n">
        <x:v>5.1987166653811085</x:v>
      </x:c>
      <x:c r="L433" s="25" t="n">
        <x:v>68.25</x:v>
      </x:c>
      <x:c r="M433" s="34" t="b">
        <x:v>0</x:v>
      </x:c>
      <x:c r="N433" s="25" t="n">
        <x:v>-31.975143549152754</x:v>
      </x:c>
    </x:row>
    <x:row r="434">
      <x:c r="A434" s="25" t="n">
        <x:v>8</x:v>
      </x:c>
      <x:c r="B434" s="25" t="n">
        <x:v>4</x:v>
      </x:c>
      <x:c r="C434" s="25" t="n">
        <x:v>2</x:v>
      </x:c>
      <x:c r="D434" s="25" t="n">
        <x:v>30</x:v>
      </x:c>
      <x:c r="E434" s="25" t="str">
        <x:v>Agressif</x:v>
      </x:c>
      <x:c r="F434" s="25" t="n">
        <x:v>1.2</x:v>
      </x:c>
      <x:c r="G434" s="25" t="n">
        <x:v>0.01439139832485651</x:v>
      </x:c>
      <x:c r="H434" s="25" t="n">
        <x:v>-1.8863124904932334</x:v>
      </x:c>
      <x:c r="I434" s="25" t="n">
        <x:v>746.0817410263809</x:v>
      </x:c>
      <x:c r="J434" s="25" t="n">
        <x:v>17156.706741026377</x:v>
      </x:c>
      <x:c r="K434" s="25" t="n">
        <x:v>6.238459998457328</x:v>
      </x:c>
      <x:c r="L434" s="25" t="n">
        <x:v>71.25</x:v>
      </x:c>
      <x:c r="M434" s="34" t="b">
        <x:v>0</x:v>
      </x:c>
      <x:c r="N434" s="25" t="n">
        <x:v>-32.11628535446373</x:v>
      </x:c>
    </x:row>
    <x:row r="435">
      <x:c r="A435" s="25" t="n">
        <x:v>10</x:v>
      </x:c>
      <x:c r="B435" s="25" t="n">
        <x:v>4</x:v>
      </x:c>
      <x:c r="C435" s="25" t="n">
        <x:v>2</x:v>
      </x:c>
      <x:c r="D435" s="25" t="n">
        <x:v>40</x:v>
      </x:c>
      <x:c r="E435" s="25" t="str">
        <x:v>Équilibré</x:v>
      </x:c>
      <x:c r="F435" s="25" t="n">
        <x:v>1</x:v>
      </x:c>
      <x:c r="G435" s="25" t="n">
        <x:v>0.018954257422936993</x:v>
      </x:c>
      <x:c r="H435" s="25" t="n">
        <x:v>-1.824460998011833</x:v>
      </x:c>
      <x:c r="I435" s="25" t="n">
        <x:v>941.81218336</x:v>
      </x:c>
      <x:c r="J435" s="25" t="n">
        <x:v>17352.437183359994</x:v>
      </x:c>
      <x:c r="K435" s="25" t="n">
        <x:v>5.1987166653811085</x:v>
      </x:c>
      <x:c r="L435" s="25" t="n">
        <x:v>62.25</x:v>
      </x:c>
      <x:c r="M435" s="34" t="b">
        <x:v>0</x:v>
      </x:c>
      <x:c r="N435" s="25" t="n">
        <x:v>-32.11904079203428</x:v>
      </x:c>
    </x:row>
    <x:row r="436">
      <x:c r="A436" s="25" t="n">
        <x:v>6</x:v>
      </x:c>
      <x:c r="B436" s="25" t="n">
        <x:v>4</x:v>
      </x:c>
      <x:c r="C436" s="25" t="n">
        <x:v>3</x:v>
      </x:c>
      <x:c r="D436" s="25" t="n">
        <x:v>35</x:v>
      </x:c>
      <x:c r="E436" s="25" t="str">
        <x:v>Agressif</x:v>
      </x:c>
      <x:c r="F436" s="25" t="n">
        <x:v>1.2</x:v>
      </x:c>
      <x:c r="G436" s="25" t="n">
        <x:v>0.07339374921824007</x:v>
      </x:c>
      <x:c r="H436" s="25" t="n">
        <x:v>-2.0619112954228362</x:v>
      </x:c>
      <x:c r="I436" s="25" t="n">
        <x:v>3804.8933787498445</x:v>
      </x:c>
      <x:c r="J436" s="25" t="n">
        <x:v>20215.518378749843</x:v>
      </x:c>
      <x:c r="K436" s="25" t="n">
        <x:v>6.238459998457328</x:v>
      </x:c>
      <x:c r="L436" s="25" t="n">
        <x:v>76.75</x:v>
      </x:c>
      <x:c r="M436" s="34" t="b">
        <x:v>0</x:v>
      </x:c>
      <x:c r="N436" s="25" t="n">
        <x:v>-32.1611261785677</x:v>
      </x:c>
    </x:row>
    <x:row r="437">
      <x:c r="A437" s="25" t="n">
        <x:v>10</x:v>
      </x:c>
      <x:c r="B437" s="25" t="n">
        <x:v>4</x:v>
      </x:c>
      <x:c r="C437" s="25" t="n">
        <x:v>2</x:v>
      </x:c>
      <x:c r="D437" s="25" t="n">
        <x:v>40</x:v>
      </x:c>
      <x:c r="E437" s="25" t="str">
        <x:v>Équilibré</x:v>
      </x:c>
      <x:c r="F437" s="25" t="n">
        <x:v>1.2</x:v>
      </x:c>
      <x:c r="G437" s="25" t="n">
        <x:v>0.018954257422936993</x:v>
      </x:c>
      <x:c r="H437" s="25" t="n">
        <x:v>-1.8533766170179502</x:v>
      </x:c>
      <x:c r="I437" s="25" t="n">
        <x:v>941.81218336</x:v>
      </x:c>
      <x:c r="J437" s="25" t="n">
        <x:v>17352.437183359994</x:v>
      </x:c>
      <x:c r="K437" s="25" t="n">
        <x:v>6.238459998457328</x:v>
      </x:c>
      <x:c r="L437" s="25" t="n">
        <x:v>65.25</x:v>
      </x:c>
      <x:c r="M437" s="34" t="b">
        <x:v>0</x:v>
      </x:c>
      <x:c r="N437" s="25" t="n">
        <x:v>-32.24193126718721</x:v>
      </x:c>
    </x:row>
    <x:row r="438">
      <x:c r="A438" s="25" t="n">
        <x:v>8</x:v>
      </x:c>
      <x:c r="B438" s="25" t="n">
        <x:v>3</x:v>
      </x:c>
      <x:c r="C438" s="25" t="n">
        <x:v>2</x:v>
      </x:c>
      <x:c r="D438" s="25" t="n">
        <x:v>30</x:v>
      </x:c>
      <x:c r="E438" s="25" t="str">
        <x:v>Agressif</x:v>
      </x:c>
      <x:c r="F438" s="25" t="n">
        <x:v>0.8</x:v>
      </x:c>
      <x:c r="G438" s="25" t="n">
        <x:v>0.003678410697589864</x:v>
      </x:c>
      <x:c r="H438" s="25" t="n">
        <x:v>-1.8636010744725147</x:v>
      </x:c>
      <x:c r="I438" s="25" t="n">
        <x:v>201.67897918205404</x:v>
      </x:c>
      <x:c r="J438" s="25" t="n">
        <x:v>16612.303979182045</x:v>
      </x:c>
      <x:c r="K438" s="25" t="n">
        <x:v>4.158973332304886</x:v>
      </x:c>
      <x:c r="L438" s="25" t="n">
        <x:v>70.25</x:v>
      </x:c>
      <x:c r="M438" s="34" t="b">
        <x:v>0</x:v>
      </x:c>
      <x:c r="N438" s="25" t="n">
        <x:v>-32.33771427344543</x:v>
      </x:c>
    </x:row>
    <x:row r="439">
      <x:c r="A439" s="25" t="n">
        <x:v>6</x:v>
      </x:c>
      <x:c r="B439" s="25" t="n">
        <x:v>4</x:v>
      </x:c>
      <x:c r="C439" s="25" t="n">
        <x:v>1.5</x:v>
      </x:c>
      <x:c r="D439" s="25" t="n">
        <x:v>40</x:v>
      </x:c>
      <x:c r="E439" s="25" t="str">
        <x:v>Conservateur</x:v>
      </x:c>
      <x:c r="F439" s="25" t="n">
        <x:v>0.8</x:v>
      </x:c>
      <x:c r="G439" s="25" t="n">
        <x:v>-0.030696978872922488</x:v>
      </x:c>
      <x:c r="H439" s="25" t="n">
        <x:v>-1.8128054635117117</x:v>
      </x:c>
      <x:c r="I439" s="25" t="n">
        <x:v>-1489.2346279116812</x:v>
      </x:c>
      <x:c r="J439" s="25" t="n">
        <x:v>14921.390372088314</x:v>
      </x:c>
      <x:c r="K439" s="25" t="n">
        <x:v>4.158973332304886</x:v>
      </x:c>
      <x:c r="L439" s="25" t="n">
        <x:v>73.25</x:v>
      </x:c>
      <x:c r="M439" s="34" t="b">
        <x:v>0</x:v>
      </x:c>
      <x:c r="N439" s="25" t="n">
        <x:v>-32.358470425803525</x:v>
      </x:c>
    </x:row>
    <x:row r="440">
      <x:c r="A440" s="25" t="n">
        <x:v>8</x:v>
      </x:c>
      <x:c r="B440" s="25" t="n">
        <x:v>4</x:v>
      </x:c>
      <x:c r="C440" s="25" t="n">
        <x:v>2</x:v>
      </x:c>
      <x:c r="D440" s="25" t="n">
        <x:v>40</x:v>
      </x:c>
      <x:c r="E440" s="25" t="str">
        <x:v>Équilibré</x:v>
      </x:c>
      <x:c r="F440" s="25" t="n">
        <x:v>0.8</x:v>
      </x:c>
      <x:c r="G440" s="25" t="n">
        <x:v>0.002394756813864729</x:v>
      </x:c>
      <x:c r="H440" s="25" t="n">
        <x:v>-1.8377838479419055</x:v>
      </x:c>
      <x:c r="I440" s="25" t="n">
        <x:v>118.99232415999856</x:v>
      </x:c>
      <x:c r="J440" s="25" t="n">
        <x:v>16529.617324159994</x:v>
      </x:c>
      <x:c r="K440" s="25" t="n">
        <x:v>4.158973332304886</x:v>
      </x:c>
      <x:c r="L440" s="25" t="n">
        <x:v>67.25</x:v>
      </x:c>
      <x:c r="M440" s="34" t="b">
        <x:v>0</x:v>
      </x:c>
      <x:c r="N440" s="25" t="n">
        <x:v>-32.362884573785074</x:v>
      </x:c>
    </x:row>
    <x:row r="441">
      <x:c r="A441" s="25" t="n">
        <x:v>10</x:v>
      </x:c>
      <x:c r="B441" s="25" t="n">
        <x:v>3</x:v>
      </x:c>
      <x:c r="C441" s="25" t="n">
        <x:v>2</x:v>
      </x:c>
      <x:c r="D441" s="25" t="n">
        <x:v>30</x:v>
      </x:c>
      <x:c r="E441" s="25" t="str">
        <x:v>Agressif</x:v>
      </x:c>
      <x:c r="F441" s="25" t="n">
        <x:v>1</x:v>
      </x:c>
      <x:c r="G441" s="25" t="n">
        <x:v>0.018585630042892116</x:v>
      </x:c>
      <x:c r="H441" s="25" t="n">
        <x:v>-1.8631787776271982</x:v>
      </x:c>
      <x:c r="I441" s="25" t="n">
        <x:v>1019.0082627156738</x:v>
      </x:c>
      <x:c r="J441" s="25" t="n">
        <x:v>17429.63326271567</x:v>
      </x:c>
      <x:c r="K441" s="25" t="n">
        <x:v>5.1987166653811085</x:v>
      </x:c>
      <x:c r="L441" s="25" t="n">
        <x:v>65.25</x:v>
      </x:c>
      <x:c r="M441" s="34" t="b">
        <x:v>0</x:v>
      </x:c>
      <x:c r="N441" s="25" t="n">
        <x:v>-32.507259788320894</x:v>
      </x:c>
    </x:row>
    <x:row r="442">
      <x:c r="A442" s="25" t="n">
        <x:v>6</x:v>
      </x:c>
      <x:c r="B442" s="25" t="n">
        <x:v>4</x:v>
      </x:c>
      <x:c r="C442" s="25" t="n">
        <x:v>2</x:v>
      </x:c>
      <x:c r="D442" s="25" t="n">
        <x:v>35</x:v>
      </x:c>
      <x:c r="E442" s="25" t="str">
        <x:v>Équilibré</x:v>
      </x:c>
      <x:c r="F442" s="25" t="n">
        <x:v>1</x:v>
      </x:c>
      <x:c r="G442" s="25" t="n">
        <x:v>-0.00006424401014575207</x:v>
      </x:c>
      <x:c r="H442" s="25" t="n">
        <x:v>-1.901142127832297</x:v>
      </x:c>
      <x:c r="I442" s="25" t="n">
        <x:v>-3.192200576001108</x:v>
      </x:c>
      <x:c r="J442" s="25" t="n">
        <x:v>16407.432799423994</x:v>
      </x:c>
      <x:c r="K442" s="25" t="n">
        <x:v>5.1987166653811085</x:v>
      </x:c>
      <x:c r="L442" s="25" t="n">
        <x:v>74.75</x:v>
      </x:c>
      <x:c r="M442" s="34" t="b">
        <x:v>0</x:v>
      </x:c>
      <x:c r="N442" s="25" t="n">
        <x:v>-32.58208661636544</x:v>
      </x:c>
    </x:row>
    <x:row r="443">
      <x:c r="A443" s="25" t="n">
        <x:v>6</x:v>
      </x:c>
      <x:c r="B443" s="25" t="n">
        <x:v>3</x:v>
      </x:c>
      <x:c r="C443" s="25" t="n">
        <x:v>2</x:v>
      </x:c>
      <x:c r="D443" s="25" t="n">
        <x:v>35</x:v>
      </x:c>
      <x:c r="E443" s="25" t="str">
        <x:v>Équilibré</x:v>
      </x:c>
      <x:c r="F443" s="25" t="n">
        <x:v>0.8</x:v>
      </x:c>
      <x:c r="G443" s="25" t="n">
        <x:v>-0.00875739811484836</x:v>
      </x:c>
      <x:c r="H443" s="25" t="n">
        <x:v>-1.8986154315980934</x:v>
      </x:c>
      <x:c r="I443" s="25" t="n">
        <x:v>-456.5744820799978</x:v>
      </x:c>
      <x:c r="J443" s="25" t="n">
        <x:v>15954.050517919999</x:v>
      </x:c>
      <x:c r="K443" s="25" t="n">
        <x:v>4.158973332304886</x:v>
      </x:c>
      <x:c r="L443" s="25" t="n">
        <x:v>76.75</x:v>
      </x:c>
      <x:c r="M443" s="34" t="b">
        <x:v>0</x:v>
      </x:c>
      <x:c r="N443" s="25" t="n">
        <x:v>-32.59704268626899</x:v>
      </x:c>
    </x:row>
    <x:row r="444">
      <x:c r="A444" s="25" t="n">
        <x:v>10</x:v>
      </x:c>
      <x:c r="B444" s="25" t="n">
        <x:v>2</x:v>
      </x:c>
      <x:c r="C444" s="25" t="n">
        <x:v>2</x:v>
      </x:c>
      <x:c r="D444" s="25" t="n">
        <x:v>35</x:v>
      </x:c>
      <x:c r="E444" s="25" t="str">
        <x:v>Équilibré</x:v>
      </x:c>
      <x:c r="F444" s="25" t="n">
        <x:v>1</x:v>
      </x:c>
      <x:c r="G444" s="25" t="n">
        <x:v>0.010846564995936012</x:v>
      </x:c>
      <x:c r="H444" s="25" t="n">
        <x:v>-1.879155513599809</x:v>
      </x:c>
      <x:c r="I444" s="25" t="n">
        <x:v>600.886207648</x:v>
      </x:c>
      <x:c r="J444" s="25" t="n">
        <x:v>17011.511207647996</x:v>
      </x:c>
      <x:c r="K444" s="25" t="n">
        <x:v>5.1987166653811085</x:v>
      </x:c>
      <x:c r="L444" s="25" t="n">
        <x:v>68.75</x:v>
      </x:c>
      <x:c r="M444" s="34" t="b">
        <x:v>0</x:v>
      </x:c>
      <x:c r="N444" s="25" t="n">
        <x:v>-32.63232676521874</x:v>
      </x:c>
    </x:row>
    <x:row r="445">
      <x:c r="A445" s="25" t="n">
        <x:v>10</x:v>
      </x:c>
      <x:c r="B445" s="25" t="n">
        <x:v>3</x:v>
      </x:c>
      <x:c r="C445" s="25" t="n">
        <x:v>2</x:v>
      </x:c>
      <x:c r="D445" s="25" t="n">
        <x:v>30</x:v>
      </x:c>
      <x:c r="E445" s="25" t="str">
        <x:v>Agressif</x:v>
      </x:c>
      <x:c r="F445" s="25" t="n">
        <x:v>1.2</x:v>
      </x:c>
      <x:c r="G445" s="25" t="n">
        <x:v>0.018585630042892116</x:v>
      </x:c>
      <x:c r="H445" s="25" t="n">
        <x:v>-1.8934505827767452</x:v>
      </x:c>
      <x:c r="I445" s="25" t="n">
        <x:v>1019.0082627156738</x:v>
      </x:c>
      <x:c r="J445" s="25" t="n">
        <x:v>17429.63326271567</x:v>
      </x:c>
      <x:c r="K445" s="25" t="n">
        <x:v>6.238459998457328</x:v>
      </x:c>
      <x:c r="L445" s="25" t="n">
        <x:v>68.25</x:v>
      </x:c>
      <x:c r="M445" s="34" t="b">
        <x:v>0</x:v>
      </x:c>
      <x:c r="N445" s="25" t="n">
        <x:v>-32.664054917059566</x:v>
      </x:c>
    </x:row>
    <x:row r="446">
      <x:c r="A446" s="25" t="n">
        <x:v>8</x:v>
      </x:c>
      <x:c r="B446" s="25" t="n">
        <x:v>2</x:v>
      </x:c>
      <x:c r="C446" s="25" t="n">
        <x:v>3</x:v>
      </x:c>
      <x:c r="D446" s="25" t="n">
        <x:v>35</x:v>
      </x:c>
      <x:c r="E446" s="25" t="str">
        <x:v>Agressif</x:v>
      </x:c>
      <x:c r="F446" s="25" t="n">
        <x:v>1</x:v>
      </x:c>
      <x:c r="G446" s="25" t="n">
        <x:v>0.07460045497150312</x:v>
      </x:c>
      <x:c r="H446" s="25" t="n">
        <x:v>-2.077178306509483</x:v>
      </x:c>
      <x:c r="I446" s="25" t="n">
        <x:v>4387.139537255596</x:v>
      </x:c>
      <x:c r="J446" s="25" t="n">
        <x:v>20797.764537255593</x:v>
      </x:c>
      <x:c r="K446" s="25" t="n">
        <x:v>5.1987166653811085</x:v>
      </x:c>
      <x:c r="L446" s="25" t="n">
        <x:v>75.75</x:v>
      </x:c>
      <x:c r="M446" s="34" t="b">
        <x:v>0</x:v>
      </x:c>
      <x:c r="N446" s="25" t="n">
        <x:v>-32.67643263930441</x:v>
      </x:c>
    </x:row>
    <x:row r="447">
      <x:c r="A447" s="25" t="n">
        <x:v>6</x:v>
      </x:c>
      <x:c r="B447" s="25" t="n">
        <x:v>2</x:v>
      </x:c>
      <x:c r="C447" s="25" t="n">
        <x:v>3</x:v>
      </x:c>
      <x:c r="D447" s="25" t="n">
        <x:v>35</x:v>
      </x:c>
      <x:c r="E447" s="25" t="str">
        <x:v>Agressif</x:v>
      </x:c>
      <x:c r="F447" s="25" t="n">
        <x:v>0.8</x:v>
      </x:c>
      <x:c r="G447" s="25" t="n">
        <x:v>0.059973276401110526</x:v>
      </x:c>
      <x:c r="H447" s="25" t="n">
        <x:v>-2.0863485688856276</x:v>
      </x:c>
      <x:c r="I447" s="25" t="n">
        <x:v>3526.9373649071804</x:v>
      </x:c>
      <x:c r="J447" s="25" t="n">
        <x:v>19937.562364907175</x:v>
      </x:c>
      <x:c r="K447" s="25" t="n">
        <x:v>4.158973332304886</x:v>
      </x:c>
      <x:c r="L447" s="25" t="n">
        <x:v>80.75</x:v>
      </x:c>
      <x:c r="M447" s="34" t="b">
        <x:v>0</x:v>
      </x:c>
      <x:c r="N447" s="25" t="n">
        <x:v>-32.71018402007961</x:v>
      </x:c>
    </x:row>
    <x:row r="448">
      <x:c r="A448" s="25" t="n">
        <x:v>6</x:v>
      </x:c>
      <x:c r="B448" s="25" t="n">
        <x:v>4</x:v>
      </x:c>
      <x:c r="C448" s="25" t="n">
        <x:v>2</x:v>
      </x:c>
      <x:c r="D448" s="25" t="n">
        <x:v>35</x:v>
      </x:c>
      <x:c r="E448" s="25" t="str">
        <x:v>Équilibré</x:v>
      </x:c>
      <x:c r="F448" s="25" t="n">
        <x:v>1.2</x:v>
      </x:c>
      <x:c r="G448" s="25" t="n">
        <x:v>-0.00006424401014575207</x:v>
      </x:c>
      <x:c r="H448" s="25" t="n">
        <x:v>-1.9309757789610658</x:v>
      </x:c>
      <x:c r="I448" s="25" t="n">
        <x:v>-3.192200576001108</x:v>
      </x:c>
      <x:c r="J448" s="25" t="n">
        <x:v>16407.432799423994</x:v>
      </x:c>
      <x:c r="K448" s="25" t="n">
        <x:v>6.238459998457328</x:v>
      </x:c>
      <x:c r="L448" s="25" t="n">
        <x:v>77.75</x:v>
      </x:c>
      <x:c r="M448" s="34" t="b">
        <x:v>0</x:v>
      </x:c>
      <x:c r="N448" s="25" t="n">
        <x:v>-32.72792789458465</x:v>
      </x:c>
    </x:row>
    <x:row r="449">
      <x:c r="A449" s="25" t="n">
        <x:v>10</x:v>
      </x:c>
      <x:c r="B449" s="25" t="n">
        <x:v>2</x:v>
      </x:c>
      <x:c r="C449" s="25" t="n">
        <x:v>2</x:v>
      </x:c>
      <x:c r="D449" s="25" t="n">
        <x:v>35</x:v>
      </x:c>
      <x:c r="E449" s="25" t="str">
        <x:v>Équilibré</x:v>
      </x:c>
      <x:c r="F449" s="25" t="n">
        <x:v>1.2</x:v>
      </x:c>
      <x:c r="G449" s="25" t="n">
        <x:v>0.010846564995936012</x:v>
      </x:c>
      <x:c r="H449" s="25" t="n">
        <x:v>-1.9096826862142426</x:v>
      </x:c>
      <x:c r="I449" s="25" t="n">
        <x:v>600.886207648</x:v>
      </x:c>
      <x:c r="J449" s="25" t="n">
        <x:v>17011.511207647996</x:v>
      </x:c>
      <x:c r="K449" s="25" t="n">
        <x:v>6.238459998457328</x:v>
      </x:c>
      <x:c r="L449" s="25" t="n">
        <x:v>71.75</x:v>
      </x:c>
      <x:c r="M449" s="34" t="b">
        <x:v>0</x:v>
      </x:c>
      <x:c r="N449" s="25" t="n">
        <x:v>-32.795506080579585</x:v>
      </x:c>
    </x:row>
    <x:row r="450">
      <x:c r="A450" s="25" t="n">
        <x:v>10</x:v>
      </x:c>
      <x:c r="B450" s="25" t="n">
        <x:v>4</x:v>
      </x:c>
      <x:c r="C450" s="25" t="n">
        <x:v>1.5</x:v>
      </x:c>
      <x:c r="D450" s="25" t="n">
        <x:v>30</x:v>
      </x:c>
      <x:c r="E450" s="25" t="str">
        <x:v>Agressif</x:v>
      </x:c>
      <x:c r="F450" s="25" t="n">
        <x:v>0.8</x:v>
      </x:c>
      <x:c r="G450" s="25" t="n">
        <x:v>-0.013924612342279088</x:v>
      </x:c>
      <x:c r="H450" s="25" t="n">
        <x:v>-1.770158711904992</x:v>
      </x:c>
      <x:c r="I450" s="25" t="n">
        <x:v>-721.8825290591487</x:v>
      </x:c>
      <x:c r="J450" s="25" t="n">
        <x:v>15688.742470940848</x:v>
      </x:c>
      <x:c r="K450" s="25" t="n">
        <x:v>4.158973332304886</x:v>
      </x:c>
      <x:c r="L450" s="25" t="n">
        <x:v>60.25</x:v>
      </x:c>
      <x:c r="M450" s="34" t="b">
        <x:v>0</x:v>
      </x:c>
      <x:c r="N450" s="25" t="n">
        <x:v>-32.96982147645015</x:v>
      </x:c>
    </x:row>
    <x:row r="451">
      <x:c r="A451" s="25" t="n">
        <x:v>10</x:v>
      </x:c>
      <x:c r="B451" s="25" t="n">
        <x:v>3</x:v>
      </x:c>
      <x:c r="C451" s="25" t="n">
        <x:v>1.5</x:v>
      </x:c>
      <x:c r="D451" s="25" t="n">
        <x:v>35</x:v>
      </x:c>
      <x:c r="E451" s="25" t="str">
        <x:v>Équilibré</x:v>
      </x:c>
      <x:c r="F451" s="25" t="n">
        <x:v>0.8</x:v>
      </x:c>
      <x:c r="G451" s="25" t="n">
        <x:v>-0.018398843523056888</x:v>
      </x:c>
      <x:c r="H451" s="25" t="n">
        <x:v>-1.7912802749206298</x:v>
      </x:c>
      <x:c r="I451" s="25" t="n">
        <x:v>-959.2395300800002</x:v>
      </x:c>
      <x:c r="J451" s="25" t="n">
        <x:v>15451.385469919996</x:v>
      </x:c>
      <x:c r="K451" s="25" t="n">
        <x:v>4.158973332304886</x:v>
      </x:c>
      <x:c r="L451" s="25" t="n">
        <x:v>63.75</x:v>
      </x:c>
      <x:c r="M451" s="34" t="b">
        <x:v>0</x:v>
      </x:c>
      <x:c r="N451" s="25" t="n">
        <x:v>-33.04394326678388</x:v>
      </x:c>
    </x:row>
    <x:row r="452">
      <x:c r="A452" s="25" t="n">
        <x:v>8</x:v>
      </x:c>
      <x:c r="B452" s="25" t="n">
        <x:v>2</x:v>
      </x:c>
      <x:c r="C452" s="25" t="n">
        <x:v>3</x:v>
      </x:c>
      <x:c r="D452" s="25" t="n">
        <x:v>35</x:v>
      </x:c>
      <x:c r="E452" s="25" t="str">
        <x:v>Agressif</x:v>
      </x:c>
      <x:c r="F452" s="25" t="n">
        <x:v>1.2</x:v>
      </x:c>
      <x:c r="G452" s="25" t="n">
        <x:v>0.07460045497150312</x:v>
      </x:c>
      <x:c r="H452" s="25" t="n">
        <x:v>-2.1163156702269896</x:v>
      </x:c>
      <x:c r="I452" s="25" t="n">
        <x:v>4387.139537255596</x:v>
      </x:c>
      <x:c r="J452" s="25" t="n">
        <x:v>20797.764537255593</x:v>
      </x:c>
      <x:c r="K452" s="25" t="n">
        <x:v>6.238459998457328</x:v>
      </x:c>
      <x:c r="L452" s="25" t="n">
        <x:v>78.75</x:v>
      </x:c>
      <x:c r="M452" s="34" t="b">
        <x:v>0</x:v>
      </x:c>
      <x:c r="N452" s="25" t="n">
        <x:v>-33.05486673224207</x:v>
      </x:c>
    </x:row>
    <x:row r="453">
      <x:c r="A453" s="25" t="n">
        <x:v>10</x:v>
      </x:c>
      <x:c r="B453" s="25" t="n">
        <x:v>2</x:v>
      </x:c>
      <x:c r="C453" s="25" t="n">
        <x:v>2</x:v>
      </x:c>
      <x:c r="D453" s="25" t="n">
        <x:v>30</x:v>
      </x:c>
      <x:c r="E453" s="25" t="str">
        <x:v>Agressif</x:v>
      </x:c>
      <x:c r="F453" s="25" t="n">
        <x:v>0.8</x:v>
      </x:c>
      <x:c r="G453" s="25" t="n">
        <x:v>0.002459127446707421</x:v>
      </x:c>
      <x:c r="H453" s="25" t="n">
        <x:v>-1.870411263702736</x:v>
      </x:c>
      <x:c r="I453" s="25" t="n">
        <x:v>144.61755297232006</x:v>
      </x:c>
      <x:c r="J453" s="25" t="n">
        <x:v>16555.242552972315</x:v>
      </x:c>
      <x:c r="K453" s="25" t="n">
        <x:v>4.158973332304886</x:v>
      </x:c>
      <x:c r="L453" s="25" t="n">
        <x:v>67.25</x:v>
      </x:c>
      <x:c r="M453" s="34" t="b">
        <x:v>0</x:v>
      </x:c>
      <x:c r="N453" s="25" t="n">
        <x:v>-33.175029582999485</x:v>
      </x:c>
    </x:row>
    <x:row r="454">
      <x:c r="A454" s="25" t="n">
        <x:v>10</x:v>
      </x:c>
      <x:c r="B454" s="25" t="n">
        <x:v>2</x:v>
      </x:c>
      <x:c r="C454" s="25" t="n">
        <x:v>1.5</x:v>
      </x:c>
      <x:c r="D454" s="25" t="n">
        <x:v>40</x:v>
      </x:c>
      <x:c r="E454" s="25" t="str">
        <x:v>Conservateur</x:v>
      </x:c>
      <x:c r="F454" s="25" t="n">
        <x:v>0.8</x:v>
      </x:c>
      <x:c r="G454" s="25" t="n">
        <x:v>-0.026590267903202094</x:v>
      </x:c>
      <x:c r="H454" s="25" t="n">
        <x:v>-1.80841161928171</x:v>
      </x:c>
      <x:c r="I454" s="25" t="n">
        <x:v>-1423.6138346393607</x:v>
      </x:c>
      <x:c r="J454" s="25" t="n">
        <x:v>14987.011165360633</x:v>
      </x:c>
      <x:c r="K454" s="25" t="n">
        <x:v>4.158973332304886</x:v>
      </x:c>
      <x:c r="L454" s="25" t="n">
        <x:v>67.25</x:v>
      </x:c>
      <x:c r="M454" s="34" t="b">
        <x:v>0</x:v>
      </x:c>
      <x:c r="N454" s="25" t="n">
        <x:v>-33.222755216718866</x:v>
      </x:c>
    </x:row>
    <x:row r="455">
      <x:c r="A455" s="25" t="n">
        <x:v>6</x:v>
      </x:c>
      <x:c r="B455" s="25" t="n">
        <x:v>2</x:v>
      </x:c>
      <x:c r="C455" s="25" t="n">
        <x:v>1.5</x:v>
      </x:c>
      <x:c r="D455" s="25" t="n">
        <x:v>35</x:v>
      </x:c>
      <x:c r="E455" s="25" t="str">
        <x:v>Conservateur</x:v>
      </x:c>
      <x:c r="F455" s="25" t="n">
        <x:v>1</x:v>
      </x:c>
      <x:c r="G455" s="25" t="n">
        <x:v>-0.03881327043474558</x:v>
      </x:c>
      <x:c r="H455" s="25" t="n">
        <x:v>-1.9117942820759803</x:v>
      </x:c>
      <x:c r="I455" s="25" t="n">
        <x:v>-2078.0200094128672</x:v>
      </x:c>
      <x:c r="J455" s="25" t="n">
        <x:v>14332.604990587128</x:v>
      </x:c>
      <x:c r="K455" s="25" t="n">
        <x:v>5.1987166653811085</x:v>
      </x:c>
      <x:c r="L455" s="25" t="n">
        <x:v>82.75</x:v>
      </x:c>
      <x:c r="M455" s="34" t="b">
        <x:v>0</x:v>
      </x:c>
      <x:c r="N455" s="25" t="n">
        <x:v>-33.379586925810514</x:v>
      </x:c>
    </x:row>
    <x:row r="456">
      <x:c r="A456" s="25" t="n">
        <x:v>6</x:v>
      </x:c>
      <x:c r="B456" s="25" t="n">
        <x:v>2</x:v>
      </x:c>
      <x:c r="C456" s="25" t="n">
        <x:v>1.5</x:v>
      </x:c>
      <x:c r="D456" s="25" t="n">
        <x:v>35</x:v>
      </x:c>
      <x:c r="E456" s="25" t="str">
        <x:v>Conservateur</x:v>
      </x:c>
      <x:c r="F456" s="25" t="n">
        <x:v>1.2</x:v>
      </x:c>
      <x:c r="G456" s="25" t="n">
        <x:v>-0.03881327043474558</x:v>
      </x:c>
      <x:c r="H456" s="25" t="n">
        <x:v>-1.9403841426679622</x:v>
      </x:c>
      <x:c r="I456" s="25" t="n">
        <x:v>-2078.0200094128672</x:v>
      </x:c>
      <x:c r="J456" s="25" t="n">
        <x:v>14332.604990587128</x:v>
      </x:c>
      <x:c r="K456" s="25" t="n">
        <x:v>6.238459998457328</x:v>
      </x:c>
      <x:c r="L456" s="25" t="n">
        <x:v>85.75</x:v>
      </x:c>
      <x:c r="M456" s="34" t="b">
        <x:v>0</x:v>
      </x:c>
      <x:c r="N456" s="25" t="n">
        <x:v>-33.49433344061006</x:v>
      </x:c>
    </x:row>
    <x:row r="457">
      <x:c r="A457" s="25" t="n">
        <x:v>10</x:v>
      </x:c>
      <x:c r="B457" s="25" t="n">
        <x:v>3</x:v>
      </x:c>
      <x:c r="C457" s="25" t="n">
        <x:v>2</x:v>
      </x:c>
      <x:c r="D457" s="25" t="n">
        <x:v>40</x:v>
      </x:c>
      <x:c r="E457" s="25" t="str">
        <x:v>Équilibré</x:v>
      </x:c>
      <x:c r="F457" s="25" t="n">
        <x:v>0.8</x:v>
      </x:c>
      <x:c r="G457" s="25" t="n">
        <x:v>0.002371788492603806</x:v>
      </x:c>
      <x:c r="H457" s="25" t="n">
        <x:v>-1.8604958359157227</x:v>
      </x:c>
      <x:c r="I457" s="25" t="n">
        <x:v>123.655232800003</x:v>
      </x:c>
      <x:c r="J457" s="25" t="n">
        <x:v>16534.280232799996</x:v>
      </x:c>
      <x:c r="K457" s="25" t="n">
        <x:v>4.158973332304886</x:v>
      </x:c>
      <x:c r="L457" s="25" t="n">
        <x:v>64.25</x:v>
      </x:c>
      <x:c r="M457" s="34" t="b">
        <x:v>0</x:v>
      </x:c>
      <x:c r="N457" s="25" t="n">
        <x:v>-33.531947530799854</x:v>
      </x:c>
    </x:row>
    <x:row r="458">
      <x:c r="A458" s="25" t="n">
        <x:v>8</x:v>
      </x:c>
      <x:c r="B458" s="25" t="n">
        <x:v>3</x:v>
      </x:c>
      <x:c r="C458" s="25" t="n">
        <x:v>3</x:v>
      </x:c>
      <x:c r="D458" s="25" t="n">
        <x:v>40</x:v>
      </x:c>
      <x:c r="E458" s="25" t="str">
        <x:v>Agressif</x:v>
      </x:c>
      <x:c r="F458" s="25" t="n">
        <x:v>0.8</x:v>
      </x:c>
      <x:c r="G458" s="25" t="n">
        <x:v>0.0641675182219094</x:v>
      </x:c>
      <x:c r="H458" s="25" t="n">
        <x:v>-2.0612701523090697</x:v>
      </x:c>
      <x:c r="I458" s="25" t="n">
        <x:v>3518.1605958572773</x:v>
      </x:c>
      <x:c r="J458" s="25" t="n">
        <x:v>19928.785595857273</x:v>
      </x:c>
      <x:c r="K458" s="25" t="n">
        <x:v>4.158973332304886</x:v>
      </x:c>
      <x:c r="L458" s="25" t="n">
        <x:v>71.25</x:v>
      </x:c>
      <x:c r="M458" s="34" t="b">
        <x:v>0</x:v>
      </x:c>
      <x:c r="N458" s="25" t="n">
        <x:v>-33.75254030552173</x:v>
      </x:c>
    </x:row>
    <x:row r="459">
      <x:c r="A459" s="25" t="n">
        <x:v>8</x:v>
      </x:c>
      <x:c r="B459" s="25" t="n">
        <x:v>3</x:v>
      </x:c>
      <x:c r="C459" s="25" t="n">
        <x:v>1.5</x:v>
      </x:c>
      <x:c r="D459" s="25" t="n">
        <x:v>40</x:v>
      </x:c>
      <x:c r="E459" s="25" t="str">
        <x:v>Conservateur</x:v>
      </x:c>
      <x:c r="F459" s="25" t="n">
        <x:v>1</x:v>
      </x:c>
      <x:c r="G459" s="25" t="n">
        <x:v>-0.029292042908088328</x:v>
      </x:c>
      <x:c r="H459" s="25" t="n">
        <x:v>-1.8812886424912179</x:v>
      </x:c>
      <x:c r="I459" s="25" t="n">
        <x:v>-1484.156247833602</x:v>
      </x:c>
      <x:c r="J459" s="25" t="n">
        <x:v>14926.468752166395</x:v>
      </x:c>
      <x:c r="K459" s="25" t="n">
        <x:v>5.1987166653811085</x:v>
      </x:c>
      <x:c r="L459" s="25" t="n">
        <x:v>73.25</x:v>
      </x:c>
      <x:c r="M459" s="34" t="b">
        <x:v>0</x:v>
      </x:c>
      <x:c r="N459" s="25" t="n">
        <x:v>-33.99327842222531</x:v>
      </x:c>
    </x:row>
    <x:row r="460">
      <x:c r="A460" s="25" t="n">
        <x:v>8</x:v>
      </x:c>
      <x:c r="B460" s="25" t="n">
        <x:v>3</x:v>
      </x:c>
      <x:c r="C460" s="25" t="n">
        <x:v>1.5</x:v>
      </x:c>
      <x:c r="D460" s="25" t="n">
        <x:v>40</x:v>
      </x:c>
      <x:c r="E460" s="25" t="str">
        <x:v>Conservateur</x:v>
      </x:c>
      <x:c r="F460" s="25" t="n">
        <x:v>1.2</x:v>
      </x:c>
      <x:c r="G460" s="25" t="n">
        <x:v>-0.029292042908088328</x:v>
      </x:c>
      <x:c r="H460" s="25" t="n">
        <x:v>-1.9091563472857973</x:v>
      </x:c>
      <x:c r="I460" s="25" t="n">
        <x:v>-1484.156247833602</x:v>
      </x:c>
      <x:c r="J460" s="25" t="n">
        <x:v>14926.468752166395</x:v>
      </x:c>
      <x:c r="K460" s="25" t="n">
        <x:v>6.238459998457328</x:v>
      </x:c>
      <x:c r="L460" s="25" t="n">
        <x:v>76.25</x:v>
      </x:c>
      <x:c r="M460" s="34" t="b">
        <x:v>0</x:v>
      </x:c>
      <x:c r="N460" s="25" t="n">
        <x:v>-34.08997104208979</x:v>
      </x:c>
    </x:row>
    <x:row r="461">
      <x:c r="A461" s="25" t="n">
        <x:v>8</x:v>
      </x:c>
      <x:c r="B461" s="25" t="n">
        <x:v>4</x:v>
      </x:c>
      <x:c r="C461" s="25" t="n">
        <x:v>3</x:v>
      </x:c>
      <x:c r="D461" s="25" t="n">
        <x:v>40</x:v>
      </x:c>
      <x:c r="E461" s="25" t="str">
        <x:v>Agressif</x:v>
      </x:c>
      <x:c r="F461" s="25" t="n">
        <x:v>1</x:v>
      </x:c>
      <x:c r="G461" s="25" t="n">
        <x:v>0.06755309073774414</x:v>
      </x:c>
      <x:c r="H461" s="25" t="n">
        <x:v>-2.0685828885478332</x:v>
      </x:c>
      <x:c r="I461" s="25" t="n">
        <x:v>3502.1007974103</x:v>
      </x:c>
      <x:c r="J461" s="25" t="n">
        <x:v>19912.725797410298</x:v>
      </x:c>
      <x:c r="K461" s="25" t="n">
        <x:v>5.1987166653811085</x:v>
      </x:c>
      <x:c r="L461" s="25" t="n">
        <x:v>69.25</x:v>
      </x:c>
      <x:c r="M461" s="34" t="b">
        <x:v>0</x:v>
      </x:c>
      <x:c r="N461" s="25" t="n">
        <x:v>-34.149152223119906</x:v>
      </x:c>
    </x:row>
    <x:row r="462">
      <x:c r="A462" s="25" t="n">
        <x:v>6</x:v>
      </x:c>
      <x:c r="B462" s="25" t="n">
        <x:v>2</x:v>
      </x:c>
      <x:c r="C462" s="25" t="n">
        <x:v>2</x:v>
      </x:c>
      <x:c r="D462" s="25" t="n">
        <x:v>40</x:v>
      </x:c>
      <x:c r="E462" s="25" t="str">
        <x:v>Conservateur</x:v>
      </x:c>
      <x:c r="F462" s="25" t="n">
        <x:v>1</x:v>
      </x:c>
      <x:c r="G462" s="25" t="n">
        <x:v>-0.01920713407530025</x:v>
      </x:c>
      <x:c r="H462" s="25" t="n">
        <x:v>-1.9942488791568234</x:v>
      </x:c>
      <x:c r="I462" s="25" t="n">
        <x:v>-1028.3289319577602</x:v>
      </x:c>
      <x:c r="J462" s="25" t="n">
        <x:v>15382.296068042235</x:v>
      </x:c>
      <x:c r="K462" s="25" t="n">
        <x:v>5.1987166653811085</x:v>
      </x:c>
      <x:c r="L462" s="25" t="n">
        <x:v>83.25</x:v>
      </x:c>
      <x:c r="M462" s="34" t="b">
        <x:v>0</x:v>
      </x:c>
      <x:c r="N462" s="25" t="n">
        <x:v>-34.262614353062105</x:v>
      </x:c>
    </x:row>
    <x:row r="463">
      <x:c r="A463" s="25" t="n">
        <x:v>6</x:v>
      </x:c>
      <x:c r="B463" s="25" t="n">
        <x:v>3</x:v>
      </x:c>
      <x:c r="C463" s="25" t="n">
        <x:v>3</x:v>
      </x:c>
      <x:c r="D463" s="25" t="n">
        <x:v>35</x:v>
      </x:c>
      <x:c r="E463" s="25" t="str">
        <x:v>Agressif</x:v>
      </x:c>
      <x:c r="F463" s="25" t="n">
        <x:v>1</x:v>
      </x:c>
      <x:c r="G463" s="25" t="n">
        <x:v>0.05907759960583688</x:v>
      </x:c>
      <x:c r="H463" s="25" t="n">
        <x:v>-2.1342340289954453</x:v>
      </x:c>
      <x:c r="I463" s="25" t="n">
        <x:v>3239.0918145268424</x:v>
      </x:c>
      <x:c r="J463" s="25" t="n">
        <x:v>19649.71681452684</x:v>
      </x:c>
      <x:c r="K463" s="25" t="n">
        <x:v>5.1987166653811085</x:v>
      </x:c>
      <x:c r="L463" s="25" t="n">
        <x:v>78.75</x:v>
      </x:c>
      <x:c r="M463" s="34" t="b">
        <x:v>0</x:v>
      </x:c>
      <x:c r="N463" s="25" t="n">
        <x:v>-34.3565827465651</x:v>
      </x:c>
    </x:row>
    <x:row r="464">
      <x:c r="A464" s="25" t="n">
        <x:v>8</x:v>
      </x:c>
      <x:c r="B464" s="25" t="n">
        <x:v>4</x:v>
      </x:c>
      <x:c r="C464" s="25" t="n">
        <x:v>1.5</x:v>
      </x:c>
      <x:c r="D464" s="25" t="n">
        <x:v>35</x:v>
      </x:c>
      <x:c r="E464" s="25" t="str">
        <x:v>Équilibré</x:v>
      </x:c>
      <x:c r="F464" s="25" t="n">
        <x:v>1</x:v>
      </x:c>
      <x:c r="G464" s="25" t="n">
        <x:v>-0.028893503067257537</x:v>
      </x:c>
      <x:c r="H464" s="25" t="n">
        <x:v>-1.871780076417593</x:v>
      </x:c>
      <x:c r="I464" s="25" t="n">
        <x:v>-1435.6802591360022</x:v>
      </x:c>
      <x:c r="J464" s="25" t="n">
        <x:v>14974.944740863994</x:v>
      </x:c>
      <x:c r="K464" s="25" t="n">
        <x:v>5.1987166653811085</x:v>
      </x:c>
      <x:c r="L464" s="25" t="n">
        <x:v>69.75</x:v>
      </x:c>
      <x:c r="M464" s="34" t="b">
        <x:v>0</x:v>
      </x:c>
      <x:c r="N464" s="25" t="n">
        <x:v>-34.433644579138985</x:v>
      </x:c>
    </x:row>
    <x:row r="465">
      <x:c r="A465" s="25" t="n">
        <x:v>6</x:v>
      </x:c>
      <x:c r="B465" s="25" t="n">
        <x:v>2</x:v>
      </x:c>
      <x:c r="C465" s="25" t="n">
        <x:v>2</x:v>
      </x:c>
      <x:c r="D465" s="25" t="n">
        <x:v>40</x:v>
      </x:c>
      <x:c r="E465" s="25" t="str">
        <x:v>Conservateur</x:v>
      </x:c>
      <x:c r="F465" s="25" t="n">
        <x:v>1.2</x:v>
      </x:c>
      <x:c r="G465" s="25" t="n">
        <x:v>-0.01920713407530025</x:v>
      </x:c>
      <x:c r="H465" s="25" t="n">
        <x:v>-2.0260153909256915</x:v>
      </x:c>
      <x:c r="I465" s="25" t="n">
        <x:v>-1028.3289319577602</x:v>
      </x:c>
      <x:c r="J465" s="25" t="n">
        <x:v>15382.296068042235</x:v>
      </x:c>
      <x:c r="K465" s="25" t="n">
        <x:v>6.238459998457328</x:v>
      </x:c>
      <x:c r="L465" s="25" t="n">
        <x:v>86.25</x:v>
      </x:c>
      <x:c r="M465" s="34" t="b">
        <x:v>0</x:v>
      </x:c>
      <x:c r="N465" s="25" t="n">
        <x:v>-34.4567771472838</x:v>
      </x:c>
    </x:row>
    <x:row r="466">
      <x:c r="A466" s="25" t="n">
        <x:v>6</x:v>
      </x:c>
      <x:c r="B466" s="25" t="n">
        <x:v>2</x:v>
      </x:c>
      <x:c r="C466" s="25" t="n">
        <x:v>1.5</x:v>
      </x:c>
      <x:c r="D466" s="25" t="n">
        <x:v>30</x:v>
      </x:c>
      <x:c r="E466" s="25" t="str">
        <x:v>Équilibré</x:v>
      </x:c>
      <x:c r="F466" s="25" t="n">
        <x:v>1</x:v>
      </x:c>
      <x:c r="G466" s="25" t="n">
        <x:v>-0.04681832043749142</x:v>
      </x:c>
      <x:c r="H466" s="25" t="n">
        <x:v>-1.949904998741561</x:v>
      </x:c>
      <x:c r="I466" s="25" t="n">
        <x:v>-2593.6767102464</x:v>
      </x:c>
      <x:c r="J466" s="25" t="n">
        <x:v>13816.948289753596</x:v>
      </x:c>
      <x:c r="K466" s="25" t="n">
        <x:v>5.1987166653811085</x:v>
      </x:c>
      <x:c r="L466" s="25" t="n">
        <x:v>84.25</x:v>
      </x:c>
      <x:c r="M466" s="34" t="b">
        <x:v>0</x:v>
      </x:c>
      <x:c r="N466" s="25" t="n">
        <x:v>-34.47263259260105</x:v>
      </x:c>
    </x:row>
    <x:row r="467">
      <x:c r="A467" s="25" t="n">
        <x:v>6</x:v>
      </x:c>
      <x:c r="B467" s="25" t="n">
        <x:v>4</x:v>
      </x:c>
      <x:c r="C467" s="25" t="n">
        <x:v>2</x:v>
      </x:c>
      <x:c r="D467" s="25" t="n">
        <x:v>30</x:v>
      </x:c>
      <x:c r="E467" s="25" t="str">
        <x:v>Agressif</x:v>
      </x:c>
      <x:c r="F467" s="25" t="n">
        <x:v>0.8</x:v>
      </x:c>
      <x:c r="G467" s="25" t="n">
        <x:v>-0.01698138446218487</x:v>
      </x:c>
      <x:c r="H467" s="25" t="n">
        <x:v>-1.928316693886403</x:v>
      </x:c>
      <x:c r="I467" s="25" t="n">
        <x:v>-880.352318697394</x:v>
      </x:c>
      <x:c r="J467" s="25" t="n">
        <x:v>15530.2726813026</x:v>
      </x:c>
      <x:c r="K467" s="25" t="n">
        <x:v>4.158973332304886</x:v>
      </x:c>
      <x:c r="L467" s="25" t="n">
        <x:v>73.25</x:v>
      </x:c>
      <x:c r="M467" s="34" t="b">
        <x:v>0</x:v>
      </x:c>
      <x:c r="N467" s="25" t="n">
        <x:v>-34.49189349258024</x:v>
      </x:c>
    </x:row>
    <x:row r="468">
      <x:c r="A468" s="25" t="n">
        <x:v>8</x:v>
      </x:c>
      <x:c r="B468" s="25" t="n">
        <x:v>4</x:v>
      </x:c>
      <x:c r="C468" s="25" t="n">
        <x:v>3</x:v>
      </x:c>
      <x:c r="D468" s="25" t="n">
        <x:v>40</x:v>
      </x:c>
      <x:c r="E468" s="25" t="str">
        <x:v>Agressif</x:v>
      </x:c>
      <x:c r="F468" s="25" t="n">
        <x:v>1.2</x:v>
      </x:c>
      <x:c r="G468" s="25" t="n">
        <x:v>0.06755309073774414</x:v>
      </x:c>
      <x:c r="H468" s="25" t="n">
        <x:v>-2.1065901606150628</x:v>
      </x:c>
      <x:c r="I468" s="25" t="n">
        <x:v>3502.1007974103</x:v>
      </x:c>
      <x:c r="J468" s="25" t="n">
        <x:v>19912.725797410298</x:v>
      </x:c>
      <x:c r="K468" s="25" t="n">
        <x:v>6.238459998457328</x:v>
      </x:c>
      <x:c r="L468" s="25" t="n">
        <x:v>72.25</x:v>
      </x:c>
      <x:c r="M468" s="34" t="b">
        <x:v>0</x:v>
      </x:c>
      <x:c r="N468" s="25" t="n">
        <x:v>-34.49933402480063</x:v>
      </x:c>
    </x:row>
    <x:row r="469">
      <x:c r="A469" s="25" t="n">
        <x:v>8</x:v>
      </x:c>
      <x:c r="B469" s="25" t="n">
        <x:v>4</x:v>
      </x:c>
      <x:c r="C469" s="25" t="n">
        <x:v>1.5</x:v>
      </x:c>
      <x:c r="D469" s="25" t="n">
        <x:v>35</x:v>
      </x:c>
      <x:c r="E469" s="25" t="str">
        <x:v>Équilibré</x:v>
      </x:c>
      <x:c r="F469" s="25" t="n">
        <x:v>1.2</x:v>
      </x:c>
      <x:c r="G469" s="25" t="n">
        <x:v>-0.028893503067257537</x:v>
      </x:c>
      <x:c r="H469" s="25" t="n">
        <x:v>-1.8993279711324034</x:v>
      </x:c>
      <x:c r="I469" s="25" t="n">
        <x:v>-1435.6802591360022</x:v>
      </x:c>
      <x:c r="J469" s="25" t="n">
        <x:v>14974.944740863994</x:v>
      </x:c>
      <x:c r="K469" s="25" t="n">
        <x:v>6.238459998457328</x:v>
      </x:c>
      <x:c r="L469" s="25" t="n">
        <x:v>72.75</x:v>
      </x:c>
      <x:c r="M469" s="34" t="b">
        <x:v>0</x:v>
      </x:c>
      <x:c r="N469" s="25" t="n">
        <x:v>-34.52234194700925</x:v>
      </x:c>
    </x:row>
    <x:row r="470">
      <x:c r="A470" s="25" t="n">
        <x:v>6</x:v>
      </x:c>
      <x:c r="B470" s="25" t="n">
        <x:v>2</x:v>
      </x:c>
      <x:c r="C470" s="25" t="n">
        <x:v>1.5</x:v>
      </x:c>
      <x:c r="D470" s="25" t="n">
        <x:v>30</x:v>
      </x:c>
      <x:c r="E470" s="25" t="str">
        <x:v>Équilibré</x:v>
      </x:c>
      <x:c r="F470" s="25" t="n">
        <x:v>1.2</x:v>
      </x:c>
      <x:c r="G470" s="25" t="n">
        <x:v>-0.04681832043749142</x:v>
      </x:c>
      <x:c r="H470" s="25" t="n">
        <x:v>-1.97923021527743</x:v>
      </x:c>
      <x:c r="I470" s="25" t="n">
        <x:v>-2593.6767102464</x:v>
      </x:c>
      <x:c r="J470" s="25" t="n">
        <x:v>13816.948289753596</x:v>
      </x:c>
      <x:c r="K470" s="25" t="n">
        <x:v>6.238459998457328</x:v>
      </x:c>
      <x:c r="L470" s="25" t="n">
        <x:v>87.25</x:v>
      </x:c>
      <x:c r="M470" s="34" t="b">
        <x:v>0</x:v>
      </x:c>
      <x:c r="N470" s="25" t="n">
        <x:v>-34.60576300599777</x:v>
      </x:c>
    </x:row>
    <x:row r="471">
      <x:c r="A471" s="25" t="n">
        <x:v>10</x:v>
      </x:c>
      <x:c r="B471" s="25" t="n">
        <x:v>2</x:v>
      </x:c>
      <x:c r="C471" s="25" t="n">
        <x:v>3</x:v>
      </x:c>
      <x:c r="D471" s="25" t="n">
        <x:v>40</x:v>
      </x:c>
      <x:c r="E471" s="25" t="str">
        <x:v>Agressif</x:v>
      </x:c>
      <x:c r="F471" s="25" t="n">
        <x:v>0.8</x:v>
      </x:c>
      <x:c r="G471" s="25" t="n">
        <x:v>0.06505956432646479</x:v>
      </x:c>
      <x:c r="H471" s="25" t="n">
        <x:v>-2.0736956932529087</x:v>
      </x:c>
      <x:c r="I471" s="25" t="n">
        <x:v>3826.054238439806</x:v>
      </x:c>
      <x:c r="J471" s="25" t="n">
        <x:v>20236.6792384398</x:v>
      </x:c>
      <x:c r="K471" s="25" t="n">
        <x:v>4.158973332304886</x:v>
      </x:c>
      <x:c r="L471" s="25" t="n">
        <x:v>68.25</x:v>
      </x:c>
      <x:c r="M471" s="34" t="b">
        <x:v>0</x:v>
      </x:c>
      <x:c r="N471" s="25" t="n">
        <x:v>-34.61411629336716</x:v>
      </x:c>
    </x:row>
    <x:row r="472">
      <x:c r="A472" s="25" t="n">
        <x:v>6</x:v>
      </x:c>
      <x:c r="B472" s="25" t="n">
        <x:v>3</x:v>
      </x:c>
      <x:c r="C472" s="25" t="n">
        <x:v>3</x:v>
      </x:c>
      <x:c r="D472" s="25" t="n">
        <x:v>35</x:v>
      </x:c>
      <x:c r="E472" s="25" t="str">
        <x:v>Agressif</x:v>
      </x:c>
      <x:c r="F472" s="25" t="n">
        <x:v>1.2</x:v>
      </x:c>
      <x:c r="G472" s="25" t="n">
        <x:v>0.05907759960583688</x:v>
      </x:c>
      <x:c r="H472" s="25" t="n">
        <x:v>-2.173688419719552</x:v>
      </x:c>
      <x:c r="I472" s="25" t="n">
        <x:v>3239.0918145268424</x:v>
      </x:c>
      <x:c r="J472" s="25" t="n">
        <x:v>19649.71681452684</x:v>
      </x:c>
      <x:c r="K472" s="25" t="n">
        <x:v>6.238459998457328</x:v>
      </x:c>
      <x:c r="L472" s="25" t="n">
        <x:v>81.75</x:v>
      </x:c>
      <x:c r="M472" s="34" t="b">
        <x:v>0</x:v>
      </x:c>
      <x:c r="N472" s="25" t="n">
        <x:v>-34.74294251466777</x:v>
      </x:c>
    </x:row>
    <x:row r="473">
      <x:c r="A473" s="25" t="n">
        <x:v>8</x:v>
      </x:c>
      <x:c r="B473" s="25" t="n">
        <x:v>2</x:v>
      </x:c>
      <x:c r="C473" s="25" t="n">
        <x:v>2</x:v>
      </x:c>
      <x:c r="D473" s="25" t="n">
        <x:v>35</x:v>
      </x:c>
      <x:c r="E473" s="25" t="str">
        <x:v>Équilibré</x:v>
      </x:c>
      <x:c r="F473" s="25" t="n">
        <x:v>1</x:v>
      </x:c>
      <x:c r="G473" s="25" t="n">
        <x:v>-0.012538523417240656</x:v>
      </x:c>
      <x:c r="H473" s="25" t="n">
        <x:v>-1.9773043399643258</x:v>
      </x:c>
      <x:c r="I473" s="25" t="n">
        <x:v>-694.6185993920011</x:v>
      </x:c>
      <x:c r="J473" s="25" t="n">
        <x:v>15716.006400607994</x:v>
      </x:c>
      <x:c r="K473" s="25" t="n">
        <x:v>5.1987166653811085</x:v>
      </x:c>
      <x:c r="L473" s="25" t="n">
        <x:v>76.75</x:v>
      </x:c>
      <x:c r="M473" s="34" t="b">
        <x:v>0</x:v>
      </x:c>
      <x:c r="N473" s="25" t="n">
        <x:v>-34.772227287056374</x:v>
      </x:c>
    </x:row>
    <x:row r="474">
      <x:c r="A474" s="25" t="n">
        <x:v>10</x:v>
      </x:c>
      <x:c r="B474" s="25" t="n">
        <x:v>3</x:v>
      </x:c>
      <x:c r="C474" s="25" t="n">
        <x:v>3</x:v>
      </x:c>
      <x:c r="D474" s="25" t="n">
        <x:v>40</x:v>
      </x:c>
      <x:c r="E474" s="25" t="str">
        <x:v>Agressif</x:v>
      </x:c>
      <x:c r="F474" s="25" t="n">
        <x:v>1</x:v>
      </x:c>
      <x:c r="G474" s="25" t="n">
        <x:v>0.07286550972594584</x:v>
      </x:c>
      <x:c r="H474" s="25" t="n">
        <x:v>-2.081371580343447</x:v>
      </x:c>
      <x:c r="I474" s="25" t="n">
        <x:v>3995.051892584318</x:v>
      </x:c>
      <x:c r="J474" s="25" t="n">
        <x:v>20405.676892584317</x:v>
      </x:c>
      <x:c r="K474" s="25" t="n">
        <x:v>5.1987166653811085</x:v>
      </x:c>
      <x:c r="L474" s="25" t="n">
        <x:v>66.25</x:v>
      </x:c>
      <x:c r="M474" s="34" t="b">
        <x:v>0</x:v>
      </x:c>
      <x:c r="N474" s="25" t="n">
        <x:v>-34.77668647365915</x:v>
      </x:c>
    </x:row>
    <x:row r="475">
      <x:c r="A475" s="25" t="n">
        <x:v>6</x:v>
      </x:c>
      <x:c r="B475" s="25" t="n">
        <x:v>4</x:v>
      </x:c>
      <x:c r="C475" s="25" t="n">
        <x:v>1.5</x:v>
      </x:c>
      <x:c r="D475" s="25" t="n">
        <x:v>40</x:v>
      </x:c>
      <x:c r="E475" s="25" t="str">
        <x:v>Conservateur</x:v>
      </x:c>
      <x:c r="F475" s="25" t="n">
        <x:v>1</x:v>
      </x:c>
      <x:c r="G475" s="25" t="n">
        <x:v>-0.041773592596702686</x:v>
      </x:c>
      <x:c r="H475" s="25" t="n">
        <x:v>-1.914465379089017</x:v>
      </x:c>
      <x:c r="I475" s="25" t="n">
        <x:v>-2026.605969428481</x:v>
      </x:c>
      <x:c r="J475" s="25" t="n">
        <x:v>14384.019030571515</x:v>
      </x:c>
      <x:c r="K475" s="25" t="n">
        <x:v>5.1987166653811085</x:v>
      </x:c>
      <x:c r="L475" s="25" t="n">
        <x:v>76.25</x:v>
      </x:c>
      <x:c r="M475" s="34" t="b">
        <x:v>0</x:v>
      </x:c>
      <x:c r="N475" s="25" t="n">
        <x:v>-34.90918207004407</x:v>
      </x:c>
    </x:row>
    <x:row r="476">
      <x:c r="A476" s="25" t="n">
        <x:v>8</x:v>
      </x:c>
      <x:c r="B476" s="25" t="n">
        <x:v>2</x:v>
      </x:c>
      <x:c r="C476" s="25" t="n">
        <x:v>2</x:v>
      </x:c>
      <x:c r="D476" s="25" t="n">
        <x:v>35</x:v>
      </x:c>
      <x:c r="E476" s="25" t="str">
        <x:v>Équilibré</x:v>
      </x:c>
      <x:c r="F476" s="25" t="n">
        <x:v>1.2</x:v>
      </x:c>
      <x:c r="G476" s="25" t="n">
        <x:v>-0.012538523417240656</x:v>
      </x:c>
      <x:c r="H476" s="25" t="n">
        <x:v>-2.0091553588572335</x:v>
      </x:c>
      <x:c r="I476" s="25" t="n">
        <x:v>-694.6185993920011</x:v>
      </x:c>
      <x:c r="J476" s="25" t="n">
        <x:v>15716.006400607994</x:v>
      </x:c>
      <x:c r="K476" s="25" t="n">
        <x:v>6.238459998457328</x:v>
      </x:c>
      <x:c r="L476" s="25" t="n">
        <x:v>79.75</x:v>
      </x:c>
      <x:c r="M476" s="34" t="b">
        <x:v>0</x:v>
      </x:c>
      <x:c r="N476" s="25" t="n">
        <x:v>-34.96850275937907</x:v>
      </x:c>
    </x:row>
    <x:row r="477">
      <x:c r="A477" s="25" t="n">
        <x:v>6</x:v>
      </x:c>
      <x:c r="B477" s="25" t="n">
        <x:v>4</x:v>
      </x:c>
      <x:c r="C477" s="25" t="n">
        <x:v>1.5</x:v>
      </x:c>
      <x:c r="D477" s="25" t="n">
        <x:v>40</x:v>
      </x:c>
      <x:c r="E477" s="25" t="str">
        <x:v>Conservateur</x:v>
      </x:c>
      <x:c r="F477" s="25" t="n">
        <x:v>1.2</x:v>
      </x:c>
      <x:c r="G477" s="25" t="n">
        <x:v>-0.041773592596702686</x:v>
      </x:c>
      <x:c r="H477" s="25" t="n">
        <x:v>-1.9422988131176897</x:v>
      </x:c>
      <x:c r="I477" s="25" t="n">
        <x:v>-2026.605969428481</x:v>
      </x:c>
      <x:c r="J477" s="25" t="n">
        <x:v>14384.019030571515</x:v>
      </x:c>
      <x:c r="K477" s="25" t="n">
        <x:v>6.238459998457328</x:v>
      </x:c>
      <x:c r="L477" s="25" t="n">
        <x:v>79.25</x:v>
      </x:c>
      <x:c r="M477" s="34" t="b">
        <x:v>0</x:v>
      </x:c>
      <x:c r="N477" s="25" t="n">
        <x:v>-35.005017920760885</x:v>
      </x:c>
    </x:row>
    <x:row r="478">
      <x:c r="A478" s="25" t="n">
        <x:v>10</x:v>
      </x:c>
      <x:c r="B478" s="25" t="n">
        <x:v>3</x:v>
      </x:c>
      <x:c r="C478" s="25" t="n">
        <x:v>3</x:v>
      </x:c>
      <x:c r="D478" s="25" t="n">
        <x:v>40</x:v>
      </x:c>
      <x:c r="E478" s="25" t="str">
        <x:v>Agressif</x:v>
      </x:c>
      <x:c r="F478" s="25" t="n">
        <x:v>1.2</x:v>
      </x:c>
      <x:c r="G478" s="25" t="n">
        <x:v>0.07286550972594584</x:v>
      </x:c>
      <x:c r="H478" s="25" t="n">
        <x:v>-2.12018158694543</x:v>
      </x:c>
      <x:c r="I478" s="25" t="n">
        <x:v>3995.051892584318</x:v>
      </x:c>
      <x:c r="J478" s="25" t="n">
        <x:v>20405.676892584317</x:v>
      </x:c>
      <x:c r="K478" s="25" t="n">
        <x:v>6.238459998457328</x:v>
      </x:c>
      <x:c r="L478" s="25" t="n">
        <x:v>69.25</x:v>
      </x:c>
      <x:c r="M478" s="34" t="b">
        <x:v>0</x:v>
      </x:c>
      <x:c r="N478" s="25" t="n">
        <x:v>-35.14693663870873</x:v>
      </x:c>
    </x:row>
    <x:row r="479">
      <x:c r="A479" s="25" t="n">
        <x:v>8</x:v>
      </x:c>
      <x:c r="B479" s="25" t="n">
        <x:v>2</x:v>
      </x:c>
      <x:c r="C479" s="25" t="n">
        <x:v>1.5</x:v>
      </x:c>
      <x:c r="D479" s="25" t="n">
        <x:v>40</x:v>
      </x:c>
      <x:c r="E479" s="25" t="str">
        <x:v>Conservateur</x:v>
      </x:c>
      <x:c r="F479" s="25" t="n">
        <x:v>0.8</x:v>
      </x:c>
      <x:c r="G479" s="25" t="n">
        <x:v>-0.05032421455268428</x:v>
      </x:c>
      <x:c r="H479" s="25" t="n">
        <x:v>-1.9003987206756923</x:v>
      </x:c>
      <x:c r="I479" s="25" t="n">
        <x:v>-2694.3033562265605</x:v>
      </x:c>
      <x:c r="J479" s="25" t="n">
        <x:v>13716.321643773435</x:v>
      </x:c>
      <x:c r="K479" s="25" t="n">
        <x:v>4.158973332304886</x:v>
      </x:c>
      <x:c r="L479" s="25" t="n">
        <x:v>75.25</x:v>
      </x:c>
      <x:c r="M479" s="34" t="b">
        <x:v>0</x:v>
      </x:c>
      <x:c r="N479" s="25" t="n">
        <x:v>-35.22779981728995</x:v>
      </x:c>
    </x:row>
    <x:row r="480">
      <x:c r="A480" s="25" t="n">
        <x:v>8</x:v>
      </x:c>
      <x:c r="B480" s="25" t="n">
        <x:v>4</x:v>
      </x:c>
      <x:c r="C480" s="25" t="n">
        <x:v>2</x:v>
      </x:c>
      <x:c r="D480" s="25" t="n">
        <x:v>40</x:v>
      </x:c>
      <x:c r="E480" s="25" t="str">
        <x:v>Équilibré</x:v>
      </x:c>
      <x:c r="F480" s="25" t="n">
        <x:v>1</x:v>
      </x:c>
      <x:c r="G480" s="25" t="n">
        <x:v>-0.009850886025406859</x:v>
      </x:c>
      <x:c r="H480" s="25" t="n">
        <x:v>-1.9495571330540526</x:v>
      </x:c>
      <x:c r="I480" s="25" t="n">
        <x:v>-489.47760224000126</x:v>
      </x:c>
      <x:c r="J480" s="25" t="n">
        <x:v>15921.147397759994</x:v>
      </x:c>
      <x:c r="K480" s="25" t="n">
        <x:v>5.1987166653811085</x:v>
      </x:c>
      <x:c r="L480" s="25" t="n">
        <x:v>70.25</x:v>
      </x:c>
      <x:c r="M480" s="34" t="b">
        <x:v>0</x:v>
      </x:c>
      <x:c r="N480" s="25" t="n">
        <x:v>-35.230727057748695</x:v>
      </x:c>
    </x:row>
    <x:row r="481">
      <x:c r="A481" s="25" t="n">
        <x:v>8</x:v>
      </x:c>
      <x:c r="B481" s="25" t="n">
        <x:v>3</x:v>
      </x:c>
      <x:c r="C481" s="25" t="n">
        <x:v>2</x:v>
      </x:c>
      <x:c r="D481" s="25" t="n">
        <x:v>30</x:v>
      </x:c>
      <x:c r="E481" s="25" t="str">
        <x:v>Agressif</x:v>
      </x:c>
      <x:c r="F481" s="25" t="n">
        <x:v>1</x:v>
      </x:c>
      <x:c r="G481" s="25" t="n">
        <x:v>-0.009443648217069648</x:v>
      </x:c>
      <x:c r="H481" s="25" t="n">
        <x:v>-1.9796094429569338</x:v>
      </x:c>
      <x:c r="I481" s="25" t="n">
        <x:v>-517.7739759785217</x:v>
      </x:c>
      <x:c r="J481" s="25" t="n">
        <x:v>15892.851024021471</x:v>
      </x:c>
      <x:c r="K481" s="25" t="n">
        <x:v>5.1987166653811085</x:v>
      </x:c>
      <x:c r="L481" s="25" t="n">
        <x:v>73.25</x:v>
      </x:c>
      <x:c r="M481" s="34" t="b">
        <x:v>0</x:v>
      </x:c>
      <x:c r="N481" s="25" t="n">
        <x:v>-35.359636725862174</x:v>
      </x:c>
    </x:row>
    <x:row r="482">
      <x:c r="A482" s="25" t="n">
        <x:v>8</x:v>
      </x:c>
      <x:c r="B482" s="25" t="n">
        <x:v>4</x:v>
      </x:c>
      <x:c r="C482" s="25" t="n">
        <x:v>2</x:v>
      </x:c>
      <x:c r="D482" s="25" t="n">
        <x:v>40</x:v>
      </x:c>
      <x:c r="E482" s="25" t="str">
        <x:v>Équilibré</x:v>
      </x:c>
      <x:c r="F482" s="25" t="n">
        <x:v>1.2</x:v>
      </x:c>
      <x:c r="G482" s="25" t="n">
        <x:v>-0.009850886025406859</x:v>
      </x:c>
      <x:c r="H482" s="25" t="n">
        <x:v>-1.9801659049593983</x:v>
      </x:c>
      <x:c r="I482" s="25" t="n">
        <x:v>-489.47760224000126</x:v>
      </x:c>
      <x:c r="J482" s="25" t="n">
        <x:v>15921.147397759994</x:v>
      </x:c>
      <x:c r="K482" s="25" t="n">
        <x:v>6.238459998457328</x:v>
      </x:c>
      <x:c r="L482" s="25" t="n">
        <x:v>73.25</x:v>
      </x:c>
      <x:c r="M482" s="34" t="b">
        <x:v>0</x:v>
      </x:c>
      <x:c r="N482" s="25" t="n">
        <x:v>-35.395946355382335</x:v>
      </x:c>
    </x:row>
    <x:row r="483">
      <x:c r="A483" s="25" t="n">
        <x:v>6</x:v>
      </x:c>
      <x:c r="B483" s="25" t="n">
        <x:v>2</x:v>
      </x:c>
      <x:c r="C483" s="25" t="n">
        <x:v>2</x:v>
      </x:c>
      <x:c r="D483" s="25" t="n">
        <x:v>35</x:v>
      </x:c>
      <x:c r="E483" s="25" t="str">
        <x:v>Équilibré</x:v>
      </x:c>
      <x:c r="F483" s="25" t="n">
        <x:v>0.8</x:v>
      </x:c>
      <x:c r="G483" s="25" t="n">
        <x:v>-0.03346208371956943</x:v>
      </x:c>
      <x:c r="H483" s="25" t="n">
        <x:v>-2.0012699212339</x:v>
      </x:c>
      <x:c r="I483" s="25" t="n">
        <x:v>-1853.7578112319986</x:v>
      </x:c>
      <x:c r="J483" s="25" t="n">
        <x:v>14556.867188767998</x:v>
      </x:c>
      <x:c r="K483" s="25" t="n">
        <x:v>4.158973332304886</x:v>
      </x:c>
      <x:c r="L483" s="25" t="n">
        <x:v>81.75</x:v>
      </x:c>
      <x:c r="M483" s="34" t="b">
        <x:v>0</x:v>
      </x:c>
      <x:c r="N483" s="25" t="n">
        <x:v>-35.52216263542382</x:v>
      </x:c>
    </x:row>
    <x:row r="484">
      <x:c r="A484" s="25" t="n">
        <x:v>8</x:v>
      </x:c>
      <x:c r="B484" s="25" t="n">
        <x:v>2</x:v>
      </x:c>
      <x:c r="C484" s="25" t="n">
        <x:v>2</x:v>
      </x:c>
      <x:c r="D484" s="25" t="n">
        <x:v>30</x:v>
      </x:c>
      <x:c r="E484" s="25" t="str">
        <x:v>Agressif</x:v>
      </x:c>
      <x:c r="F484" s="25" t="n">
        <x:v>0.8</x:v>
      </x:c>
      <x:c r="G484" s="25" t="n">
        <x:v>-0.0230434831328598</x:v>
      </x:c>
      <x:c r="H484" s="25" t="n">
        <x:v>-1.972548088415748</x:v>
      </x:c>
      <x:c r="I484" s="25" t="n">
        <x:v>-1355.1522704100032</x:v>
      </x:c>
      <x:c r="J484" s="25" t="n">
        <x:v>15055.47272958999</x:v>
      </x:c>
      <x:c r="K484" s="25" t="n">
        <x:v>4.158973332304886</x:v>
      </x:c>
      <x:c r="L484" s="25" t="n">
        <x:v>75.25</x:v>
      </x:c>
      <x:c r="M484" s="34" t="b">
        <x:v>0</x:v>
      </x:c>
      <x:c r="N484" s="25" t="n">
        <x:v>-35.53109378270099</x:v>
      </x:c>
    </x:row>
    <x:row r="485">
      <x:c r="A485" s="25" t="n">
        <x:v>10</x:v>
      </x:c>
      <x:c r="B485" s="25" t="n">
        <x:v>4</x:v>
      </x:c>
      <x:c r="C485" s="25" t="n">
        <x:v>1.5</x:v>
      </x:c>
      <x:c r="D485" s="25" t="n">
        <x:v>30</x:v>
      </x:c>
      <x:c r="E485" s="25" t="str">
        <x:v>Agressif</x:v>
      </x:c>
      <x:c r="F485" s="25" t="n">
        <x:v>1</x:v>
      </x:c>
      <x:c r="G485" s="25" t="n">
        <x:v>-0.025232162316521485</x:v>
      </x:c>
      <x:c r="H485" s="25" t="n">
        <x:v>-1.8721303146523807</x:v>
      </x:c>
      <x:c r="I485" s="25" t="n">
        <x:v>-1308.0907890969856</x:v>
      </x:c>
      <x:c r="J485" s="25" t="n">
        <x:v>15102.534210903012</x:v>
      </x:c>
      <x:c r="K485" s="25" t="n">
        <x:v>5.1987166653811085</x:v>
      </x:c>
      <x:c r="L485" s="25" t="n">
        <x:v>63.25</x:v>
      </x:c>
      <x:c r="M485" s="34" t="b">
        <x:v>0</x:v>
      </x:c>
      <x:c r="N485" s="25" t="n">
        <x:v>-35.541026793718196</x:v>
      </x:c>
    </x:row>
    <x:row r="486">
      <x:c r="A486" s="25" t="n">
        <x:v>8</x:v>
      </x:c>
      <x:c r="B486" s="25" t="n">
        <x:v>3</x:v>
      </x:c>
      <x:c r="C486" s="25" t="n">
        <x:v>2</x:v>
      </x:c>
      <x:c r="D486" s="25" t="n">
        <x:v>30</x:v>
      </x:c>
      <x:c r="E486" s="25" t="str">
        <x:v>Agressif</x:v>
      </x:c>
      <x:c r="F486" s="25" t="n">
        <x:v>1.2</x:v>
      </x:c>
      <x:c r="G486" s="25" t="n">
        <x:v>-0.009443648217069648</x:v>
      </x:c>
      <x:c r="H486" s="25" t="n">
        <x:v>-2.011450048164353</x:v>
      </x:c>
      <x:c r="I486" s="25" t="n">
        <x:v>-517.7739759785217</x:v>
      </x:c>
      <x:c r="J486" s="25" t="n">
        <x:v>15892.851024021471</x:v>
      </x:c>
      <x:c r="K486" s="25" t="n">
        <x:v>6.238459998457328</x:v>
      </x:c>
      <x:c r="L486" s="25" t="n">
        <x:v>76.25</x:v>
      </x:c>
      <x:c r="M486" s="34" t="b">
        <x:v>0</x:v>
      </x:c>
      <x:c r="N486" s="25" t="n">
        <x:v>-35.55565185604765</x:v>
      </x:c>
    </x:row>
    <x:row r="487">
      <x:c r="A487" s="25" t="n">
        <x:v>6</x:v>
      </x:c>
      <x:c r="B487" s="25" t="n">
        <x:v>3</x:v>
      </x:c>
      <x:c r="C487" s="25" t="n">
        <x:v>1.5</x:v>
      </x:c>
      <x:c r="D487" s="25" t="n">
        <x:v>40</x:v>
      </x:c>
      <x:c r="E487" s="25" t="str">
        <x:v>Conservateur</x:v>
      </x:c>
      <x:c r="F487" s="25" t="n">
        <x:v>0.8</x:v>
      </x:c>
      <x:c r="G487" s="25" t="n">
        <x:v>-0.05570753097055598</x:v>
      </x:c>
      <x:c r="H487" s="25" t="n">
        <x:v>-1.926924414971935</x:v>
      </x:c>
      <x:c r="I487" s="25" t="n">
        <x:v>-2822.5644896384033</x:v>
      </x:c>
      <x:c r="J487" s="25" t="n">
        <x:v>13588.060510361594</x:v>
      </x:c>
      <x:c r="K487" s="25" t="n">
        <x:v>4.158973332304886</x:v>
      </x:c>
      <x:c r="L487" s="25" t="n">
        <x:v>78.25</x:v>
      </x:c>
      <x:c r="M487" s="34" t="b">
        <x:v>0</x:v>
      </x:c>
      <x:c r="N487" s="25" t="n">
        <x:v>-35.58702457767895</x:v>
      </x:c>
    </x:row>
    <x:row r="488">
      <x:c r="A488" s="25" t="n">
        <x:v>6</x:v>
      </x:c>
      <x:c r="B488" s="25" t="n">
        <x:v>3</x:v>
      </x:c>
      <x:c r="C488" s="25" t="n">
        <x:v>2</x:v>
      </x:c>
      <x:c r="D488" s="25" t="n">
        <x:v>35</x:v>
      </x:c>
      <x:c r="E488" s="25" t="str">
        <x:v>Équilibré</x:v>
      </x:c>
      <x:c r="F488" s="25" t="n">
        <x:v>1</x:v>
      </x:c>
      <x:c r="G488" s="25" t="n">
        <x:v>-0.02171906858120299</x:v>
      </x:c>
      <x:c r="H488" s="25" t="n">
        <x:v>-2.014807702335148</x:v>
      </x:c>
      <x:c r="I488" s="25" t="n">
        <x:v>-1132.3423188799973</x:v>
      </x:c>
      <x:c r="J488" s="25" t="n">
        <x:v>15278.282681119998</x:v>
      </x:c>
      <x:c r="K488" s="25" t="n">
        <x:v>5.1987166653811085</x:v>
      </x:c>
      <x:c r="L488" s="25" t="n">
        <x:v>79.75</x:v>
      </x:c>
      <x:c r="M488" s="34" t="b">
        <x:v>0</x:v>
      </x:c>
      <x:c r="N488" s="25" t="n">
        <x:v>-35.61474133034486</x:v>
      </x:c>
    </x:row>
    <x:row r="489">
      <x:c r="A489" s="25" t="n">
        <x:v>10</x:v>
      </x:c>
      <x:c r="B489" s="25" t="n">
        <x:v>4</x:v>
      </x:c>
      <x:c r="C489" s="25" t="n">
        <x:v>1.5</x:v>
      </x:c>
      <x:c r="D489" s="25" t="n">
        <x:v>30</x:v>
      </x:c>
      <x:c r="E489" s="25" t="str">
        <x:v>Agressif</x:v>
      </x:c>
      <x:c r="F489" s="25" t="n">
        <x:v>1.2</x:v>
      </x:c>
      <x:c r="G489" s="25" t="n">
        <x:v>-0.025232162316521485</x:v>
      </x:c>
      <x:c r="H489" s="25" t="n">
        <x:v>-1.9000783416026548</x:v>
      </x:c>
      <x:c r="I489" s="25" t="n">
        <x:v>-1308.0907890969856</x:v>
      </x:c>
      <x:c r="J489" s="25" t="n">
        <x:v>15102.534210903012</x:v>
      </x:c>
      <x:c r="K489" s="25" t="n">
        <x:v>6.238459998457328</x:v>
      </x:c>
      <x:c r="L489" s="25" t="n">
        <x:v>66.25</x:v>
      </x:c>
      <x:c r="M489" s="34" t="b">
        <x:v>0</x:v>
      </x:c>
      <x:c r="N489" s="25" t="n">
        <x:v>-35.63972746747505</x:v>
      </x:c>
    </x:row>
    <x:row r="490">
      <x:c r="A490" s="25" t="n">
        <x:v>8</x:v>
      </x:c>
      <x:c r="B490" s="25" t="n">
        <x:v>3</x:v>
      </x:c>
      <x:c r="C490" s="25" t="n">
        <x:v>1.5</x:v>
      </x:c>
      <x:c r="D490" s="25" t="n">
        <x:v>35</x:v>
      </x:c>
      <x:c r="E490" s="25" t="str">
        <x:v>Équilibré</x:v>
      </x:c>
      <x:c r="F490" s="25" t="n">
        <x:v>0.8</x:v>
      </x:c>
      <x:c r="G490" s="25" t="n">
        <x:v>-0.04609504658636112</x:v>
      </x:c>
      <x:c r="H490" s="25" t="n">
        <x:v>-1.8984481757168195</x:v>
      </x:c>
      <x:c r="I490" s="25" t="n">
        <x:v>-2403.2048955200003</x:v>
      </x:c>
      <x:c r="J490" s="25" t="n">
        <x:v>14007.420104479996</x:v>
      </x:c>
      <x:c r="K490" s="25" t="n">
        <x:v>4.158973332304886</x:v>
      </x:c>
      <x:c r="L490" s="25" t="n">
        <x:v>71.75</x:v>
      </x:c>
      <x:c r="M490" s="34" t="b">
        <x:v>0</x:v>
      </x:c>
      <x:c r="N490" s="25" t="n">
        <x:v>-35.64643195517035</x:v>
      </x:c>
    </x:row>
    <x:row r="491">
      <x:c r="A491" s="25" t="n">
        <x:v>10</x:v>
      </x:c>
      <x:c r="B491" s="25" t="n">
        <x:v>3</x:v>
      </x:c>
      <x:c r="C491" s="25" t="n">
        <x:v>1.5</x:v>
      </x:c>
      <x:c r="D491" s="25" t="n">
        <x:v>35</x:v>
      </x:c>
      <x:c r="E491" s="25" t="str">
        <x:v>Équilibré</x:v>
      </x:c>
      <x:c r="F491" s="25" t="n">
        <x:v>1</x:v>
      </x:c>
      <x:c r="G491" s="25" t="n">
        <x:v>-0.029861792456861755</x:v>
      </x:c>
      <x:c r="H491" s="25" t="n">
        <x:v>-1.8945990182455448</x:v>
      </x:c>
      <x:c r="I491" s="25" t="n">
        <x:v>-1556.8702308799998</x:v>
      </x:c>
      <x:c r="J491" s="25" t="n">
        <x:v>14853.754769119998</x:v>
      </x:c>
      <x:c r="K491" s="25" t="n">
        <x:v>5.1987166653811085</x:v>
      </x:c>
      <x:c r="L491" s="25" t="n">
        <x:v>66.75</x:v>
      </x:c>
      <x:c r="M491" s="34" t="b">
        <x:v>0</x:v>
      </x:c>
      <x:c r="N491" s="25" t="n">
        <x:v>-35.65737404126601</x:v>
      </x:c>
    </x:row>
    <x:row r="492">
      <x:c r="A492" s="25" t="n">
        <x:v>10</x:v>
      </x:c>
      <x:c r="B492" s="25" t="n">
        <x:v>3</x:v>
      </x:c>
      <x:c r="C492" s="25" t="n">
        <x:v>1.5</x:v>
      </x:c>
      <x:c r="D492" s="25" t="n">
        <x:v>35</x:v>
      </x:c>
      <x:c r="E492" s="25" t="str">
        <x:v>Équilibré</x:v>
      </x:c>
      <x:c r="F492" s="25" t="n">
        <x:v>1.2</x:v>
      </x:c>
      <x:c r="G492" s="25" t="n">
        <x:v>-0.029861792456861755</x:v>
      </x:c>
      <x:c r="H492" s="25" t="n">
        <x:v>-1.922914402774248</x:v>
      </x:c>
      <x:c r="I492" s="25" t="n">
        <x:v>-1556.8702308799998</x:v>
      </x:c>
      <x:c r="J492" s="25" t="n">
        <x:v>14853.754769119998</x:v>
      </x:c>
      <x:c r="K492" s="25" t="n">
        <x:v>6.238459998457328</x:v>
      </x:c>
      <x:c r="L492" s="25" t="n">
        <x:v>69.75</x:v>
      </x:c>
      <x:c r="M492" s="34" t="b">
        <x:v>0</x:v>
      </x:c>
      <x:c r="N492" s="25" t="n">
        <x:v>-35.76525865448359</x:v>
      </x:c>
    </x:row>
    <x:row r="493">
      <x:c r="A493" s="25" t="n">
        <x:v>6</x:v>
      </x:c>
      <x:c r="B493" s="25" t="n">
        <x:v>3</x:v>
      </x:c>
      <x:c r="C493" s="25" t="n">
        <x:v>2</x:v>
      </x:c>
      <x:c r="D493" s="25" t="n">
        <x:v>35</x:v>
      </x:c>
      <x:c r="E493" s="25" t="str">
        <x:v>Équilibré</x:v>
      </x:c>
      <x:c r="F493" s="25" t="n">
        <x:v>1.2</x:v>
      </x:c>
      <x:c r="G493" s="25" t="n">
        <x:v>-0.02171906858120299</x:v>
      </x:c>
      <x:c r="H493" s="25" t="n">
        <x:v>-2.0466782761201103</x:v>
      </x:c>
      <x:c r="I493" s="25" t="n">
        <x:v>-1132.3423188799973</x:v>
      </x:c>
      <x:c r="J493" s="25" t="n">
        <x:v>15278.282681119998</x:v>
      </x:c>
      <x:c r="K493" s="25" t="n">
        <x:v>6.238459998457328</x:v>
      </x:c>
      <x:c r="L493" s="25" t="n">
        <x:v>82.75</x:v>
      </x:c>
      <x:c r="M493" s="34" t="b">
        <x:v>0</x:v>
      </x:c>
      <x:c r="N493" s="25" t="n">
        <x:v>-35.81150567496891</x:v>
      </x:c>
    </x:row>
    <x:row r="494">
      <x:c r="A494" s="25" t="n">
        <x:v>10</x:v>
      </x:c>
      <x:c r="B494" s="25" t="n">
        <x:v>2</x:v>
      </x:c>
      <x:c r="C494" s="25" t="n">
        <x:v>1.5</x:v>
      </x:c>
      <x:c r="D494" s="25" t="n">
        <x:v>40</x:v>
      </x:c>
      <x:c r="E494" s="25" t="str">
        <x:v>Conservateur</x:v>
      </x:c>
      <x:c r="F494" s="25" t="n">
        <x:v>1</x:v>
      </x:c>
      <x:c r="G494" s="25" t="n">
        <x:v>-0.03845957878787918</x:v>
      </x:c>
      <x:c r="H494" s="25" t="n">
        <x:v>-1.9131577678114473</x:v>
      </x:c>
      <x:c r="I494" s="25" t="n">
        <x:v>-2059.08374583296</x:v>
      </x:c>
      <x:c r="J494" s="25" t="n">
        <x:v>14351.541254167034</x:v>
      </x:c>
      <x:c r="K494" s="25" t="n">
        <x:v>5.1987166653811085</x:v>
      </x:c>
      <x:c r="L494" s="25" t="n">
        <x:v>70.25</x:v>
      </x:c>
      <x:c r="M494" s="34" t="b">
        <x:v>0</x:v>
      </x:c>
      <x:c r="N494" s="25" t="n">
        <x:v>-35.89422102861954</x:v>
      </x:c>
    </x:row>
    <x:row r="495">
      <x:c r="A495" s="25" t="n">
        <x:v>6</x:v>
      </x:c>
      <x:c r="B495" s="25" t="n">
        <x:v>4</x:v>
      </x:c>
      <x:c r="C495" s="25" t="n">
        <x:v>3</x:v>
      </x:c>
      <x:c r="D495" s="25" t="n">
        <x:v>40</x:v>
      </x:c>
      <x:c r="E495" s="25" t="str">
        <x:v>Agressif</x:v>
      </x:c>
      <x:c r="F495" s="25" t="n">
        <x:v>0.8</x:v>
      </x:c>
      <x:c r="G495" s="25" t="n">
        <x:v>0.04385190236260654</x:v>
      </x:c>
      <x:c r="H495" s="25" t="n">
        <x:v>-2.126934364891138</x:v>
      </x:c>
      <x:c r="I495" s="25" t="n">
        <x:v>2273.3790645975023</x:v>
      </x:c>
      <x:c r="J495" s="25" t="n">
        <x:v>18684.0040645975</x:v>
      </x:c>
      <x:c r="K495" s="25" t="n">
        <x:v>4.158973332304886</x:v>
      </x:c>
      <x:c r="L495" s="25" t="n">
        <x:v>74.25</x:v>
      </x:c>
      <x:c r="M495" s="34" t="b">
        <x:v>0</x:v>
      </x:c>
      <x:c r="N495" s="25" t="n">
        <x:v>-35.91150449233509</x:v>
      </x:c>
    </x:row>
    <x:row r="496">
      <x:c r="A496" s="25" t="n">
        <x:v>10</x:v>
      </x:c>
      <x:c r="B496" s="25" t="n">
        <x:v>2</x:v>
      </x:c>
      <x:c r="C496" s="25" t="n">
        <x:v>1.5</x:v>
      </x:c>
      <x:c r="D496" s="25" t="n">
        <x:v>40</x:v>
      </x:c>
      <x:c r="E496" s="25" t="str">
        <x:v>Conservateur</x:v>
      </x:c>
      <x:c r="F496" s="25" t="n">
        <x:v>1.2</x:v>
      </x:c>
      <x:c r="G496" s="25" t="n">
        <x:v>-0.03845957878787918</x:v>
      </x:c>
      <x:c r="H496" s="25" t="n">
        <x:v>-1.9418726983497356</x:v>
      </x:c>
      <x:c r="I496" s="25" t="n">
        <x:v>-2059.08374583296</x:v>
      </x:c>
      <x:c r="J496" s="25" t="n">
        <x:v>14351.541254167034</x:v>
      </x:c>
      <x:c r="K496" s="25" t="n">
        <x:v>6.238459998457328</x:v>
      </x:c>
      <x:c r="L496" s="25" t="n">
        <x:v>73.25</x:v>
      </x:c>
      <x:c r="M496" s="34" t="b">
        <x:v>0</x:v>
      </x:c>
      <x:c r="N496" s="25" t="n">
        <x:v>-36.012094292076746</x:v>
      </x:c>
    </x:row>
    <x:row r="497">
      <x:c r="A497" s="25" t="n">
        <x:v>8</x:v>
      </x:c>
      <x:c r="B497" s="25" t="n">
        <x:v>3</x:v>
      </x:c>
      <x:c r="C497" s="25" t="n">
        <x:v>2</x:v>
      </x:c>
      <x:c r="D497" s="25" t="n">
        <x:v>40</x:v>
      </x:c>
      <x:c r="E497" s="25" t="str">
        <x:v>Équilibré</x:v>
      </x:c>
      <x:c r="F497" s="25" t="n">
        <x:v>0.8</x:v>
      </x:c>
      <x:c r="G497" s="25" t="n">
        <x:v>-0.02441519017428692</x:v>
      </x:c>
      <x:c r="H497" s="25" t="n">
        <x:v>-1.9715164807555143</x:v>
      </x:c>
      <x:c r="I497" s="25" t="n">
        <x:v>-1272.906936799998</x:v>
      </x:c>
      <x:c r="J497" s="25" t="n">
        <x:v>15137.718063199996</x:v>
      </x:c>
      <x:c r="K497" s="25" t="n">
        <x:v>4.158973332304886</x:v>
      </x:c>
      <x:c r="L497" s="25" t="n">
        <x:v>72.25</x:v>
      </x:c>
      <x:c r="M497" s="34" t="b">
        <x:v>0</x:v>
      </x:c>
      <x:c r="N497" s="25" t="n">
        <x:v>-36.180747478473634</x:v>
      </x:c>
    </x:row>
    <x:row r="498">
      <x:c r="A498" s="25" t="n">
        <x:v>10</x:v>
      </x:c>
      <x:c r="B498" s="25" t="n">
        <x:v>2</x:v>
      </x:c>
      <x:c r="C498" s="25" t="n">
        <x:v>2</x:v>
      </x:c>
      <x:c r="D498" s="25" t="n">
        <x:v>30</x:v>
      </x:c>
      <x:c r="E498" s="25" t="str">
        <x:v>Agressif</x:v>
      </x:c>
      <x:c r="F498" s="25" t="n">
        <x:v>1</x:v>
      </x:c>
      <x:c r="G498" s="25" t="n">
        <x:v>-0.011327153278096608</x:v>
      </x:c>
      <x:c r="H498" s="25" t="n">
        <x:v>-1.9886515094278738</x:v>
      </x:c>
      <x:c r="I498" s="25" t="n">
        <x:v>-666.1326932908742</x:v>
      </x:c>
      <x:c r="J498" s="25" t="n">
        <x:v>15744.492306709119</x:v>
      </x:c>
      <x:c r="K498" s="25" t="n">
        <x:v>5.1987166653811085</x:v>
      </x:c>
      <x:c r="L498" s="25" t="n">
        <x:v>70.25</x:v>
      </x:c>
      <x:c r="M498" s="34" t="b">
        <x:v>0</x:v>
      </x:c>
      <x:c r="N498" s="25" t="n">
        <x:v>-36.289281165992165</x:v>
      </x:c>
    </x:row>
    <x:row r="499">
      <x:c r="A499" s="25" t="n">
        <x:v>8</x:v>
      </x:c>
      <x:c r="B499" s="25" t="n">
        <x:v>4</x:v>
      </x:c>
      <x:c r="C499" s="25" t="n">
        <x:v>1.5</x:v>
      </x:c>
      <x:c r="D499" s="25" t="n">
        <x:v>30</x:v>
      </x:c>
      <x:c r="E499" s="25" t="str">
        <x:v>Agressif</x:v>
      </x:c>
      <x:c r="F499" s="25" t="n">
        <x:v>0.8</x:v>
      </x:c>
      <x:c r="G499" s="25" t="n">
        <x:v>-0.046959306714196014</x:v>
      </x:c>
      <x:c r="H499" s="25" t="n">
        <x:v>-1.898224716428596</x:v>
      </x:c>
      <x:c r="I499" s="25" t="n">
        <x:v>-2434.473740484735</x:v>
      </x:c>
      <x:c r="J499" s="25" t="n">
        <x:v>13976.151259515262</x:v>
      </x:c>
      <x:c r="K499" s="25" t="n">
        <x:v>4.158973332304886</x:v>
      </x:c>
      <x:c r="L499" s="25" t="n">
        <x:v>68.25</x:v>
      </x:c>
      <x:c r="M499" s="34" t="b">
        <x:v>0</x:v>
      </x:c>
      <x:c r="N499" s="25" t="n">
        <x:v>-36.38837977999568</x:v>
      </x:c>
    </x:row>
    <x:row r="500">
      <x:c r="A500" s="25" t="n">
        <x:v>10</x:v>
      </x:c>
      <x:c r="B500" s="25" t="n">
        <x:v>4</x:v>
      </x:c>
      <x:c r="C500" s="25" t="n">
        <x:v>1.5</x:v>
      </x:c>
      <x:c r="D500" s="25" t="n">
        <x:v>40</x:v>
      </x:c>
      <x:c r="E500" s="25" t="str">
        <x:v>Équilibré</x:v>
      </x:c>
      <x:c r="F500" s="25" t="n">
        <x:v>0.8</x:v>
      </x:c>
      <x:c r="G500" s="25" t="n">
        <x:v>-0.04096686535655765</x:v>
      </x:c>
      <x:c r="H500" s="25" t="n">
        <x:v>-1.866289135707327</x:v>
      </x:c>
      <x:c r="I500" s="25" t="n">
        <x:v>-2035.5897910400008</x:v>
      </x:c>
      <x:c r="J500" s="25" t="n">
        <x:v>14375.035208959995</x:v>
      </x:c>
      <x:c r="K500" s="25" t="n">
        <x:v>4.158973332304886</x:v>
      </x:c>
      <x:c r="L500" s="25" t="n">
        <x:v>62.25</x:v>
      </x:c>
      <x:c r="M500" s="34" t="b">
        <x:v>0</x:v>
      </x:c>
      <x:c r="N500" s="25" t="n">
        <x:v>-36.46040598729384</x:v>
      </x:c>
    </x:row>
    <x:row r="501">
      <x:c r="A501" s="25" t="n">
        <x:v>10</x:v>
      </x:c>
      <x:c r="B501" s="25" t="n">
        <x:v>2</x:v>
      </x:c>
      <x:c r="C501" s="25" t="n">
        <x:v>2</x:v>
      </x:c>
      <x:c r="D501" s="25" t="n">
        <x:v>30</x:v>
      </x:c>
      <x:c r="E501" s="25" t="str">
        <x:v>Agressif</x:v>
      </x:c>
      <x:c r="F501" s="25" t="n">
        <x:v>1.2</x:v>
      </x:c>
      <x:c r="G501" s="25" t="n">
        <x:v>-0.011327153278096608</x:v>
      </x:c>
      <x:c r="H501" s="25" t="n">
        <x:v>-2.0211237650471996</x:v>
      </x:c>
      <x:c r="I501" s="25" t="n">
        <x:v>-666.1326932908742</x:v>
      </x:c>
      <x:c r="J501" s="25" t="n">
        <x:v>15744.492306709119</x:v>
      </x:c>
      <x:c r="K501" s="25" t="n">
        <x:v>6.238459998457328</x:v>
      </x:c>
      <x:c r="L501" s="25" t="n">
        <x:v>73.25</x:v>
      </x:c>
      <x:c r="M501" s="34" t="b">
        <x:v>0</x:v>
      </x:c>
      <x:c r="N501" s="25" t="n">
        <x:v>-36.501087556475305</x:v>
      </x:c>
    </x:row>
    <x:row r="502">
      <x:c r="A502" s="25" t="n">
        <x:v>10</x:v>
      </x:c>
      <x:c r="B502" s="25" t="n">
        <x:v>3</x:v>
      </x:c>
      <x:c r="C502" s="25" t="n">
        <x:v>2</x:v>
      </x:c>
      <x:c r="D502" s="25" t="n">
        <x:v>40</x:v>
      </x:c>
      <x:c r="E502" s="25" t="str">
        <x:v>Équilibré</x:v>
      </x:c>
      <x:c r="F502" s="25" t="n">
        <x:v>1</x:v>
      </x:c>
      <x:c r="G502" s="25" t="n">
        <x:v>-0.01036482143384604</x:v>
      </x:c>
      <x:c r="H502" s="25" t="n">
        <x:v>-1.9752944396100727</x:v>
      </x:c>
      <x:c r="I502" s="25" t="n">
        <x:v>-540.3788791999962</x:v>
      </x:c>
      <x:c r="J502" s="25" t="n">
        <x:v>15870.2461208</x:v>
      </x:c>
      <x:c r="K502" s="25" t="n">
        <x:v>5.1987166653811085</x:v>
      </x:c>
      <x:c r="L502" s="25" t="n">
        <x:v>67.25</x:v>
      </x:c>
      <x:c r="M502" s="34" t="b">
        <x:v>0</x:v>
      </x:c>
      <x:c r="N502" s="25" t="n">
        <x:v>-36.50242616911335</x:v>
      </x:c>
    </x:row>
    <x:row r="503">
      <x:c r="A503" s="25" t="n">
        <x:v>10</x:v>
      </x:c>
      <x:c r="B503" s="25" t="n">
        <x:v>4</x:v>
      </x:c>
      <x:c r="C503" s="25" t="n">
        <x:v>2</x:v>
      </x:c>
      <x:c r="D503" s="25" t="n">
        <x:v>35</x:v>
      </x:c>
      <x:c r="E503" s="25" t="str">
        <x:v>Agressif</x:v>
      </x:c>
      <x:c r="F503" s="25" t="n">
        <x:v>0.8</x:v>
      </x:c>
      <x:c r="G503" s="25" t="n">
        <x:v>-0.012244493859469368</x:v>
      </x:c>
      <x:c r="H503" s="25" t="n">
        <x:v>-1.9192470844800162</x:v>
      </x:c>
      <x:c r="I503" s="25" t="n">
        <x:v>-634.7814917249065</x:v>
      </x:c>
      <x:c r="J503" s="25" t="n">
        <x:v>15775.84350827509</x:v>
      </x:c>
      <x:c r="K503" s="25" t="n">
        <x:v>4.158973332304886</x:v>
      </x:c>
      <x:c r="L503" s="25" t="n">
        <x:v>60.75</x:v>
      </x:c>
      <x:c r="M503" s="34" t="b">
        <x:v>0</x:v>
      </x:c>
      <x:c r="N503" s="25" t="n">
        <x:v>-36.50462427427123</x:v>
      </x:c>
    </x:row>
    <x:row r="504">
      <x:c r="A504" s="25" t="n">
        <x:v>10</x:v>
      </x:c>
      <x:c r="B504" s="25" t="n">
        <x:v>3</x:v>
      </x:c>
      <x:c r="C504" s="25" t="n">
        <x:v>2</x:v>
      </x:c>
      <x:c r="D504" s="25" t="n">
        <x:v>40</x:v>
      </x:c>
      <x:c r="E504" s="25" t="str">
        <x:v>Équilibré</x:v>
      </x:c>
      <x:c r="F504" s="25" t="n">
        <x:v>1.2</x:v>
      </x:c>
      <x:c r="G504" s="25" t="n">
        <x:v>-0.01036482143384604</x:v>
      </x:c>
      <x:c r="H504" s="25" t="n">
        <x:v>-2.0067559779752986</x:v>
      </x:c>
      <x:c r="I504" s="25" t="n">
        <x:v>-540.3788791999962</x:v>
      </x:c>
      <x:c r="J504" s="25" t="n">
        <x:v>15870.2461208</x:v>
      </x:c>
      <x:c r="K504" s="25" t="n">
        <x:v>6.238459998457328</x:v>
      </x:c>
      <x:c r="L504" s="25" t="n">
        <x:v>70.25</x:v>
      </x:c>
      <x:c r="M504" s="34" t="b">
        <x:v>0</x:v>
      </x:c>
      <x:c r="N504" s="25" t="n">
        <x:v>-36.688964628243994</x:v>
      </x:c>
    </x:row>
    <x:row r="505">
      <x:c r="A505" s="25" t="n">
        <x:v>6</x:v>
      </x:c>
      <x:c r="B505" s="25" t="n">
        <x:v>2</x:v>
      </x:c>
      <x:c r="C505" s="25" t="n">
        <x:v>3</x:v>
      </x:c>
      <x:c r="D505" s="25" t="n">
        <x:v>35</x:v>
      </x:c>
      <x:c r="E505" s="25" t="str">
        <x:v>Agressif</x:v>
      </x:c>
      <x:c r="F505" s="25" t="n">
        <x:v>1</x:v>
      </x:c>
      <x:c r="G505" s="25" t="n">
        <x:v>0.04225053310126256</x:v>
      </x:c>
      <x:c r="H505" s="25" t="n">
        <x:v>-2.2378918717445315</x:v>
      </x:c>
      <x:c r="I505" s="25" t="n">
        <x:v>2484.689728896173</x:v>
      </x:c>
      <x:c r="J505" s="25" t="n">
        <x:v>18895.31472889617</x:v>
      </x:c>
      <x:c r="K505" s="25" t="n">
        <x:v>5.1987166653811085</x:v>
      </x:c>
      <x:c r="L505" s="25" t="n">
        <x:v>83.75</x:v>
      </x:c>
      <x:c r="M505" s="34" t="b">
        <x:v>0</x:v>
      </x:c>
      <x:c r="N505" s="25" t="n">
        <x:v>-36.87351747304385</x:v>
      </x:c>
    </x:row>
    <x:row r="506">
      <x:c r="A506" s="25" t="n">
        <x:v>6</x:v>
      </x:c>
      <x:c r="B506" s="25" t="n">
        <x:v>4</x:v>
      </x:c>
      <x:c r="C506" s="25" t="n">
        <x:v>1.5</x:v>
      </x:c>
      <x:c r="D506" s="25" t="n">
        <x:v>35</x:v>
      </x:c>
      <x:c r="E506" s="25" t="str">
        <x:v>Équilibré</x:v>
      </x:c>
      <x:c r="F506" s="25" t="n">
        <x:v>0.8</x:v>
      </x:c>
      <x:c r="G506" s="25" t="n">
        <x:v>-0.0614627895495249</x:v>
      </x:c>
      <x:c r="H506" s="25" t="n">
        <x:v>-1.9434391665655948</x:v>
      </x:c>
      <x:c r="I506" s="25" t="n">
        <x:v>-3054.005373536002</x:v>
      </x:c>
      <x:c r="J506" s="25" t="n">
        <x:v>13356.619626463993</x:v>
      </x:c>
      <x:c r="K506" s="25" t="n">
        <x:v>4.158973332304886</x:v>
      </x:c>
      <x:c r="L506" s="25" t="n">
        <x:v>74.75</x:v>
      </x:c>
      <x:c r="M506" s="34" t="b">
        <x:v>0</x:v>
      </x:c>
      <x:c r="N506" s="25" t="n">
        <x:v>-37.01643258936374</x:v>
      </x:c>
    </x:row>
    <x:row r="507">
      <x:c r="A507" s="25" t="n">
        <x:v>10</x:v>
      </x:c>
      <x:c r="B507" s="25" t="n">
        <x:v>3</x:v>
      </x:c>
      <x:c r="C507" s="25" t="n">
        <x:v>1.5</x:v>
      </x:c>
      <x:c r="D507" s="25" t="n">
        <x:v>30</x:v>
      </x:c>
      <x:c r="E507" s="25" t="str">
        <x:v>Agressif</x:v>
      </x:c>
      <x:c r="F507" s="25" t="n">
        <x:v>0.8</x:v>
      </x:c>
      <x:c r="G507" s="25" t="n">
        <x:v>-0.04455483967169081</x:v>
      </x:c>
      <x:c r="H507" s="25" t="n">
        <x:v>-1.9050944902295737</x:v>
      </x:c>
      <x:c r="I507" s="25" t="n">
        <x:v>-2442.8415751656735</x:v>
      </x:c>
      <x:c r="J507" s="25" t="n">
        <x:v>13967.783424834324</x:v>
      </x:c>
      <x:c r="K507" s="25" t="n">
        <x:v>4.158973332304886</x:v>
      </x:c>
      <x:c r="L507" s="25" t="n">
        <x:v>65.25</x:v>
      </x:c>
      <x:c r="M507" s="34" t="b">
        <x:v>0</x:v>
      </x:c>
      <x:c r="N507" s="25" t="n">
        <x:v>-37.02787843768233</x:v>
      </x:c>
    </x:row>
    <x:row r="508">
      <x:c r="A508" s="25" t="n">
        <x:v>8</x:v>
      </x:c>
      <x:c r="B508" s="25" t="n">
        <x:v>2</x:v>
      </x:c>
      <x:c r="C508" s="25" t="n">
        <x:v>3</x:v>
      </x:c>
      <x:c r="D508" s="25" t="n">
        <x:v>40</x:v>
      </x:c>
      <x:c r="E508" s="25" t="str">
        <x:v>Agressif</x:v>
      </x:c>
      <x:c r="F508" s="25" t="n">
        <x:v>0.8</x:v>
      </x:c>
      <x:c r="G508" s="25" t="n">
        <x:v>0.04207282818850283</x:v>
      </x:c>
      <x:c r="H508" s="25" t="n">
        <x:v>-2.185602919577814</x:v>
      </x:c>
      <x:c r="I508" s="25" t="n">
        <x:v>2474.2391726759656</x:v>
      </x:c>
      <x:c r="J508" s="25" t="n">
        <x:v>18884.86417267596</x:v>
      </x:c>
      <x:c r="K508" s="25" t="n">
        <x:v>4.158973332304886</x:v>
      </x:c>
      <x:c r="L508" s="25" t="n">
        <x:v>76.25</x:v>
      </x:c>
      <x:c r="M508" s="34" t="b">
        <x:v>0</x:v>
      </x:c>
      <x:c r="N508" s="25" t="n">
        <x:v>-37.076067439077704</x:v>
      </x:c>
    </x:row>
    <x:row r="509">
      <x:c r="A509" s="25" t="n">
        <x:v>6</x:v>
      </x:c>
      <x:c r="B509" s="25" t="n">
        <x:v>3</x:v>
      </x:c>
      <x:c r="C509" s="25" t="n">
        <x:v>2</x:v>
      </x:c>
      <x:c r="D509" s="25" t="n">
        <x:v>30</x:v>
      </x:c>
      <x:c r="E509" s="25" t="str">
        <x:v>Agressif</x:v>
      </x:c>
      <x:c r="F509" s="25" t="n">
        <x:v>0.8</x:v>
      </x:c>
      <x:c r="G509" s="25" t="n">
        <x:v>-0.037352905887506865</x:v>
      </x:c>
      <x:c r="H509" s="25" t="n">
        <x:v>-2.0297260111001534</x:v>
      </x:c>
      <x:c r="I509" s="25" t="n">
        <x:v>-2047.9757558914293</x:v>
      </x:c>
      <x:c r="J509" s="25" t="n">
        <x:v>14362.649244108565</x:v>
      </x:c>
      <x:c r="K509" s="25" t="n">
        <x:v>4.158973332304886</x:v>
      </x:c>
      <x:c r="L509" s="25" t="n">
        <x:v>78.25</x:v>
      </x:c>
      <x:c r="M509" s="34" t="b">
        <x:v>0</x:v>
      </x:c>
      <x:c r="N509" s="25" t="n">
        <x:v>-37.147560101316714</x:v>
      </x:c>
    </x:row>
    <x:row r="510">
      <x:c r="A510" s="25" t="n">
        <x:v>10</x:v>
      </x:c>
      <x:c r="B510" s="25" t="n">
        <x:v>2</x:v>
      </x:c>
      <x:c r="C510" s="25" t="n">
        <x:v>1.5</x:v>
      </x:c>
      <x:c r="D510" s="25" t="n">
        <x:v>35</x:v>
      </x:c>
      <x:c r="E510" s="25" t="str">
        <x:v>Équilibré</x:v>
      </x:c>
      <x:c r="F510" s="25" t="n">
        <x:v>0.8</x:v>
      </x:c>
      <x:c r="G510" s="25" t="n">
        <x:v>-0.053781646112631136</x:v>
      </x:c>
      <x:c r="H510" s="25" t="n">
        <x:v>-1.9215291749588068</x:v>
      </x:c>
      <x:c r="I510" s="25" t="n">
        <x:v>-2979.436290272</x:v>
      </x:c>
      <x:c r="J510" s="25" t="n">
        <x:v>13431.188709727994</x:v>
      </x:c>
      <x:c r="K510" s="25" t="n">
        <x:v>4.158973332304886</x:v>
      </x:c>
      <x:c r="L510" s="25" t="n">
        <x:v>68.75</x:v>
      </x:c>
      <x:c r="M510" s="34" t="b">
        <x:v>0</x:v>
      </x:c>
      <x:c r="N510" s="25" t="n">
        <x:v>-37.24621991016488</x:v>
      </x:c>
    </x:row>
    <x:row r="511">
      <x:c r="A511" s="25" t="n">
        <x:v>6</x:v>
      </x:c>
      <x:c r="B511" s="25" t="n">
        <x:v>2</x:v>
      </x:c>
      <x:c r="C511" s="25" t="n">
        <x:v>3</x:v>
      </x:c>
      <x:c r="D511" s="25" t="n">
        <x:v>35</x:v>
      </x:c>
      <x:c r="E511" s="25" t="str">
        <x:v>Agressif</x:v>
      </x:c>
      <x:c r="F511" s="25" t="n">
        <x:v>1.2</x:v>
      </x:c>
      <x:c r="G511" s="25" t="n">
        <x:v>0.04225053310126256</x:v>
      </x:c>
      <x:c r="H511" s="25" t="n">
        <x:v>-2.279533300158696</x:v>
      </x:c>
      <x:c r="I511" s="25" t="n">
        <x:v>2484.689728896173</x:v>
      </x:c>
      <x:c r="J511" s="25" t="n">
        <x:v>18895.31472889617</x:v>
      </x:c>
      <x:c r="K511" s="25" t="n">
        <x:v>6.238459998457328</x:v>
      </x:c>
      <x:c r="L511" s="25" t="n">
        <x:v>86.75</x:v>
      </x:c>
      <x:c r="M511" s="34" t="b">
        <x:v>0</x:v>
      </x:c>
      <x:c r="N511" s="25" t="n">
        <x:v>-37.314553183397955</x:v>
      </x:c>
    </x:row>
    <x:row r="512">
      <x:c r="A512" s="25" t="n">
        <x:v>6</x:v>
      </x:c>
      <x:c r="B512" s="25" t="n">
        <x:v>4</x:v>
      </x:c>
      <x:c r="C512" s="25" t="n">
        <x:v>2</x:v>
      </x:c>
      <x:c r="D512" s="25" t="n">
        <x:v>40</x:v>
      </x:c>
      <x:c r="E512" s="25" t="str">
        <x:v>Équilibré</x:v>
      </x:c>
      <x:c r="F512" s="25" t="n">
        <x:v>0.8</x:v>
      </x:c>
      <x:c r="G512" s="25" t="n">
        <x:v>-0.039764602563867275</x:v>
      </x:c>
      <x:c r="H512" s="25" t="n">
        <x:v>-2.016231556863111</x:v>
      </x:c>
      <x:c r="I512" s="25" t="n">
        <x:v>-1975.8509302400003</x:v>
      </x:c>
      <x:c r="J512" s="25" t="n">
        <x:v>14434.774069759993</x:v>
      </x:c>
      <x:c r="K512" s="25" t="n">
        <x:v>4.158973332304886</x:v>
      </x:c>
      <x:c r="L512" s="25" t="n">
        <x:v>75.25</x:v>
      </x:c>
      <x:c r="M512" s="34" t="b">
        <x:v>0</x:v>
      </x:c>
      <x:c r="N512" s="25" t="n">
        <x:v>-37.542842062590466</x:v>
      </x:c>
    </x:row>
    <x:row r="513">
      <x:c r="A513" s="25" t="n">
        <x:v>6</x:v>
      </x:c>
      <x:c r="B513" s="25" t="n">
        <x:v>4</x:v>
      </x:c>
      <x:c r="C513" s="25" t="n">
        <x:v>2</x:v>
      </x:c>
      <x:c r="D513" s="25" t="n">
        <x:v>30</x:v>
      </x:c>
      <x:c r="E513" s="25" t="str">
        <x:v>Agressif</x:v>
      </x:c>
      <x:c r="F513" s="25" t="n">
        <x:v>1</x:v>
      </x:c>
      <x:c r="G513" s="25" t="n">
        <x:v>-0.030073793864113397</x:v>
      </x:c>
      <x:c r="H513" s="25" t="n">
        <x:v>-2.0456564537439195</x:v>
      </x:c>
      <x:c r="I513" s="25" t="n">
        <x:v>-1559.0916170149108</x:v>
      </x:c>
      <x:c r="J513" s="25" t="n">
        <x:v>14851.533382985082</x:v>
      </x:c>
      <x:c r="K513" s="25" t="n">
        <x:v>5.1987166653811085</x:v>
      </x:c>
      <x:c r="L513" s="25" t="n">
        <x:v>76.25</x:v>
      </x:c>
      <x:c r="M513" s="34" t="b">
        <x:v>0</x:v>
      </x:c>
      <x:c r="N513" s="25" t="n">
        <x:v>-37.545470006124226</x:v>
      </x:c>
    </x:row>
    <x:row r="514">
      <x:c r="A514" s="25" t="n">
        <x:v>6</x:v>
      </x:c>
      <x:c r="B514" s="25" t="n">
        <x:v>4</x:v>
      </x:c>
      <x:c r="C514" s="25" t="n">
        <x:v>2</x:v>
      </x:c>
      <x:c r="D514" s="25" t="n">
        <x:v>30</x:v>
      </x:c>
      <x:c r="E514" s="25" t="str">
        <x:v>Agressif</x:v>
      </x:c>
      <x:c r="F514" s="25" t="n">
        <x:v>1.2</x:v>
      </x:c>
      <x:c r="G514" s="25" t="n">
        <x:v>-0.030073793864113397</x:v>
      </x:c>
      <x:c r="H514" s="25" t="n">
        <x:v>-2.077848593849606</x:v>
      </x:c>
      <x:c r="I514" s="25" t="n">
        <x:v>-1559.0916170149108</x:v>
      </x:c>
      <x:c r="J514" s="25" t="n">
        <x:v>14851.533382985082</x:v>
      </x:c>
      <x:c r="K514" s="25" t="n">
        <x:v>6.238459998457328</x:v>
      </x:c>
      <x:c r="L514" s="25" t="n">
        <x:v>79.25</x:v>
      </x:c>
      <x:c r="M514" s="34" t="b">
        <x:v>0</x:v>
      </x:c>
      <x:c r="N514" s="25" t="n">
        <x:v>-37.750273508766384</x:v>
      </x:c>
    </x:row>
    <x:row r="515">
      <x:c r="A515" s="25" t="n">
        <x:v>8</x:v>
      </x:c>
      <x:c r="B515" s="25" t="n">
        <x:v>3</x:v>
      </x:c>
      <x:c r="C515" s="25" t="n">
        <x:v>3</x:v>
      </x:c>
      <x:c r="D515" s="25" t="n">
        <x:v>40</x:v>
      </x:c>
      <x:c r="E515" s="25" t="str">
        <x:v>Agressif</x:v>
      </x:c>
      <x:c r="F515" s="25" t="n">
        <x:v>1</x:v>
      </x:c>
      <x:c r="G515" s="25" t="n">
        <x:v>0.04734436576721772</x:v>
      </x:c>
      <x:c r="H515" s="25" t="n">
        <x:v>-2.209998829853197</x:v>
      </x:c>
      <x:c r="I515" s="25" t="n">
        <x:v>2595.785012318078</x:v>
      </x:c>
      <x:c r="J515" s="25" t="n">
        <x:v>19006.41001231808</x:v>
      </x:c>
      <x:c r="K515" s="25" t="n">
        <x:v>5.1987166653811085</x:v>
      </x:c>
      <x:c r="L515" s="25" t="n">
        <x:v>74.25</x:v>
      </x:c>
      <x:c r="M515" s="34" t="b">
        <x:v>0</x:v>
      </x:c>
      <x:c r="N515" s="25" t="n">
        <x:v>-37.79603062913294</x:v>
      </x:c>
    </x:row>
    <x:row r="516">
      <x:c r="A516" s="25" t="n">
        <x:v>10</x:v>
      </x:c>
      <x:c r="B516" s="25" t="n">
        <x:v>2</x:v>
      </x:c>
      <x:c r="C516" s="25" t="n">
        <x:v>2</x:v>
      </x:c>
      <x:c r="D516" s="25" t="n">
        <x:v>40</x:v>
      </x:c>
      <x:c r="E516" s="25" t="str">
        <x:v>Équilibré</x:v>
      </x:c>
      <x:c r="F516" s="25" t="n">
        <x:v>0.8</x:v>
      </x:c>
      <x:c r="G516" s="25" t="n">
        <x:v>-0.031268038735021424</x:v>
      </x:c>
      <x:c r="H516" s="25" t="n">
        <x:v>-1.9972548948393112</x:v>
      </x:c>
      <x:c r="I516" s="25" t="n">
        <x:v>-1732.21044848</x:v>
      </x:c>
      <x:c r="J516" s="25" t="n">
        <x:v>14678.414551519994</x:v>
      </x:c>
      <x:c r="K516" s="25" t="n">
        <x:v>4.158973332304886</x:v>
      </x:c>
      <x:c r="L516" s="25" t="n">
        <x:v>69.25</x:v>
      </x:c>
      <x:c r="M516" s="34" t="b">
        <x:v>0</x:v>
      </x:c>
      <x:c r="N516" s="25" t="n">
        <x:v>-37.801114501408954</x:v>
      </x:c>
    </x:row>
    <x:row r="517">
      <x:c r="A517" s="25" t="n">
        <x:v>8</x:v>
      </x:c>
      <x:c r="B517" s="25" t="n">
        <x:v>2</x:v>
      </x:c>
      <x:c r="C517" s="25" t="n">
        <x:v>1.5</x:v>
      </x:c>
      <x:c r="D517" s="25" t="n">
        <x:v>40</x:v>
      </x:c>
      <x:c r="E517" s="25" t="str">
        <x:v>Conservateur</x:v>
      </x:c>
      <x:c r="F517" s="25" t="n">
        <x:v>1</x:v>
      </x:c>
      <x:c r="G517" s="25" t="n">
        <x:v>-0.06270725039546719</x:v>
      </x:c>
      <x:c r="H517" s="25" t="n">
        <x:v>-2.0095648437036173</x:v>
      </x:c>
      <x:c r="I517" s="25" t="n">
        <x:v>-3357.2775392921594</x:v>
      </x:c>
      <x:c r="J517" s="25" t="n">
        <x:v>13053.347460707835</x:v>
      </x:c>
      <x:c r="K517" s="25" t="n">
        <x:v>5.1987166653811085</x:v>
      </x:c>
      <x:c r="L517" s="25" t="n">
        <x:v>78.25</x:v>
      </x:c>
      <x:c r="M517" s="34" t="b">
        <x:v>0</x:v>
      </x:c>
      <x:c r="N517" s="25" t="n">
        <x:v>-38.03801986434113</x:v>
      </x:c>
    </x:row>
    <x:row r="518">
      <x:c r="A518" s="25" t="n">
        <x:v>8</x:v>
      </x:c>
      <x:c r="B518" s="25" t="n">
        <x:v>2</x:v>
      </x:c>
      <x:c r="C518" s="25" t="n">
        <x:v>1.5</x:v>
      </x:c>
      <x:c r="D518" s="25" t="n">
        <x:v>40</x:v>
      </x:c>
      <x:c r="E518" s="25" t="str">
        <x:v>Conservateur</x:v>
      </x:c>
      <x:c r="F518" s="25" t="n">
        <x:v>1.2</x:v>
      </x:c>
      <x:c r="G518" s="25" t="n">
        <x:v>-0.06270725039546719</x:v>
      </x:c>
      <x:c r="H518" s="25" t="n">
        <x:v>-2.039500406734138</x:v>
      </x:c>
      <x:c r="I518" s="25" t="n">
        <x:v>-3357.2775392921594</x:v>
      </x:c>
      <x:c r="J518" s="25" t="n">
        <x:v>13053.347460707835</x:v>
      </x:c>
      <x:c r="K518" s="25" t="n">
        <x:v>6.238459998457328</x:v>
      </x:c>
      <x:c r="L518" s="25" t="n">
        <x:v>81.25</x:v>
      </x:c>
      <x:c r="M518" s="34" t="b">
        <x:v>0</x:v>
      </x:c>
      <x:c r="N518" s="25" t="n">
        <x:v>-38.186408940104144</x:v>
      </x:c>
    </x:row>
    <x:row r="519">
      <x:c r="A519" s="25" t="n">
        <x:v>8</x:v>
      </x:c>
      <x:c r="B519" s="25" t="n">
        <x:v>3</x:v>
      </x:c>
      <x:c r="C519" s="25" t="n">
        <x:v>3</x:v>
      </x:c>
      <x:c r="D519" s="25" t="n">
        <x:v>40</x:v>
      </x:c>
      <x:c r="E519" s="25" t="str">
        <x:v>Agressif</x:v>
      </x:c>
      <x:c r="F519" s="25" t="n">
        <x:v>1.2</x:v>
      </x:c>
      <x:c r="G519" s="25" t="n">
        <x:v>0.04734436576721772</x:v>
      </x:c>
      <x:c r="H519" s="25" t="n">
        <x:v>-2.2508201185806564</x:v>
      </x:c>
      <x:c r="I519" s="25" t="n">
        <x:v>2595.785012318078</x:v>
      </x:c>
      <x:c r="J519" s="25" t="n">
        <x:v>19006.41001231808</x:v>
      </x:c>
      <x:c r="K519" s="25" t="n">
        <x:v>6.238459998457328</x:v>
      </x:c>
      <x:c r="L519" s="25" t="n">
        <x:v>77.25</x:v>
      </x:c>
      <x:c r="M519" s="34" t="b">
        <x:v>0</x:v>
      </x:c>
      <x:c r="N519" s="25" t="n">
        <x:v>-38.21656284731943</x:v>
      </x:c>
    </x:row>
    <x:row r="520">
      <x:c r="A520" s="25" t="n">
        <x:v>6</x:v>
      </x:c>
      <x:c r="B520" s="25" t="n">
        <x:v>3</x:v>
      </x:c>
      <x:c r="C520" s="25" t="n">
        <x:v>1.5</x:v>
      </x:c>
      <x:c r="D520" s="25" t="n">
        <x:v>40</x:v>
      </x:c>
      <x:c r="E520" s="25" t="str">
        <x:v>Conservateur</x:v>
      </x:c>
      <x:c r="F520" s="25" t="n">
        <x:v>1</x:v>
      </x:c>
      <x:c r="G520" s="25" t="n">
        <x:v>-0.0677247365916488</x:v>
      </x:c>
      <x:c r="H520" s="25" t="n">
        <x:v>-2.0357358881556014</x:v>
      </x:c>
      <x:c r="I520" s="25" t="n">
        <x:v>-3431.4469380224023</x:v>
      </x:c>
      <x:c r="J520" s="25" t="n">
        <x:v>12979.178061977593</x:v>
      </x:c>
      <x:c r="K520" s="25" t="n">
        <x:v>5.1987166653811085</x:v>
      </x:c>
      <x:c r="L520" s="25" t="n">
        <x:v>81.25</x:v>
      </x:c>
      <x:c r="M520" s="34" t="b">
        <x:v>0</x:v>
      </x:c>
      <x:c r="N520" s="25" t="n">
        <x:v>-38.36825771643072</x:v>
      </x:c>
    </x:row>
    <x:row r="521">
      <x:c r="A521" s="25" t="n">
        <x:v>8</x:v>
      </x:c>
      <x:c r="B521" s="25" t="n">
        <x:v>3</x:v>
      </x:c>
      <x:c r="C521" s="25" t="n">
        <x:v>1.5</x:v>
      </x:c>
      <x:c r="D521" s="25" t="n">
        <x:v>35</x:v>
      </x:c>
      <x:c r="E521" s="25" t="str">
        <x:v>Équilibré</x:v>
      </x:c>
      <x:c r="F521" s="25" t="n">
        <x:v>1</x:v>
      </x:c>
      <x:c r="G521" s="25" t="n">
        <x:v>-0.05815748413318588</x:v>
      </x:c>
      <x:c r="H521" s="25" t="n">
        <x:v>-2.0069163300065904</x:v>
      </x:c>
      <x:c r="I521" s="25" t="n">
        <x:v>-3032.0904507199994</x:v>
      </x:c>
      <x:c r="J521" s="25" t="n">
        <x:v>13378.534549279997</x:v>
      </x:c>
      <x:c r="K521" s="25" t="n">
        <x:v>5.1987166653811085</x:v>
      </x:c>
      <x:c r="L521" s="25" t="n">
        <x:v>74.75</x:v>
      </x:c>
      <x:c r="M521" s="34" t="b">
        <x:v>0</x:v>
      </x:c>
      <x:c r="N521" s="25" t="n">
        <x:v>-38.42156987748998</x:v>
      </x:c>
    </x:row>
    <x:row r="522">
      <x:c r="A522" s="25" t="n">
        <x:v>6</x:v>
      </x:c>
      <x:c r="B522" s="25" t="n">
        <x:v>3</x:v>
      </x:c>
      <x:c r="C522" s="25" t="n">
        <x:v>1.5</x:v>
      </x:c>
      <x:c r="D522" s="25" t="n">
        <x:v>40</x:v>
      </x:c>
      <x:c r="E522" s="25" t="str">
        <x:v>Conservateur</x:v>
      </x:c>
      <x:c r="F522" s="25" t="n">
        <x:v>1.2</x:v>
      </x:c>
      <x:c r="G522" s="25" t="n">
        <x:v>-0.0677247365916488</x:v>
      </x:c>
      <x:c r="H522" s="25" t="n">
        <x:v>-2.06555908558025</x:v>
      </x:c>
      <x:c r="I522" s="25" t="n">
        <x:v>-3431.4469380224023</x:v>
      </x:c>
      <x:c r="J522" s="25" t="n">
        <x:v>12979.178061977593</x:v>
      </x:c>
      <x:c r="K522" s="25" t="n">
        <x:v>6.238459998457328</x:v>
      </x:c>
      <x:c r="L522" s="25" t="n">
        <x:v>84.25</x:v>
      </x:c>
      <x:c r="M522" s="34" t="b">
        <x:v>0</x:v>
      </x:c>
      <x:c r="N522" s="25" t="n">
        <x:v>-38.51383765204693</x:v>
      </x:c>
    </x:row>
    <x:row r="523">
      <x:c r="A523" s="25" t="n">
        <x:v>8</x:v>
      </x:c>
      <x:c r="B523" s="25" t="n">
        <x:v>3</x:v>
      </x:c>
      <x:c r="C523" s="25" t="n">
        <x:v>1.5</x:v>
      </x:c>
      <x:c r="D523" s="25" t="n">
        <x:v>35</x:v>
      </x:c>
      <x:c r="E523" s="25" t="str">
        <x:v>Équilibré</x:v>
      </x:c>
      <x:c r="F523" s="25" t="n">
        <x:v>1.2</x:v>
      </x:c>
      <x:c r="G523" s="25" t="n">
        <x:v>-0.05815748413318588</x:v>
      </x:c>
      <x:c r="H523" s="25" t="n">
        <x:v>-2.036653790237797</x:v>
      </x:c>
      <x:c r="I523" s="25" t="n">
        <x:v>-3032.0904507199994</x:v>
      </x:c>
      <x:c r="J523" s="25" t="n">
        <x:v>13378.534549279997</x:v>
      </x:c>
      <x:c r="K523" s="25" t="n">
        <x:v>6.238459998457328</x:v>
      </x:c>
      <x:c r="L523" s="25" t="n">
        <x:v>77.75</x:v>
      </x:c>
      <x:c r="M523" s="34" t="b">
        <x:v>0</x:v>
      </x:c>
      <x:c r="N523" s="25" t="n">
        <x:v>-38.565006383270145</x:v>
      </x:c>
    </x:row>
    <x:row r="524">
      <x:c r="A524" s="25" t="n">
        <x:v>6</x:v>
      </x:c>
      <x:c r="B524" s="25" t="n">
        <x:v>3</x:v>
      </x:c>
      <x:c r="C524" s="25" t="n">
        <x:v>3</x:v>
      </x:c>
      <x:c r="D524" s="25" t="n">
        <x:v>40</x:v>
      </x:c>
      <x:c r="E524" s="25" t="str">
        <x:v>Agressif</x:v>
      </x:c>
      <x:c r="F524" s="25" t="n">
        <x:v>0.8</x:v>
      </x:c>
      <x:c r="G524" s="25" t="n">
        <x:v>0.027184008443876077</x:v>
      </x:c>
      <x:c r="H524" s="25" t="n">
        <x:v>-2.2432865889237394</x:v>
      </x:c>
      <x:c r="I524" s="25" t="n">
        <x:v>1490.4379972115194</x:v>
      </x:c>
      <x:c r="J524" s="25" t="n">
        <x:v>17901.062997211513</x:v>
      </x:c>
      <x:c r="K524" s="25" t="n">
        <x:v>4.158973332304886</x:v>
      </x:c>
      <x:c r="L524" s="25" t="n">
        <x:v>79.25</x:v>
      </x:c>
      <x:c r="M524" s="34" t="b">
        <x:v>0</x:v>
      </x:c>
      <x:c r="N524" s="25" t="n">
        <x:v>-38.7370442586803</x:v>
      </x:c>
    </x:row>
    <x:row r="525">
      <x:c r="A525" s="25" t="n">
        <x:v>10</x:v>
      </x:c>
      <x:c r="B525" s="25" t="n">
        <x:v>2</x:v>
      </x:c>
      <x:c r="C525" s="25" t="n">
        <x:v>3</x:v>
      </x:c>
      <x:c r="D525" s="25" t="n">
        <x:v>40</x:v>
      </x:c>
      <x:c r="E525" s="25" t="str">
        <x:v>Agressif</x:v>
      </x:c>
      <x:c r="F525" s="25" t="n">
        <x:v>1</x:v>
      </x:c>
      <x:c r="G525" s="25" t="n">
        <x:v>0.047384845448510925</x:v>
      </x:c>
      <x:c r="H525" s="25" t="n">
        <x:v>-2.2252857518748805</x:v>
      </x:c>
      <x:c r="I525" s="25" t="n">
        <x:v>2786.630845794686</x:v>
      </x:c>
      <x:c r="J525" s="25" t="n">
        <x:v>19197.255845794683</x:v>
      </x:c>
      <x:c r="K525" s="25" t="n">
        <x:v>5.1987166653811085</x:v>
      </x:c>
      <x:c r="L525" s="25" t="n">
        <x:v>71.25</x:v>
      </x:c>
      <x:c r="M525" s="34" t="b">
        <x:v>0</x:v>
      </x:c>
      <x:c r="N525" s="25" t="n">
        <x:v>-38.775977297203916</x:v>
      </x:c>
    </x:row>
    <x:row r="526">
      <x:c r="A526" s="25" t="n">
        <x:v>6</x:v>
      </x:c>
      <x:c r="B526" s="25" t="n">
        <x:v>2</x:v>
      </x:c>
      <x:c r="C526" s="25" t="n">
        <x:v>2</x:v>
      </x:c>
      <x:c r="D526" s="25" t="n">
        <x:v>35</x:v>
      </x:c>
      <x:c r="E526" s="25" t="str">
        <x:v>Équilibré</x:v>
      </x:c>
      <x:c r="F526" s="25" t="n">
        <x:v>1</x:v>
      </x:c>
      <x:c r="G526" s="25" t="n">
        <x:v>-0.047616156037005586</x:v>
      </x:c>
      <x:c r="H526" s="25" t="n">
        <x:v>-2.1245275795111014</x:v>
      </x:c>
      <x:c r="I526" s="25" t="n">
        <x:v>-2637.8758099519987</x:v>
      </x:c>
      <x:c r="J526" s="25" t="n">
        <x:v>13772.749190048</x:v>
      </x:c>
      <x:c r="K526" s="25" t="n">
        <x:v>5.1987166653811085</x:v>
      </x:c>
      <x:c r="L526" s="25" t="n">
        <x:v>84.75</x:v>
      </x:c>
      <x:c r="M526" s="34" t="b">
        <x:v>0</x:v>
      </x:c>
      <x:c r="N526" s="25" t="n">
        <x:v>-38.78207806981284</x:v>
      </x:c>
    </x:row>
    <x:row r="527">
      <x:c r="A527" s="25" t="n">
        <x:v>8</x:v>
      </x:c>
      <x:c r="B527" s="25" t="n">
        <x:v>2</x:v>
      </x:c>
      <x:c r="C527" s="25" t="n">
        <x:v>2</x:v>
      </x:c>
      <x:c r="D527" s="25" t="n">
        <x:v>30</x:v>
      </x:c>
      <x:c r="E527" s="25" t="str">
        <x:v>Agressif</x:v>
      </x:c>
      <x:c r="F527" s="25" t="n">
        <x:v>1</x:v>
      </x:c>
      <x:c r="G527" s="25" t="n">
        <x:v>-0.03745913591168951</x:v>
      </x:c>
      <x:c r="H527" s="25" t="n">
        <x:v>-2.096027247508584</x:v>
      </x:c>
      <x:c r="I527" s="25" t="n">
        <x:v>-2202.914931985069</x:v>
      </x:c>
      <x:c r="J527" s="25" t="n">
        <x:v>14207.710068014925</x:v>
      </x:c>
      <x:c r="K527" s="25" t="n">
        <x:v>5.1987166653811085</x:v>
      </x:c>
      <x:c r="L527" s="25" t="n">
        <x:v>78.25</x:v>
      </x:c>
      <x:c r="M527" s="34" t="b">
        <x:v>0</x:v>
      </x:c>
      <x:c r="N527" s="25" t="n">
        <x:v>-38.81093366285753</x:v>
      </x:c>
    </x:row>
    <x:row r="528">
      <x:c r="A528" s="25" t="n">
        <x:v>6</x:v>
      </x:c>
      <x:c r="B528" s="25" t="n">
        <x:v>2</x:v>
      </x:c>
      <x:c r="C528" s="25" t="n">
        <x:v>2</x:v>
      </x:c>
      <x:c r="D528" s="25" t="n">
        <x:v>35</x:v>
      </x:c>
      <x:c r="E528" s="25" t="str">
        <x:v>Équilibré</x:v>
      </x:c>
      <x:c r="F528" s="25" t="n">
        <x:v>1.2</x:v>
      </x:c>
      <x:c r="G528" s="25" t="n">
        <x:v>-0.047616156037005586</x:v>
      </x:c>
      <x:c r="H528" s="25" t="n">
        <x:v>-2.158364367821719</x:v>
      </x:c>
      <x:c r="I528" s="25" t="n">
        <x:v>-2637.8758099519987</x:v>
      </x:c>
      <x:c r="J528" s="25" t="n">
        <x:v>13772.749190048</x:v>
      </x:c>
      <x:c r="K528" s="25" t="n">
        <x:v>6.238459998457328</x:v>
      </x:c>
      <x:c r="L528" s="25" t="n">
        <x:v>87.75</x:v>
      </x:c>
      <x:c r="M528" s="34" t="b">
        <x:v>0</x:v>
      </x:c>
      <x:c r="N528" s="25" t="n">
        <x:v>-39.02799777757829</x:v>
      </x:c>
    </x:row>
    <x:row r="529">
      <x:c r="A529" s="25" t="n">
        <x:v>6</x:v>
      </x:c>
      <x:c r="B529" s="25" t="n">
        <x:v>2</x:v>
      </x:c>
      <x:c r="C529" s="25" t="n">
        <x:v>1.5</x:v>
      </x:c>
      <x:c r="D529" s="25" t="n">
        <x:v>40</x:v>
      </x:c>
      <x:c r="E529" s="25" t="str">
        <x:v>Conservateur</x:v>
      </x:c>
      <x:c r="F529" s="25" t="n">
        <x:v>0.8</x:v>
      </x:c>
      <x:c r="G529" s="25" t="n">
        <x:v>-0.08592513452690759</x:v>
      </x:c>
      <x:c r="H529" s="25" t="n">
        <x:v>-2.038379372766666</x:v>
      </x:c>
      <x:c r="I529" s="25" t="n">
        <x:v>-4600.337638607361</x:v>
      </x:c>
      <x:c r="J529" s="25" t="n">
        <x:v>11810.287361392635</x:v>
      </x:c>
      <x:c r="K529" s="25" t="n">
        <x:v>4.158973332304886</x:v>
      </x:c>
      <x:c r="L529" s="25" t="n">
        <x:v>83.25</x:v>
      </x:c>
      <x:c r="M529" s="34" t="b">
        <x:v>0</x:v>
      </x:c>
      <x:c r="N529" s="25" t="n">
        <x:v>-39.03536671814656</x:v>
      </x:c>
    </x:row>
    <x:row r="530">
      <x:c r="A530" s="25" t="n">
        <x:v>8</x:v>
      </x:c>
      <x:c r="B530" s="25" t="n">
        <x:v>2</x:v>
      </x:c>
      <x:c r="C530" s="25" t="n">
        <x:v>2</x:v>
      </x:c>
      <x:c r="D530" s="25" t="n">
        <x:v>30</x:v>
      </x:c>
      <x:c r="E530" s="25" t="str">
        <x:v>Agressif</x:v>
      </x:c>
      <x:c r="F530" s="25" t="n">
        <x:v>1.2</x:v>
      </x:c>
      <x:c r="G530" s="25" t="n">
        <x:v>-0.03745913591168951</x:v>
      </x:c>
      <x:c r="H530" s="25" t="n">
        <x:v>-2.1299462960637574</x:v>
      </x:c>
      <x:c r="I530" s="25" t="n">
        <x:v>-2202.914931985069</x:v>
      </x:c>
      <x:c r="J530" s="25" t="n">
        <x:v>14207.710068014925</x:v>
      </x:c>
      <x:c r="K530" s="25" t="n">
        <x:v>6.238459998457328</x:v>
      </x:c>
      <x:c r="L530" s="25" t="n">
        <x:v>81.25</x:v>
      </x:c>
      <x:c r="M530" s="34" t="b">
        <x:v>0</x:v>
      </x:c>
      <x:c r="N530" s="25" t="n">
        <x:v>-39.05890987673686</x:v>
      </x:c>
    </x:row>
    <x:row r="531">
      <x:c r="A531" s="25" t="n">
        <x:v>10</x:v>
      </x:c>
      <x:c r="B531" s="25" t="n">
        <x:v>4</x:v>
      </x:c>
      <x:c r="C531" s="25" t="n">
        <x:v>1.5</x:v>
      </x:c>
      <x:c r="D531" s="25" t="n">
        <x:v>40</x:v>
      </x:c>
      <x:c r="E531" s="25" t="str">
        <x:v>Équilibré</x:v>
      </x:c>
      <x:c r="F531" s="25" t="n">
        <x:v>1</x:v>
      </x:c>
      <x:c r="G531" s="25" t="n">
        <x:v>-0.0525136043326401</x:v>
      </x:c>
      <x:c r="H531" s="25" t="n">
        <x:v>-1.9719314250580586</x:v>
      </x:c>
      <x:c r="I531" s="25" t="n">
        <x:v>-2609.332101440001</x:v>
      </x:c>
      <x:c r="J531" s="25" t="n">
        <x:v>13801.292898559994</x:v>
      </x:c>
      <x:c r="K531" s="25" t="n">
        <x:v>5.1987166653811085</x:v>
      </x:c>
      <x:c r="L531" s="25" t="n">
        <x:v>65.25</x:v>
      </x:c>
      <x:c r="M531" s="34" t="b">
        <x:v>0</x:v>
      </x:c>
      <x:c r="N531" s="25" t="n">
        <x:v>-39.13653386474667</x:v>
      </x:c>
    </x:row>
    <x:row r="532">
      <x:c r="A532" s="25" t="n">
        <x:v>8</x:v>
      </x:c>
      <x:c r="B532" s="25" t="n">
        <x:v>4</x:v>
      </x:c>
      <x:c r="C532" s="25" t="n">
        <x:v>1.5</x:v>
      </x:c>
      <x:c r="D532" s="25" t="n">
        <x:v>30</x:v>
      </x:c>
      <x:c r="E532" s="25" t="str">
        <x:v>Agressif</x:v>
      </x:c>
      <x:c r="F532" s="25" t="n">
        <x:v>1</x:v>
      </x:c>
      <x:c r="G532" s="25" t="n">
        <x:v>-0.05898080045951285</x:v>
      </x:c>
      <x:c r="H532" s="25" t="n">
        <x:v>-2.0063435820200355</x:v>
      </x:c>
      <x:c r="I532" s="25" t="n">
        <x:v>-3057.6944158344436</x:v>
      </x:c>
      <x:c r="J532" s="25" t="n">
        <x:v>13352.930584165551</x:v>
      </x:c>
      <x:c r="K532" s="25" t="n">
        <x:v>5.1987166653811085</x:v>
      </x:c>
      <x:c r="L532" s="25" t="n">
        <x:v>71.25</x:v>
      </x:c>
      <x:c r="M532" s="34" t="b">
        <x:v>0</x:v>
      </x:c>
      <x:c r="N532" s="25" t="n">
        <x:v>-39.15253357577409</x:v>
      </x:c>
    </x:row>
    <x:row r="533">
      <x:c r="A533" s="25" t="n">
        <x:v>10</x:v>
      </x:c>
      <x:c r="B533" s="25" t="n">
        <x:v>2</x:v>
      </x:c>
      <x:c r="C533" s="25" t="n">
        <x:v>3</x:v>
      </x:c>
      <x:c r="D533" s="25" t="n">
        <x:v>40</x:v>
      </x:c>
      <x:c r="E533" s="25" t="str">
        <x:v>Agressif</x:v>
      </x:c>
      <x:c r="F533" s="25" t="n">
        <x:v>1.2</x:v>
      </x:c>
      <x:c r="G533" s="25" t="n">
        <x:v>0.047384845448510925</x:v>
      </x:c>
      <x:c r="H533" s="25" t="n">
        <x:v>-2.2669168488227336</x:v>
      </x:c>
      <x:c r="I533" s="25" t="n">
        <x:v>2786.630845794686</x:v>
      </x:c>
      <x:c r="J533" s="25" t="n">
        <x:v>19197.255845794683</x:v>
      </x:c>
      <x:c r="K533" s="25" t="n">
        <x:v>6.238459998457328</x:v>
      </x:c>
      <x:c r="L533" s="25" t="n">
        <x:v>74.25</x:v>
      </x:c>
      <x:c r="M533" s="34" t="b">
        <x:v>0</x:v>
      </x:c>
      <x:c r="N533" s="25" t="n">
        <x:v>-39.21675472090024</x:v>
      </x:c>
    </x:row>
    <x:row r="534">
      <x:c r="A534" s="25" t="n">
        <x:v>10</x:v>
      </x:c>
      <x:c r="B534" s="25" t="n">
        <x:v>4</x:v>
      </x:c>
      <x:c r="C534" s="25" t="n">
        <x:v>1.5</x:v>
      </x:c>
      <x:c r="D534" s="25" t="n">
        <x:v>40</x:v>
      </x:c>
      <x:c r="E534" s="25" t="str">
        <x:v>Équilibré</x:v>
      </x:c>
      <x:c r="F534" s="25" t="n">
        <x:v>1.2</x:v>
      </x:c>
      <x:c r="G534" s="25" t="n">
        <x:v>-0.0525136043326401</x:v>
      </x:c>
      <x:c r="H534" s="25" t="n">
        <x:v>-2.0008470440641752</x:v>
      </x:c>
      <x:c r="I534" s="25" t="n">
        <x:v>-2609.332101440001</x:v>
      </x:c>
      <x:c r="J534" s="25" t="n">
        <x:v>13801.292898559994</x:v>
      </x:c>
      <x:c r="K534" s="25" t="n">
        <x:v>6.238459998457328</x:v>
      </x:c>
      <x:c r="L534" s="25" t="n">
        <x:v>68.25</x:v>
      </x:c>
      <x:c r="M534" s="34" t="b">
        <x:v>0</x:v>
      </x:c>
      <x:c r="N534" s="25" t="n">
        <x:v>-39.25942433989959</x:v>
      </x:c>
    </x:row>
    <x:row r="535">
      <x:c r="A535" s="25" t="n">
        <x:v>8</x:v>
      </x:c>
      <x:c r="B535" s="25" t="n">
        <x:v>4</x:v>
      </x:c>
      <x:c r="C535" s="25" t="n">
        <x:v>1.5</x:v>
      </x:c>
      <x:c r="D535" s="25" t="n">
        <x:v>30</x:v>
      </x:c>
      <x:c r="E535" s="25" t="str">
        <x:v>Agressif</x:v>
      </x:c>
      <x:c r="F535" s="25" t="n">
        <x:v>1.2</x:v>
      </x:c>
      <x:c r="G535" s="25" t="n">
        <x:v>-0.05898080045951285</x:v>
      </x:c>
      <x:c r="H535" s="25" t="n">
        <x:v>-2.035989254232475</x:v>
      </x:c>
      <x:c r="I535" s="25" t="n">
        <x:v>-3057.6944158344436</x:v>
      </x:c>
      <x:c r="J535" s="25" t="n">
        <x:v>13352.930584165551</x:v>
      </x:c>
      <x:c r="K535" s="25" t="n">
        <x:v>6.238459998457328</x:v>
      </x:c>
      <x:c r="L535" s="25" t="n">
        <x:v>74.25</x:v>
      </x:c>
      <x:c r="M535" s="34" t="b">
        <x:v>0</x:v>
      </x:c>
      <x:c r="N535" s="25" t="n">
        <x:v>-39.29367538108508</x:v>
      </x:c>
    </x:row>
    <x:row r="536">
      <x:c r="A536" s="25" t="n">
        <x:v>8</x:v>
      </x:c>
      <x:c r="B536" s="25" t="n">
        <x:v>3</x:v>
      </x:c>
      <x:c r="C536" s="25" t="n">
        <x:v>2</x:v>
      </x:c>
      <x:c r="D536" s="25" t="n">
        <x:v>40</x:v>
      </x:c>
      <x:c r="E536" s="25" t="str">
        <x:v>Équilibré</x:v>
      </x:c>
      <x:c r="F536" s="25" t="n">
        <x:v>1</x:v>
      </x:c>
      <x:c r="G536" s="25" t="n">
        <x:v>-0.03781789855964779</x:v>
      </x:c>
      <x:c r="H536" s="25" t="n">
        <x:v>-2.0920366521885936</x:v>
      </x:c>
      <x:c r="I536" s="25" t="n">
        <x:v>-1971.668664799998</x:v>
      </x:c>
      <x:c r="J536" s="25" t="n">
        <x:v>14438.956335199999</x:v>
      </x:c>
      <x:c r="K536" s="25" t="n">
        <x:v>5.1987166653811085</x:v>
      </x:c>
      <x:c r="L536" s="25" t="n">
        <x:v>75.25</x:v>
      </x:c>
      <x:c r="M536" s="34" t="b">
        <x:v>0</x:v>
      </x:c>
      <x:c r="N536" s="25" t="n">
        <x:v>-39.33090072549547</x:v>
      </x:c>
    </x:row>
    <x:row r="537">
      <x:c r="A537" s="25" t="n">
        <x:v>8</x:v>
      </x:c>
      <x:c r="B537" s="25" t="n">
        <x:v>3</x:v>
      </x:c>
      <x:c r="C537" s="25" t="n">
        <x:v>2</x:v>
      </x:c>
      <x:c r="D537" s="25" t="n">
        <x:v>40</x:v>
      </x:c>
      <x:c r="E537" s="25" t="str">
        <x:v>Équilibré</x:v>
      </x:c>
      <x:c r="F537" s="25" t="n">
        <x:v>1.2</x:v>
      </x:c>
      <x:c r="G537" s="25" t="n">
        <x:v>-0.03781789855964779</x:v>
      </x:c>
      <x:c r="H537" s="25" t="n">
        <x:v>-2.125078274667712</x:v>
      </x:c>
      <x:c r="I537" s="25" t="n">
        <x:v>-1971.668664799998</x:v>
      </x:c>
      <x:c r="J537" s="25" t="n">
        <x:v>14438.956335199999</x:v>
      </x:c>
      <x:c r="K537" s="25" t="n">
        <x:v>6.238459998457328</x:v>
      </x:c>
      <x:c r="L537" s="25" t="n">
        <x:v>78.25</x:v>
      </x:c>
      <x:c r="M537" s="34" t="b">
        <x:v>0</x:v>
      </x:c>
      <x:c r="N537" s="25" t="n">
        <x:v>-39.55694128747343</x:v>
      </x:c>
    </x:row>
    <x:row r="538">
      <x:c r="A538" s="25" t="n">
        <x:v>10</x:v>
      </x:c>
      <x:c r="B538" s="25" t="n">
        <x:v>4</x:v>
      </x:c>
      <x:c r="C538" s="25" t="n">
        <x:v>2</x:v>
      </x:c>
      <x:c r="D538" s="25" t="n">
        <x:v>35</x:v>
      </x:c>
      <x:c r="E538" s="25" t="str">
        <x:v>Agressif</x:v>
      </x:c>
      <x:c r="F538" s="25" t="n">
        <x:v>1</x:v>
      </x:c>
      <x:c r="G538" s="25" t="n">
        <x:v>-0.025291666906672117</x:v>
      </x:c>
      <x:c r="H538" s="25" t="n">
        <x:v>-2.036906626111619</x:v>
      </x:c>
      <x:c r="I538" s="25" t="n">
        <x:v>-1311.1756379224098</x:v>
      </x:c>
      <x:c r="J538" s="25" t="n">
        <x:v>15099.449362077587</x:v>
      </x:c>
      <x:c r="K538" s="25" t="n">
        <x:v>5.1987166653811085</x:v>
      </x:c>
      <x:c r="L538" s="25" t="n">
        <x:v>63.75</x:v>
      </x:c>
      <x:c r="M538" s="34" t="b">
        <x:v>0</x:v>
      </x:c>
      <x:c r="N538" s="25" t="n">
        <x:v>-39.563707332657444</x:v>
      </x:c>
    </x:row>
    <x:row r="539">
      <x:c r="A539" s="25" t="n">
        <x:v>8</x:v>
      </x:c>
      <x:c r="B539" s="25" t="n">
        <x:v>2</x:v>
      </x:c>
      <x:c r="C539" s="25" t="n">
        <x:v>1.5</x:v>
      </x:c>
      <x:c r="D539" s="25" t="n">
        <x:v>35</x:v>
      </x:c>
      <x:c r="E539" s="25" t="str">
        <x:v>Équilibré</x:v>
      </x:c>
      <x:c r="F539" s="25" t="n">
        <x:v>0.8</x:v>
      </x:c>
      <x:c r="G539" s="25" t="n">
        <x:v>-0.07984658817450702</x:v>
      </x:c>
      <x:c r="H539" s="25" t="n">
        <x:v>-2.02129448730546</x:v>
      </x:c>
      <x:c r="I539" s="25" t="n">
        <x:v>-4423.4016557119985</x:v>
      </x:c>
      <x:c r="J539" s="25" t="n">
        <x:v>11987.223344287999</x:v>
      </x:c>
      <x:c r="K539" s="25" t="n">
        <x:v>4.158973332304886</x:v>
      </x:c>
      <x:c r="L539" s="25" t="n">
        <x:v>76.75</x:v>
      </x:c>
      <x:c r="M539" s="34" t="b">
        <x:v>0</x:v>
      </x:c>
      <x:c r="N539" s="25" t="n">
        <x:v>-39.573924532234386</x:v>
      </x:c>
    </x:row>
    <x:row r="540">
      <x:c r="A540" s="25" t="n">
        <x:v>10</x:v>
      </x:c>
      <x:c r="B540" s="25" t="n">
        <x:v>4</x:v>
      </x:c>
      <x:c r="C540" s="25" t="n">
        <x:v>2</x:v>
      </x:c>
      <x:c r="D540" s="25" t="n">
        <x:v>35</x:v>
      </x:c>
      <x:c r="E540" s="25" t="str">
        <x:v>Agressif</x:v>
      </x:c>
      <x:c r="F540" s="25" t="n">
        <x:v>1.2</x:v>
      </x:c>
      <x:c r="G540" s="25" t="n">
        <x:v>-0.025291666906672117</x:v>
      </x:c>
      <x:c r="H540" s="25" t="n">
        <x:v>-2.069154349515781</x:v>
      </x:c>
      <x:c r="I540" s="25" t="n">
        <x:v>-1311.1756379224098</x:v>
      </x:c>
      <x:c r="J540" s="25" t="n">
        <x:v>15099.449362077587</x:v>
      </x:c>
      <x:c r="K540" s="25" t="n">
        <x:v>6.238459998457328</x:v>
      </x:c>
      <x:c r="L540" s="25" t="n">
        <x:v>66.75</x:v>
      </x:c>
      <x:c r="M540" s="34" t="b">
        <x:v>0</x:v>
      </x:c>
      <x:c r="N540" s="25" t="n">
        <x:v>-39.76990041776149</x:v>
      </x:c>
    </x:row>
    <x:row r="541">
      <x:c r="A541" s="25" t="n">
        <x:v>6</x:v>
      </x:c>
      <x:c r="B541" s="25" t="n">
        <x:v>4</x:v>
      </x:c>
      <x:c r="C541" s="25" t="n">
        <x:v>1.5</x:v>
      </x:c>
      <x:c r="D541" s="25" t="n">
        <x:v>35</x:v>
      </x:c>
      <x:c r="E541" s="25" t="str">
        <x:v>Équilibré</x:v>
      </x:c>
      <x:c r="F541" s="25" t="n">
        <x:v>1</x:v>
      </x:c>
      <x:c r="G541" s="25" t="n">
        <x:v>-0.07342738832017465</x:v>
      </x:c>
      <x:c r="H541" s="25" t="n">
        <x:v>-2.052311967444438</x:v>
      </x:c>
      <x:c r="I541" s="25" t="n">
        <x:v>-3648.5105888960006</x:v>
      </x:c>
      <x:c r="J541" s="25" t="n">
        <x:v>12762.114411103994</x:v>
      </x:c>
      <x:c r="K541" s="25" t="n">
        <x:v>5.1987166653811085</x:v>
      </x:c>
      <x:c r="L541" s="25" t="n">
        <x:v>77.75</x:v>
      </x:c>
      <x:c r="M541" s="34" t="b">
        <x:v>0</x:v>
      </x:c>
      <x:c r="N541" s="25" t="n">
        <x:v>-39.79630554372055</x:v>
      </x:c>
    </x:row>
    <x:row r="542">
      <x:c r="A542" s="25" t="n">
        <x:v>8</x:v>
      </x:c>
      <x:c r="B542" s="25" t="n">
        <x:v>4</x:v>
      </x:c>
      <x:c r="C542" s="25" t="n">
        <x:v>1.5</x:v>
      </x:c>
      <x:c r="D542" s="25" t="n">
        <x:v>40</x:v>
      </x:c>
      <x:c r="E542" s="25" t="str">
        <x:v>Équilibré</x:v>
      </x:c>
      <x:c r="F542" s="25" t="n">
        <x:v>0.8</x:v>
      </x:c>
      <x:c r="G542" s="25" t="n">
        <x:v>-0.07309180215504991</x:v>
      </x:c>
      <x:c r="H542" s="25" t="n">
        <x:v>-1.9934526995528146</x:v>
      </x:c>
      <x:c r="I542" s="25" t="n">
        <x:v>-3631.8357526400014</x:v>
      </x:c>
      <x:c r="J542" s="25" t="n">
        <x:v>12778.789247359993</x:v>
      </x:c>
      <x:c r="K542" s="25" t="n">
        <x:v>4.158973332304886</x:v>
      </x:c>
      <x:c r="L542" s="25" t="n">
        <x:v>70.25</x:v>
      </x:c>
      <x:c r="M542" s="34" t="b">
        <x:v>0</x:v>
      </x:c>
      <x:c r="N542" s="25" t="n">
        <x:v>-39.80636660734811</x:v>
      </x:c>
    </x:row>
    <x:row r="543">
      <x:c r="A543" s="25" t="n">
        <x:v>6</x:v>
      </x:c>
      <x:c r="B543" s="25" t="n">
        <x:v>2</x:v>
      </x:c>
      <x:c r="C543" s="25" t="n">
        <x:v>2</x:v>
      </x:c>
      <x:c r="D543" s="25" t="n">
        <x:v>30</x:v>
      </x:c>
      <x:c r="E543" s="25" t="str">
        <x:v>Agressif</x:v>
      </x:c>
      <x:c r="F543" s="25" t="n">
        <x:v>0.8</x:v>
      </x:c>
      <x:c r="G543" s="25" t="n">
        <x:v>-0.0612973990022106</x:v>
      </x:c>
      <x:c r="H543" s="25" t="n">
        <x:v>-2.125753325485267</x:v>
      </x:c>
      <x:c r="I543" s="25" t="n">
        <x:v>-3604.8070054834866</x:v>
      </x:c>
      <x:c r="J543" s="25" t="n">
        <x:v>12805.817994516507</x:v>
      </x:c>
      <x:c r="K543" s="25" t="n">
        <x:v>4.158973332304886</x:v>
      </x:c>
      <x:c r="L543" s="25" t="n">
        <x:v>83.25</x:v>
      </x:c>
      <x:c r="M543" s="34" t="b">
        <x:v>0</x:v>
      </x:c>
      <x:c r="N543" s="25" t="n">
        <x:v>-39.865190082253264</x:v>
      </x:c>
    </x:row>
    <x:row r="544">
      <x:c r="A544" s="25" t="n">
        <x:v>10</x:v>
      </x:c>
      <x:c r="B544" s="25" t="n">
        <x:v>3</x:v>
      </x:c>
      <x:c r="C544" s="25" t="n">
        <x:v>1.5</x:v>
      </x:c>
      <x:c r="D544" s="25" t="n">
        <x:v>30</x:v>
      </x:c>
      <x:c r="E544" s="25" t="str">
        <x:v>Agressif</x:v>
      </x:c>
      <x:c r="F544" s="25" t="n">
        <x:v>1</x:v>
      </x:c>
      <x:c r="G544" s="25" t="n">
        <x:v>-0.05700183138311974</x:v>
      </x:c>
      <x:c r="H544" s="25" t="n">
        <x:v>-2.015422151136016</x:v>
      </x:c>
      <x:c r="I544" s="25" t="n">
        <x:v>-3125.2821150143773</x:v>
      </x:c>
      <x:c r="J544" s="25" t="n">
        <x:v>13285.342884985617</x:v>
      </x:c>
      <x:c r="K544" s="25" t="n">
        <x:v>5.1987166653811085</x:v>
      </x:c>
      <x:c r="L544" s="25" t="n">
        <x:v>68.25</x:v>
      </x:c>
      <x:c r="M544" s="34" t="b">
        <x:v>0</x:v>
      </x:c>
      <x:c r="N544" s="25" t="n">
        <x:v>-39.87065450447199</x:v>
      </x:c>
    </x:row>
    <x:row r="545">
      <x:c r="A545" s="25" t="n">
        <x:v>6</x:v>
      </x:c>
      <x:c r="B545" s="25" t="n">
        <x:v>4</x:v>
      </x:c>
      <x:c r="C545" s="25" t="n">
        <x:v>1.5</x:v>
      </x:c>
      <x:c r="D545" s="25" t="n">
        <x:v>35</x:v>
      </x:c>
      <x:c r="E545" s="25" t="str">
        <x:v>Équilibré</x:v>
      </x:c>
      <x:c r="F545" s="25" t="n">
        <x:v>1.2</x:v>
      </x:c>
      <x:c r="G545" s="25" t="n">
        <x:v>-0.07342738832017465</x:v>
      </x:c>
      <x:c r="H545" s="25" t="n">
        <x:v>-2.0821456185732066</x:v>
      </x:c>
      <x:c r="I545" s="25" t="n">
        <x:v>-3648.5105888960006</x:v>
      </x:c>
      <x:c r="J545" s="25" t="n">
        <x:v>12762.114411103994</x:v>
      </x:c>
      <x:c r="K545" s="25" t="n">
        <x:v>6.238459998457328</x:v>
      </x:c>
      <x:c r="L545" s="25" t="n">
        <x:v>80.75</x:v>
      </x:c>
      <x:c r="M545" s="34" t="b">
        <x:v>0</x:v>
      </x:c>
      <x:c r="N545" s="25" t="n">
        <x:v>-39.94214682193977</x:v>
      </x:c>
    </x:row>
    <x:row r="546">
      <x:c r="A546" s="25" t="n">
        <x:v>6</x:v>
      </x:c>
      <x:c r="B546" s="25" t="n">
        <x:v>4</x:v>
      </x:c>
      <x:c r="C546" s="25" t="n">
        <x:v>3</x:v>
      </x:c>
      <x:c r="D546" s="25" t="n">
        <x:v>40</x:v>
      </x:c>
      <x:c r="E546" s="25" t="str">
        <x:v>Agressif</x:v>
      </x:c>
      <x:c r="F546" s="25" t="n">
        <x:v>1</x:v>
      </x:c>
      <x:c r="G546" s="25" t="n">
        <x:v>0.02706676210372381</x:v>
      </x:c>
      <x:c r="H546" s="25" t="n">
        <x:v>-2.2773699544520563</x:v>
      </x:c>
      <x:c r="I546" s="25" t="n">
        <x:v>1403.200477010942</x:v>
      </x:c>
      <x:c r="J546" s="25" t="n">
        <x:v>17813.825477010938</x:v>
      </x:c>
      <x:c r="K546" s="25" t="n">
        <x:v>5.1987166653811085</x:v>
      </x:c>
      <x:c r="L546" s="25" t="n">
        <x:v>77.25</x:v>
      </x:c>
      <x:c r="M546" s="34" t="b">
        <x:v>0</x:v>
      </x:c>
      <x:c r="N546" s="25" t="n">
        <x:v>-39.995576945596596</x:v>
      </x:c>
    </x:row>
    <x:row r="547">
      <x:c r="A547" s="25" t="n">
        <x:v>10</x:v>
      </x:c>
      <x:c r="B547" s="25" t="n">
        <x:v>3</x:v>
      </x:c>
      <x:c r="C547" s="25" t="n">
        <x:v>1.5</x:v>
      </x:c>
      <x:c r="D547" s="25" t="n">
        <x:v>30</x:v>
      </x:c>
      <x:c r="E547" s="25" t="str">
        <x:v>Agressif</x:v>
      </x:c>
      <x:c r="F547" s="25" t="n">
        <x:v>1.2</x:v>
      </x:c>
      <x:c r="G547" s="25" t="n">
        <x:v>-0.05700183138311974</x:v>
      </x:c>
      <x:c r="H547" s="25" t="n">
        <x:v>-2.045693956285563</x:v>
      </x:c>
      <x:c r="I547" s="25" t="n">
        <x:v>-3125.2821150143773</x:v>
      </x:c>
      <x:c r="J547" s="25" t="n">
        <x:v>13285.342884985617</x:v>
      </x:c>
      <x:c r="K547" s="25" t="n">
        <x:v>6.238459998457328</x:v>
      </x:c>
      <x:c r="L547" s="25" t="n">
        <x:v>71.25</x:v>
      </x:c>
      <x:c r="M547" s="34" t="b">
        <x:v>0</x:v>
      </x:c>
      <x:c r="N547" s="25" t="n">
        <x:v>-40.027449633210665</x:v>
      </x:c>
    </x:row>
    <x:row r="548">
      <x:c r="A548" s="25" t="n">
        <x:v>8</x:v>
      </x:c>
      <x:c r="B548" s="25" t="n">
        <x:v>3</x:v>
      </x:c>
      <x:c r="C548" s="25" t="n">
        <x:v>1.5</x:v>
      </x:c>
      <x:c r="D548" s="25" t="n">
        <x:v>30</x:v>
      </x:c>
      <x:c r="E548" s="25" t="str">
        <x:v>Agressif</x:v>
      </x:c>
      <x:c r="F548" s="25" t="n">
        <x:v>0.8</x:v>
      </x:c>
      <x:c r="G548" s="25" t="n">
        <x:v>-0.07579068714699783</x:v>
      </x:c>
      <x:c r="H548" s="25" t="n">
        <x:v>-2.0234407429983947</x:v>
      </x:c>
      <x:c r="I548" s="25" t="n">
        <x:v>-4155.432786591259</x:v>
      </x:c>
      <x:c r="J548" s="25" t="n">
        <x:v>12255.19221340874</x:v>
      </x:c>
      <x:c r="K548" s="25" t="n">
        <x:v>4.158973332304886</x:v>
      </x:c>
      <x:c r="L548" s="25" t="n">
        <x:v>73.25</x:v>
      </x:c>
      <x:c r="M548" s="34" t="b">
        <x:v>0</x:v>
      </x:c>
      <x:c r="N548" s="25" t="n">
        <x:v>-40.104506368044746</x:v>
      </x:c>
    </x:row>
    <x:row r="549">
      <x:c r="A549" s="25" t="n">
        <x:v>10</x:v>
      </x:c>
      <x:c r="B549" s="25" t="n">
        <x:v>2</x:v>
      </x:c>
      <x:c r="C549" s="25" t="n">
        <x:v>1.5</x:v>
      </x:c>
      <x:c r="D549" s="25" t="n">
        <x:v>35</x:v>
      </x:c>
      <x:c r="E549" s="25" t="str">
        <x:v>Équilibré</x:v>
      </x:c>
      <x:c r="F549" s="25" t="n">
        <x:v>1</x:v>
      </x:c>
      <x:c r="G549" s="25" t="n">
        <x:v>-0.0665252691412782</x:v>
      </x:c>
      <x:c r="H549" s="25" t="n">
        <x:v>-2.0328025406098247</x:v>
      </x:c>
      <x:c r="I549" s="25" t="n">
        <x:v>-3685.4171529919995</x:v>
      </x:c>
      <x:c r="J549" s="25" t="n">
        <x:v>12725.207847007996</x:v>
      </x:c>
      <x:c r="K549" s="25" t="n">
        <x:v>5.1987166653811085</x:v>
      </x:c>
      <x:c r="L549" s="25" t="n">
        <x:v>71.75</x:v>
      </x:c>
      <x:c r="M549" s="34" t="b">
        <x:v>0</x:v>
      </x:c>
      <x:c r="N549" s="25" t="n">
        <x:v>-40.12895331801592</x:v>
      </x:c>
    </x:row>
    <x:row r="550">
      <x:c r="A550" s="25" t="n">
        <x:v>8</x:v>
      </x:c>
      <x:c r="B550" s="25" t="n">
        <x:v>4</x:v>
      </x:c>
      <x:c r="C550" s="25" t="n">
        <x:v>2</x:v>
      </x:c>
      <x:c r="D550" s="25" t="n">
        <x:v>35</x:v>
      </x:c>
      <x:c r="E550" s="25" t="str">
        <x:v>Agressif</x:v>
      </x:c>
      <x:c r="F550" s="25" t="n">
        <x:v>0.8</x:v>
      </x:c>
      <x:c r="G550" s="25" t="n">
        <x:v>-0.045358820421236956</x:v>
      </x:c>
      <x:c r="H550" s="25" t="n">
        <x:v>-2.0568429959457575</x:v>
      </x:c>
      <x:c r="I550" s="25" t="n">
        <x:v>-2351.5010110122043</x:v>
      </x:c>
      <x:c r="J550" s="25" t="n">
        <x:v>14059.123988987792</x:v>
      </x:c>
      <x:c r="K550" s="25" t="n">
        <x:v>4.158973332304886</x:v>
      </x:c>
      <x:c r="L550" s="25" t="n">
        <x:v>68.75</x:v>
      </x:c>
      <x:c r="M550" s="34" t="b">
        <x:v>0</x:v>
      </x:c>
      <x:c r="N550" s="25" t="n">
        <x:v>-40.16581002181197</x:v>
      </x:c>
    </x:row>
    <x:row r="551">
      <x:c r="A551" s="25" t="n">
        <x:v>8</x:v>
      </x:c>
      <x:c r="B551" s="25" t="n">
        <x:v>2</x:v>
      </x:c>
      <x:c r="C551" s="25" t="n">
        <x:v>2</x:v>
      </x:c>
      <x:c r="D551" s="25" t="n">
        <x:v>40</x:v>
      </x:c>
      <x:c r="E551" s="25" t="str">
        <x:v>Équilibré</x:v>
      </x:c>
      <x:c r="F551" s="25" t="n">
        <x:v>0.8</x:v>
      </x:c>
      <x:c r="G551" s="25" t="n">
        <x:v>-0.056477308228365296</x:v>
      </x:c>
      <x:c r="H551" s="25" t="n">
        <x:v>-2.100606824167785</x:v>
      </x:c>
      <x:c r="I551" s="25" t="n">
        <x:v>-3128.7726180800005</x:v>
      </x:c>
      <x:c r="J551" s="25" t="n">
        <x:v>13281.852381919995</x:v>
      </x:c>
      <x:c r="K551" s="25" t="n">
        <x:v>4.158973332304886</x:v>
      </x:c>
      <x:c r="L551" s="25" t="n">
        <x:v>77.25</x:v>
      </x:c>
      <x:c r="M551" s="34" t="b">
        <x:v>0</x:v>
      </x:c>
      <x:c r="N551" s="25" t="n">
        <x:v>-40.17142255675472</x:v>
      </x:c>
    </x:row>
    <x:row r="552">
      <x:c r="A552" s="25" t="n">
        <x:v>10</x:v>
      </x:c>
      <x:c r="B552" s="25" t="n">
        <x:v>2</x:v>
      </x:c>
      <x:c r="C552" s="25" t="n">
        <x:v>1.5</x:v>
      </x:c>
      <x:c r="D552" s="25" t="n">
        <x:v>35</x:v>
      </x:c>
      <x:c r="E552" s="25" t="str">
        <x:v>Équilibré</x:v>
      </x:c>
      <x:c r="F552" s="25" t="n">
        <x:v>1.2</x:v>
      </x:c>
      <x:c r="G552" s="25" t="n">
        <x:v>-0.0665252691412782</x:v>
      </x:c>
      <x:c r="H552" s="25" t="n">
        <x:v>-2.0633297132242583</x:v>
      </x:c>
      <x:c r="I552" s="25" t="n">
        <x:v>-3685.4171529919995</x:v>
      </x:c>
      <x:c r="J552" s="25" t="n">
        <x:v>12725.207847007996</x:v>
      </x:c>
      <x:c r="K552" s="25" t="n">
        <x:v>6.238459998457328</x:v>
      </x:c>
      <x:c r="L552" s="25" t="n">
        <x:v>74.75</x:v>
      </x:c>
      <x:c r="M552" s="34" t="b">
        <x:v>0</x:v>
      </x:c>
      <x:c r="N552" s="25" t="n">
        <x:v>-40.29213263337676</x:v>
      </x:c>
    </x:row>
    <x:row r="553">
      <x:c r="A553" s="25" t="n">
        <x:v>6</x:v>
      </x:c>
      <x:c r="B553" s="25" t="n">
        <x:v>3</x:v>
      </x:c>
      <x:c r="C553" s="25" t="n">
        <x:v>1.5</x:v>
      </x:c>
      <x:c r="D553" s="25" t="n">
        <x:v>35</x:v>
      </x:c>
      <x:c r="E553" s="25" t="str">
        <x:v>Équilibré</x:v>
      </x:c>
      <x:c r="F553" s="25" t="n">
        <x:v>0.8</x:v>
      </x:c>
      <x:c r="G553" s="25" t="n">
        <x:v>-0.08763935118131747</x:v>
      </x:c>
      <x:c r="H553" s="25" t="n">
        <x:v>-2.0592000269111037</x:v>
      </x:c>
      <x:c r="I553" s="25" t="n">
        <x:v>-4569.15294368</x:v>
      </x:c>
      <x:c r="J553" s="25" t="n">
        <x:v>11841.472056319999</x:v>
      </x:c>
      <x:c r="K553" s="25" t="n">
        <x:v>4.158973332304886</x:v>
      </x:c>
      <x:c r="L553" s="25" t="n">
        <x:v>79.75</x:v>
      </x:c>
      <x:c r="M553" s="34" t="b">
        <x:v>0</x:v>
      </x:c>
      <x:c r="N553" s="25" t="n">
        <x:v>-40.35016498775005</x:v>
      </x:c>
    </x:row>
    <x:row r="554">
      <x:c r="A554" s="25" t="n">
        <x:v>6</x:v>
      </x:c>
      <x:c r="B554" s="25" t="n">
        <x:v>4</x:v>
      </x:c>
      <x:c r="C554" s="25" t="n">
        <x:v>3</x:v>
      </x:c>
      <x:c r="D554" s="25" t="n">
        <x:v>40</x:v>
      </x:c>
      <x:c r="E554" s="25" t="str">
        <x:v>Agressif</x:v>
      </x:c>
      <x:c r="F554" s="25" t="n">
        <x:v>1.2</x:v>
      </x:c>
      <x:c r="G554" s="25" t="n">
        <x:v>0.02706676210372381</x:v>
      </x:c>
      <x:c r="H554" s="25" t="n">
        <x:v>-2.318641928946526</x:v>
      </x:c>
      <x:c r="I554" s="25" t="n">
        <x:v>1403.200477010942</x:v>
      </x:c>
      <x:c r="J554" s="25" t="n">
        <x:v>17813.825477010938</x:v>
      </x:c>
      <x:c r="K554" s="25" t="n">
        <x:v>6.238459998457328</x:v>
      </x:c>
      <x:c r="L554" s="25" t="n">
        <x:v>80.25</x:v>
      </x:c>
      <x:c r="M554" s="34" t="b">
        <x:v>0</x:v>
      </x:c>
      <x:c r="N554" s="25" t="n">
        <x:v>-40.42737630795834</x:v>
      </x:c>
    </x:row>
    <x:row r="555">
      <x:c r="A555" s="25" t="n">
        <x:v>6</x:v>
      </x:c>
      <x:c r="B555" s="25" t="n">
        <x:v>3</x:v>
      </x:c>
      <x:c r="C555" s="25" t="n">
        <x:v>2</x:v>
      </x:c>
      <x:c r="D555" s="25" t="n">
        <x:v>30</x:v>
      </x:c>
      <x:c r="E555" s="25" t="str">
        <x:v>Agressif</x:v>
      </x:c>
      <x:c r="F555" s="25" t="n">
        <x:v>1</x:v>
      </x:c>
      <x:c r="G555" s="25" t="n">
        <x:v>-0.05148756560701228</x:v>
      </x:c>
      <x:c r="H555" s="25" t="n">
        <x:v>-2.1542554409515375</x:v>
      </x:c>
      <x:c r="I555" s="25" t="n">
        <x:v>-2822.947334019814</x:v>
      </x:c>
      <x:c r="J555" s="25" t="n">
        <x:v>13587.67766598018</x:v>
      </x:c>
      <x:c r="K555" s="25" t="n">
        <x:v>5.1987166653811085</x:v>
      </x:c>
      <x:c r="L555" s="25" t="n">
        <x:v>81.25</x:v>
      </x:c>
      <x:c r="M555" s="34" t="b">
        <x:v>0</x:v>
      </x:c>
      <x:c r="N555" s="25" t="n">
        <x:v>-40.43820213217411</x:v>
      </x:c>
    </x:row>
    <x:row r="556">
      <x:c r="A556" s="25" t="n">
        <x:v>6</x:v>
      </x:c>
      <x:c r="B556" s="25" t="n">
        <x:v>3</x:v>
      </x:c>
      <x:c r="C556" s="25" t="n">
        <x:v>2</x:v>
      </x:c>
      <x:c r="D556" s="25" t="n">
        <x:v>30</x:v>
      </x:c>
      <x:c r="E556" s="25" t="str">
        <x:v>Agressif</x:v>
      </x:c>
      <x:c r="F556" s="25" t="n">
        <x:v>1.2</x:v>
      </x:c>
      <x:c r="G556" s="25" t="n">
        <x:v>-0.05148756560701228</x:v>
      </x:c>
      <x:c r="H556" s="25" t="n">
        <x:v>-2.1884492462457636</x:v>
      </x:c>
      <x:c r="I556" s="25" t="n">
        <x:v>-2822.947334019814</x:v>
      </x:c>
      <x:c r="J556" s="25" t="n">
        <x:v>13587.67766598018</x:v>
      </x:c>
      <x:c r="K556" s="25" t="n">
        <x:v>6.238459998457328</x:v>
      </x:c>
      <x:c r="L556" s="25" t="n">
        <x:v>84.25</x:v>
      </x:c>
      <x:c r="M556" s="34" t="b">
        <x:v>0</x:v>
      </x:c>
      <x:c r="N556" s="25" t="n">
        <x:v>-40.69304726452977</x:v>
      </x:c>
    </x:row>
    <x:row r="557">
      <x:c r="A557" s="25" t="n">
        <x:v>6</x:v>
      </x:c>
      <x:c r="B557" s="25" t="n">
        <x:v>4</x:v>
      </x:c>
      <x:c r="C557" s="25" t="n">
        <x:v>2</x:v>
      </x:c>
      <x:c r="D557" s="25" t="n">
        <x:v>40</x:v>
      </x:c>
      <x:c r="E557" s="25" t="str">
        <x:v>Équilibré</x:v>
      </x:c>
      <x:c r="F557" s="25" t="n">
        <x:v>1</x:v>
      </x:c>
      <x:c r="G557" s="25" t="n">
        <x:v>-0.05305860119792259</x:v>
      </x:c>
      <x:c r="H557" s="25" t="n">
        <x:v>-2.1372013356173816</x:v>
      </x:c>
      <x:c r="I557" s="25" t="n">
        <x:v>-2636.412280640001</x:v>
      </x:c>
      <x:c r="J557" s="25" t="n">
        <x:v>13774.212719359994</x:v>
      </x:c>
      <x:c r="K557" s="25" t="n">
        <x:v>5.1987166653811085</x:v>
      </x:c>
      <x:c r="L557" s="25" t="n">
        <x:v>78.25</x:v>
      </x:c>
      <x:c r="M557" s="34" t="b">
        <x:v>0</x:v>
      </x:c>
      <x:c r="N557" s="25" t="n">
        <x:v>-40.69825645632028</x:v>
      </x:c>
    </x:row>
    <x:row r="558">
      <x:c r="A558" s="25" t="n">
        <x:v>10</x:v>
      </x:c>
      <x:c r="B558" s="25" t="n">
        <x:v>3</x:v>
      </x:c>
      <x:c r="C558" s="25" t="n">
        <x:v>2</x:v>
      </x:c>
      <x:c r="D558" s="25" t="n">
        <x:v>35</x:v>
      </x:c>
      <x:c r="E558" s="25" t="str">
        <x:v>Agressif</x:v>
      </x:c>
      <x:c r="F558" s="25" t="n">
        <x:v>0.8</x:v>
      </x:c>
      <x:c r="G558" s="25" t="n">
        <x:v>-0.04316197861122258</x:v>
      </x:c>
      <x:c r="H558" s="25" t="n">
        <x:v>-2.067819681571729</x:v>
      </x:c>
      <x:c r="I558" s="25" t="n">
        <x:v>-2366.4741382718753</x:v>
      </x:c>
      <x:c r="J558" s="25" t="n">
        <x:v>14044.150861728122</x:v>
      </x:c>
      <x:c r="K558" s="25" t="n">
        <x:v>4.158973332304886</x:v>
      </x:c>
      <x:c r="L558" s="25" t="n">
        <x:v>65.75</x:v>
      </x:c>
      <x:c r="M558" s="34" t="b">
        <x:v>0</x:v>
      </x:c>
      <x:c r="N558" s="25" t="n">
        <x:v>-40.919400862910464</x:v>
      </x:c>
    </x:row>
    <x:row r="559">
      <x:c r="A559" s="25" t="n">
        <x:v>6</x:v>
      </x:c>
      <x:c r="B559" s="25" t="n">
        <x:v>4</x:v>
      </x:c>
      <x:c r="C559" s="25" t="n">
        <x:v>2</x:v>
      </x:c>
      <x:c r="D559" s="25" t="n">
        <x:v>40</x:v>
      </x:c>
      <x:c r="E559" s="25" t="str">
        <x:v>Équilibré</x:v>
      </x:c>
      <x:c r="F559" s="25" t="n">
        <x:v>1.2</x:v>
      </x:c>
      <x:c r="G559" s="25" t="n">
        <x:v>-0.05305860119792259</x:v>
      </x:c>
      <x:c r="H559" s="25" t="n">
        <x:v>-2.1703498368715692</x:v>
      </x:c>
      <x:c r="I559" s="25" t="n">
        <x:v>-2636.412280640001</x:v>
      </x:c>
      <x:c r="J559" s="25" t="n">
        <x:v>13774.212719359994</x:v>
      </x:c>
      <x:c r="K559" s="25" t="n">
        <x:v>6.238459998457328</x:v>
      </x:c>
      <x:c r="L559" s="25" t="n">
        <x:v>81.25</x:v>
      </x:c>
      <x:c r="M559" s="34" t="b">
        <x:v>0</x:v>
      </x:c>
      <x:c r="N559" s="25" t="n">
        <x:v>-40.92696898767497</x:v>
      </x:c>
    </x:row>
    <x:row r="560">
      <x:c r="A560" s="25" t="n">
        <x:v>6</x:v>
      </x:c>
      <x:c r="B560" s="25" t="n">
        <x:v>3</x:v>
      </x:c>
      <x:c r="C560" s="25" t="n">
        <x:v>2</x:v>
      </x:c>
      <x:c r="D560" s="25" t="n">
        <x:v>40</x:v>
      </x:c>
      <x:c r="E560" s="25" t="str">
        <x:v>Équilibré</x:v>
      </x:c>
      <x:c r="F560" s="25" t="n">
        <x:v>0.8</x:v>
      </x:c>
      <x:c r="G560" s="25" t="n">
        <x:v>-0.06459565817462296</x:v>
      </x:c>
      <x:c r="H560" s="25" t="n">
        <x:v>-2.1380474480152016</x:v>
      </x:c>
      <x:c r="I560" s="25" t="n">
        <x:v>-3367.7501911999966</x:v>
      </x:c>
      <x:c r="J560" s="25" t="n">
        <x:v>13042.874808799997</x:v>
      </x:c>
      <x:c r="K560" s="25" t="n">
        <x:v>4.158973332304886</x:v>
      </x:c>
      <x:c r="L560" s="25" t="n">
        <x:v>80.25</x:v>
      </x:c>
      <x:c r="M560" s="34" t="b">
        <x:v>0</x:v>
      </x:c>
      <x:c r="N560" s="25" t="n">
        <x:v>-40.9539473999843</x:v>
      </x:c>
    </x:row>
    <x:row r="561">
      <x:c r="A561" s="25" t="n">
        <x:v>10</x:v>
      </x:c>
      <x:c r="B561" s="25" t="n">
        <x:v>2</x:v>
      </x:c>
      <x:c r="C561" s="25" t="n">
        <x:v>2</x:v>
      </x:c>
      <x:c r="D561" s="25" t="n">
        <x:v>40</x:v>
      </x:c>
      <x:c r="E561" s="25" t="str">
        <x:v>Équilibré</x:v>
      </x:c>
      <x:c r="F561" s="25" t="n">
        <x:v>1</x:v>
      </x:c>
      <x:c r="G561" s="25" t="n">
        <x:v>-0.0454276198779626</x:v>
      </x:c>
      <x:c r="H561" s="25" t="n">
        <x:v>-2.1208919677848868</x:v>
      </x:c>
      <x:c r="I561" s="25" t="n">
        <x:v>-2516.6336292799992</x:v>
      </x:c>
      <x:c r="J561" s="25" t="n">
        <x:v>13893.991370719998</x:v>
      </x:c>
      <x:c r="K561" s="25" t="n">
        <x:v>5.1987166653811085</x:v>
      </x:c>
      <x:c r="L561" s="25" t="n">
        <x:v>72.25</x:v>
      </x:c>
      <x:c r="M561" s="34" t="b">
        <x:v>0</x:v>
      </x:c>
      <x:c r="N561" s="25" t="n">
        <x:v>-41.070818287910114</x:v>
      </x:c>
    </x:row>
    <x:row r="562">
      <x:c r="A562" s="25" t="n">
        <x:v>10</x:v>
      </x:c>
      <x:c r="B562" s="25" t="n">
        <x:v>2</x:v>
      </x:c>
      <x:c r="C562" s="25" t="n">
        <x:v>1.5</x:v>
      </x:c>
      <x:c r="D562" s="25" t="n">
        <x:v>30</x:v>
      </x:c>
      <x:c r="E562" s="25" t="str">
        <x:v>Agressif</x:v>
      </x:c>
      <x:c r="F562" s="25" t="n">
        <x:v>0.8</x:v>
      </x:c>
      <x:c r="G562" s="25" t="n">
        <x:v>-0.08055731843006429</x:v>
      </x:c>
      <x:c r="H562" s="25" t="n">
        <x:v>-2.0328689468868726</x:v>
      </x:c>
      <x:c r="I562" s="25" t="n">
        <x:v>-4737.453636641045</x:v>
      </x:c>
      <x:c r="J562" s="25" t="n">
        <x:v>11673.171363358955</x:v>
      </x:c>
      <x:c r="K562" s="25" t="n">
        <x:v>4.158973332304886</x:v>
      </x:c>
      <x:c r="L562" s="25" t="n">
        <x:v>70.25</x:v>
      </x:c>
      <x:c r="M562" s="34" t="b">
        <x:v>0</x:v>
      </x:c>
      <x:c r="N562" s="25" t="n">
        <x:v>-41.202376185825344</x:v>
      </x:c>
    </x:row>
    <x:row r="563">
      <x:c r="A563" s="25" t="n">
        <x:v>10</x:v>
      </x:c>
      <x:c r="B563" s="25" t="n">
        <x:v>3</x:v>
      </x:c>
      <x:c r="C563" s="25" t="n">
        <x:v>1.5</x:v>
      </x:c>
      <x:c r="D563" s="25" t="n">
        <x:v>40</x:v>
      </x:c>
      <x:c r="E563" s="25" t="str">
        <x:v>Équilibré</x:v>
      </x:c>
      <x:c r="F563" s="25" t="n">
        <x:v>0.8</x:v>
      </x:c>
      <x:c r="G563" s="25" t="n">
        <x:v>-0.07569966067884941</x:v>
      </x:c>
      <x:c r="H563" s="25" t="n">
        <x:v>-2.0197958300310055</x:v>
      </x:c>
      <x:c r="I563" s="25" t="n">
        <x:v>-3946.666911199996</x:v>
      </x:c>
      <x:c r="J563" s="25" t="n">
        <x:v>12463.958088799998</x:v>
      </x:c>
      <x:c r="K563" s="25" t="n">
        <x:v>4.158973332304886</x:v>
      </x:c>
      <x:c r="L563" s="25" t="n">
        <x:v>67.25</x:v>
      </x:c>
      <x:c r="M563" s="34" t="b">
        <x:v>0</x:v>
      </x:c>
      <x:c r="N563" s="25" t="n">
        <x:v>-41.20837708811185</x:v>
      </x:c>
    </x:row>
    <x:row r="564">
      <x:c r="A564" s="25" t="n">
        <x:v>10</x:v>
      </x:c>
      <x:c r="B564" s="25" t="n">
        <x:v>2</x:v>
      </x:c>
      <x:c r="C564" s="25" t="n">
        <x:v>2</x:v>
      </x:c>
      <x:c r="D564" s="25" t="n">
        <x:v>40</x:v>
      </x:c>
      <x:c r="E564" s="25" t="str">
        <x:v>Équilibré</x:v>
      </x:c>
      <x:c r="F564" s="25" t="n">
        <x:v>1.2</x:v>
      </x:c>
      <x:c r="G564" s="25" t="n">
        <x:v>-0.0454276198779626</x:v>
      </x:c>
      <x:c r="H564" s="25" t="n">
        <x:v>-2.1548110484675917</x:v>
      </x:c>
      <x:c r="I564" s="25" t="n">
        <x:v>-2516.6336292799992</x:v>
      </x:c>
      <x:c r="J564" s="25" t="n">
        <x:v>13893.991370719998</x:v>
      </x:c>
      <x:c r="K564" s="25" t="n">
        <x:v>6.238459998457328</x:v>
      </x:c>
      <x:c r="L564" s="25" t="n">
        <x:v>75.25</x:v>
      </x:c>
      <x:c r="M564" s="34" t="b">
        <x:v>0</x:v>
      </x:c>
      <x:c r="N564" s="25" t="n">
        <x:v>-41.31879530497774</x:v>
      </x:c>
    </x:row>
    <x:row r="565">
      <x:c r="A565" s="25" t="n">
        <x:v>8</x:v>
      </x:c>
      <x:c r="B565" s="25" t="n">
        <x:v>2</x:v>
      </x:c>
      <x:c r="C565" s="25" t="n">
        <x:v>3</x:v>
      </x:c>
      <x:c r="D565" s="25" t="n">
        <x:v>40</x:v>
      </x:c>
      <x:c r="E565" s="25" t="str">
        <x:v>Agressif</x:v>
      </x:c>
      <x:c r="F565" s="25" t="n">
        <x:v>1</x:v>
      </x:c>
      <x:c r="G565" s="25" t="n">
        <x:v>0.02359122206179809</x:v>
      </x:c>
      <x:c r="H565" s="25" t="n">
        <x:v>-2.3439095337993985</x:v>
      </x:c>
      <x:c r="I565" s="25" t="n">
        <x:v>1387.3639655284464</x:v>
      </x:c>
      <x:c r="J565" s="25" t="n">
        <x:v>17797.988965528442</x:v>
      </x:c>
      <x:c r="K565" s="25" t="n">
        <x:v>5.1987166653811085</x:v>
      </x:c>
      <x:c r="L565" s="25" t="n">
        <x:v>79.25</x:v>
      </x:c>
      <x:c r="M565" s="34" t="b">
        <x:v>0</x:v>
      </x:c>
      <x:c r="N565" s="25" t="n">
        <x:v>-41.45022113158606</x:v>
      </x:c>
    </x:row>
    <x:row r="566">
      <x:c r="A566" s="25" t="n">
        <x:v>6</x:v>
      </x:c>
      <x:c r="B566" s="25" t="n">
        <x:v>2</x:v>
      </x:c>
      <x:c r="C566" s="25" t="n">
        <x:v>3</x:v>
      </x:c>
      <x:c r="D566" s="25" t="n">
        <x:v>40</x:v>
      </x:c>
      <x:c r="E566" s="25" t="str">
        <x:v>Agressif</x:v>
      </x:c>
      <x:c r="F566" s="25" t="n">
        <x:v>0.8</x:v>
      </x:c>
      <x:c r="G566" s="25" t="n">
        <x:v>0.007592723981559931</x:v>
      </x:c>
      <x:c r="H566" s="25" t="n">
        <x:v>-2.353463759065172</x:v>
      </x:c>
      <x:c r="I566" s="25" t="n">
        <x:v>446.5165740302071</x:v>
      </x:c>
      <x:c r="J566" s="25" t="n">
        <x:v>16857.1415740302</x:v>
      </x:c>
      <x:c r="K566" s="25" t="n">
        <x:v>4.158973332304886</x:v>
      </x:c>
      <x:c r="L566" s="25" t="n">
        <x:v>84.25</x:v>
      </x:c>
      <x:c r="M566" s="34" t="b">
        <x:v>0</x:v>
      </x:c>
      <x:c r="N566" s="25" t="n">
        <x:v>-41.5689941576435</x:v>
      </x:c>
    </x:row>
    <x:row r="567">
      <x:c r="A567" s="25" t="n">
        <x:v>8</x:v>
      </x:c>
      <x:c r="B567" s="25" t="n">
        <x:v>2</x:v>
      </x:c>
      <x:c r="C567" s="25" t="n">
        <x:v>3</x:v>
      </x:c>
      <x:c r="D567" s="25" t="n">
        <x:v>40</x:v>
      </x:c>
      <x:c r="E567" s="25" t="str">
        <x:v>Agressif</x:v>
      </x:c>
      <x:c r="F567" s="25" t="n">
        <x:v>1.2</x:v>
      </x:c>
      <x:c r="G567" s="25" t="n">
        <x:v>0.02359122206179809</x:v>
      </x:c>
      <x:c r="H567" s="25" t="n">
        <x:v>-2.3873954934855166</x:v>
      </x:c>
      <x:c r="I567" s="25" t="n">
        <x:v>1387.3639655284464</x:v>
      </x:c>
      <x:c r="J567" s="25" t="n">
        <x:v>17797.988965528442</x:v>
      </x:c>
      <x:c r="K567" s="25" t="n">
        <x:v>6.238459998457328</x:v>
      </x:c>
      <x:c r="L567" s="25" t="n">
        <x:v>82.25</x:v>
      </x:c>
      <x:c r="M567" s="34" t="b">
        <x:v>0</x:v>
      </x:c>
      <x:c r="N567" s="25" t="n">
        <x:v>-41.937370123739015</x:v>
      </x:c>
    </x:row>
    <x:row r="568">
      <x:c r="A568" s="25" t="n">
        <x:v>6</x:v>
      </x:c>
      <x:c r="B568" s="25" t="n">
        <x:v>2</x:v>
      </x:c>
      <x:c r="C568" s="25" t="n">
        <x:v>1.5</x:v>
      </x:c>
      <x:c r="D568" s="25" t="n">
        <x:v>40</x:v>
      </x:c>
      <x:c r="E568" s="25" t="str">
        <x:v>Conservateur</x:v>
      </x:c>
      <x:c r="F568" s="25" t="n">
        <x:v>1</x:v>
      </x:c>
      <x:c r="G568" s="25" t="n">
        <x:v>-0.09907875780684924</x:v>
      </x:c>
      <x:c r="H568" s="25" t="n">
        <x:v>-2.154175457541873</x:v>
      </x:c>
      <x:c r="I568" s="25" t="n">
        <x:v>-5304.56822948096</x:v>
      </x:c>
      <x:c r="J568" s="25" t="n">
        <x:v>11106.056770519035</x:v>
      </x:c>
      <x:c r="K568" s="25" t="n">
        <x:v>5.1987166653811085</x:v>
      </x:c>
      <x:c r="L568" s="25" t="n">
        <x:v>86.25</x:v>
      </x:c>
      <x:c r="M568" s="34" t="b">
        <x:v>0</x:v>
      </x:c>
      <x:c r="N568" s="25" t="n">
        <x:v>-42.05371811792352</x:v>
      </x:c>
    </x:row>
    <x:row r="569">
      <x:c r="A569" s="25" t="n">
        <x:v>6</x:v>
      </x:c>
      <x:c r="B569" s="25" t="n">
        <x:v>2</x:v>
      </x:c>
      <x:c r="C569" s="25" t="n">
        <x:v>1.5</x:v>
      </x:c>
      <x:c r="D569" s="25" t="n">
        <x:v>40</x:v>
      </x:c>
      <x:c r="E569" s="25" t="str">
        <x:v>Conservateur</x:v>
      </x:c>
      <x:c r="F569" s="25" t="n">
        <x:v>1.2</x:v>
      </x:c>
      <x:c r="G569" s="25" t="n">
        <x:v>-0.09907875780684924</x:v>
      </x:c>
      <x:c r="H569" s="25" t="n">
        <x:v>-2.185941969310741</x:v>
      </x:c>
      <x:c r="I569" s="25" t="n">
        <x:v>-5304.56822948096</x:v>
      </x:c>
      <x:c r="J569" s="25" t="n">
        <x:v>11106.056770519035</x:v>
      </x:c>
      <x:c r="K569" s="25" t="n">
        <x:v>6.238459998457328</x:v>
      </x:c>
      <x:c r="L569" s="25" t="n">
        <x:v>89.25</x:v>
      </x:c>
      <x:c r="M569" s="34" t="b">
        <x:v>0</x:v>
      </x:c>
      <x:c r="N569" s="25" t="n">
        <x:v>-42.24788091214524</x:v>
      </x:c>
    </x:row>
    <x:row r="570">
      <x:c r="A570" s="25" t="n">
        <x:v>6</x:v>
      </x:c>
      <x:c r="B570" s="25" t="n">
        <x:v>4</x:v>
      </x:c>
      <x:c r="C570" s="25" t="n">
        <x:v>1.5</x:v>
      </x:c>
      <x:c r="D570" s="25" t="n">
        <x:v>30</x:v>
      </x:c>
      <x:c r="E570" s="25" t="str">
        <x:v>Agressif</x:v>
      </x:c>
      <x:c r="F570" s="25" t="n">
        <x:v>0.8</x:v>
      </x:c>
      <x:c r="G570" s="25" t="n">
        <x:v>-0.0965113482720714</x:v>
      </x:c>
      <x:c r="H570" s="25" t="n">
        <x:v>-2.090323723214002</x:v>
      </x:c>
      <x:c r="I570" s="25" t="n">
        <x:v>-5003.360557623115</x:v>
      </x:c>
      <x:c r="J570" s="25" t="n">
        <x:v>11407.264442376883</x:v>
      </x:c>
      <x:c r="K570" s="25" t="n">
        <x:v>4.158973332304886</x:v>
      </x:c>
      <x:c r="L570" s="25" t="n">
        <x:v>76.25</x:v>
      </x:c>
      <x:c r="M570" s="34" t="b">
        <x:v>0</x:v>
      </x:c>
      <x:c r="N570" s="25" t="n">
        <x:v>-42.31621723531398</x:v>
      </x:c>
    </x:row>
    <x:row r="571">
      <x:c r="A571" s="25" t="n">
        <x:v>8</x:v>
      </x:c>
      <x:c r="B571" s="25" t="n">
        <x:v>2</x:v>
      </x:c>
      <x:c r="C571" s="25" t="n">
        <x:v>1.5</x:v>
      </x:c>
      <x:c r="D571" s="25" t="n">
        <x:v>35</x:v>
      </x:c>
      <x:c r="E571" s="25" t="str">
        <x:v>Équilibré</x:v>
      </x:c>
      <x:c r="F571" s="25" t="n">
        <x:v>1</x:v>
      </x:c>
      <x:c r="G571" s="25" t="n">
        <x:v>-0.09315439091866973</x:v>
      </x:c>
      <x:c r="H571" s="25" t="n">
        <x:v>-2.1373615700069513</x:v>
      </x:c>
      <x:c r="I571" s="25" t="n">
        <x:v>-5160.637372831999</x:v>
      </x:c>
      <x:c r="J571" s="25" t="n">
        <x:v>11249.987627167999</x:v>
      </x:c>
      <x:c r="K571" s="25" t="n">
        <x:v>5.1987166653811085</x:v>
      </x:c>
      <x:c r="L571" s="25" t="n">
        <x:v>79.75</x:v>
      </x:c>
      <x:c r="M571" s="34" t="b">
        <x:v>0</x:v>
      </x:c>
      <x:c r="N571" s="25" t="n">
        <x:v>-42.60753075070061</x:v>
      </x:c>
    </x:row>
    <x:row r="572">
      <x:c r="A572" s="25" t="n">
        <x:v>8</x:v>
      </x:c>
      <x:c r="B572" s="25" t="n">
        <x:v>4</x:v>
      </x:c>
      <x:c r="C572" s="25" t="n">
        <x:v>1.5</x:v>
      </x:c>
      <x:c r="D572" s="25" t="n">
        <x:v>40</x:v>
      </x:c>
      <x:c r="E572" s="25" t="str">
        <x:v>Équilibré</x:v>
      </x:c>
      <x:c r="F572" s="25" t="n">
        <x:v>1</x:v>
      </x:c>
      <x:c r="G572" s="25" t="n">
        <x:v>-0.08533744499432148</x:v>
      </x:c>
      <x:c r="H572" s="25" t="n">
        <x:v>-2.105225984664962</x:v>
      </x:c>
      <x:c r="I572" s="25" t="n">
        <x:v>-4240.3056790400005</x:v>
      </x:c>
      <x:c r="J572" s="25" t="n">
        <x:v>12170.319320959994</x:v>
      </x:c>
      <x:c r="K572" s="25" t="n">
        <x:v>5.1987166653811085</x:v>
      </x:c>
      <x:c r="L572" s="25" t="n">
        <x:v>73.25</x:v>
      </x:c>
      <x:c r="M572" s="34" t="b">
        <x:v>0</x:v>
      </x:c>
      <x:c r="N572" s="25" t="n">
        <x:v>-42.67420909131173</x:v>
      </x:c>
    </x:row>
    <x:row r="573">
      <x:c r="A573" s="25" t="n">
        <x:v>8</x:v>
      </x:c>
      <x:c r="B573" s="25" t="n">
        <x:v>2</x:v>
      </x:c>
      <x:c r="C573" s="25" t="n">
        <x:v>1.5</x:v>
      </x:c>
      <x:c r="D573" s="25" t="n">
        <x:v>35</x:v>
      </x:c>
      <x:c r="E573" s="25" t="str">
        <x:v>Équilibré</x:v>
      </x:c>
      <x:c r="F573" s="25" t="n">
        <x:v>1.2</x:v>
      </x:c>
      <x:c r="G573" s="25" t="n">
        <x:v>-0.09315439091866973</x:v>
      </x:c>
      <x:c r="H573" s="25" t="n">
        <x:v>-2.1692125888998586</x:v>
      </x:c>
      <x:c r="I573" s="25" t="n">
        <x:v>-5160.637372831999</x:v>
      </x:c>
      <x:c r="J573" s="25" t="n">
        <x:v>11249.987627167999</x:v>
      </x:c>
      <x:c r="K573" s="25" t="n">
        <x:v>6.238459998457328</x:v>
      </x:c>
      <x:c r="L573" s="25" t="n">
        <x:v>82.75</x:v>
      </x:c>
      <x:c r="M573" s="34" t="b">
        <x:v>0</x:v>
      </x:c>
      <x:c r="N573" s="25" t="n">
        <x:v>-42.8038062230233</x:v>
      </x:c>
    </x:row>
    <x:row r="574">
      <x:c r="A574" s="25" t="n">
        <x:v>8</x:v>
      </x:c>
      <x:c r="B574" s="25" t="n">
        <x:v>4</x:v>
      </x:c>
      <x:c r="C574" s="25" t="n">
        <x:v>1.5</x:v>
      </x:c>
      <x:c r="D574" s="25" t="n">
        <x:v>40</x:v>
      </x:c>
      <x:c r="E574" s="25" t="str">
        <x:v>Équilibré</x:v>
      </x:c>
      <x:c r="F574" s="25" t="n">
        <x:v>1.2</x:v>
      </x:c>
      <x:c r="G574" s="25" t="n">
        <x:v>-0.08533744499432148</x:v>
      </x:c>
      <x:c r="H574" s="25" t="n">
        <x:v>-2.1358347565703064</x:v>
      </x:c>
      <x:c r="I574" s="25" t="n">
        <x:v>-4240.3056790400005</x:v>
      </x:c>
      <x:c r="J574" s="25" t="n">
        <x:v>12170.319320959994</x:v>
      </x:c>
      <x:c r="K574" s="25" t="n">
        <x:v>6.238459998457328</x:v>
      </x:c>
      <x:c r="L574" s="25" t="n">
        <x:v>76.25</x:v>
      </x:c>
      <x:c r="M574" s="34" t="b">
        <x:v>0</x:v>
      </x:c>
      <x:c r="N574" s="25" t="n">
        <x:v>-42.83942838894534</x:v>
      </x:c>
    </x:row>
    <x:row r="575">
      <x:c r="A575" s="25" t="n">
        <x:v>6</x:v>
      </x:c>
      <x:c r="B575" s="25" t="n">
        <x:v>3</x:v>
      </x:c>
      <x:c r="C575" s="25" t="n">
        <x:v>3</x:v>
      </x:c>
      <x:c r="D575" s="25" t="n">
        <x:v>40</x:v>
      </x:c>
      <x:c r="E575" s="25" t="str">
        <x:v>Agressif</x:v>
      </x:c>
      <x:c r="F575" s="25" t="n">
        <x:v>1</x:v>
      </x:c>
      <x:c r="G575" s="25" t="n">
        <x:v>0.009062649829125566</x:v>
      </x:c>
      <x:c r="H575" s="25" t="n">
        <x:v>-2.402939704117822</x:v>
      </x:c>
      <x:c r="I575" s="25" t="n">
        <x:v>496.8846919187192</x:v>
      </x:c>
      <x:c r="J575" s="25" t="n">
        <x:v>16907.509691918716</x:v>
      </x:c>
      <x:c r="K575" s="25" t="n">
        <x:v>5.1987166653811085</x:v>
      </x:c>
      <x:c r="L575" s="25" t="n">
        <x:v>82.25</x:v>
      </x:c>
      <x:c r="M575" s="34" t="b">
        <x:v>0</x:v>
      </x:c>
      <x:c r="N575" s="25" t="n">
        <x:v>-43.12504686234365</x:v>
      </x:c>
    </x:row>
    <x:row r="576">
      <x:c r="A576" s="25" t="n">
        <x:v>8</x:v>
      </x:c>
      <x:c r="B576" s="25" t="n">
        <x:v>3</x:v>
      </x:c>
      <x:c r="C576" s="25" t="n">
        <x:v>1.5</x:v>
      </x:c>
      <x:c r="D576" s="25" t="n">
        <x:v>30</x:v>
      </x:c>
      <x:c r="E576" s="25" t="str">
        <x:v>Agressif</x:v>
      </x:c>
      <x:c r="F576" s="25" t="n">
        <x:v>1</x:v>
      </x:c>
      <x:c r="G576" s="25" t="n">
        <x:v>-0.08891274606165732</x:v>
      </x:c>
      <x:c r="H576" s="25" t="n">
        <x:v>-2.139449111482814</x:v>
      </x:c>
      <x:c r="I576" s="25" t="n">
        <x:v>-4874.885741751834</x:v>
      </x:c>
      <x:c r="J576" s="25" t="n">
        <x:v>11535.73925824816</x:v>
      </x:c>
      <x:c r="K576" s="25" t="n">
        <x:v>5.1987166653811085</x:v>
      </x:c>
      <x:c r="L576" s="25" t="n">
        <x:v>76.25</x:v>
      </x:c>
      <x:c r="M576" s="34" t="b">
        <x:v>0</x:v>
      </x:c>
      <x:c r="N576" s="25" t="n">
        <x:v>-43.1264288204615</x:v>
      </x:c>
    </x:row>
    <x:row r="577">
      <x:c r="A577" s="25" t="n">
        <x:v>8</x:v>
      </x:c>
      <x:c r="B577" s="25" t="n">
        <x:v>3</x:v>
      </x:c>
      <x:c r="C577" s="25" t="n">
        <x:v>1.5</x:v>
      </x:c>
      <x:c r="D577" s="25" t="n">
        <x:v>30</x:v>
      </x:c>
      <x:c r="E577" s="25" t="str">
        <x:v>Agressif</x:v>
      </x:c>
      <x:c r="F577" s="25" t="n">
        <x:v>1.2</x:v>
      </x:c>
      <x:c r="G577" s="25" t="n">
        <x:v>-0.08891274606165732</x:v>
      </x:c>
      <x:c r="H577" s="25" t="n">
        <x:v>-2.1712897166902323</x:v>
      </x:c>
      <x:c r="I577" s="25" t="n">
        <x:v>-4874.885741751834</x:v>
      </x:c>
      <x:c r="J577" s="25" t="n">
        <x:v>11535.73925824816</x:v>
      </x:c>
      <x:c r="K577" s="25" t="n">
        <x:v>6.238459998457328</x:v>
      </x:c>
      <x:c r="L577" s="25" t="n">
        <x:v>79.25</x:v>
      </x:c>
      <x:c r="M577" s="34" t="b">
        <x:v>0</x:v>
      </x:c>
      <x:c r="N577" s="25" t="n">
        <x:v>-43.32244395064696</x:v>
      </x:c>
    </x:row>
    <x:row r="578">
      <x:c r="A578" s="25" t="n">
        <x:v>6</x:v>
      </x:c>
      <x:c r="B578" s="25" t="n">
        <x:v>3</x:v>
      </x:c>
      <x:c r="C578" s="25" t="n">
        <x:v>1.5</x:v>
      </x:c>
      <x:c r="D578" s="25" t="n">
        <x:v>35</x:v>
      </x:c>
      <x:c r="E578" s="25" t="str">
        <x:v>Équilibré</x:v>
      </x:c>
      <x:c r="F578" s="25" t="n">
        <x:v>1</x:v>
      </x:c>
      <x:c r="G578" s="25" t="n">
        <x:v>-0.10060102164767207</x:v>
      </x:c>
      <x:c r="H578" s="25" t="n">
        <x:v>-2.1753922976481586</x:v>
      </x:c>
      <x:c r="I578" s="25" t="n">
        <x:v>-5244.920780479998</x:v>
      </x:c>
      <x:c r="J578" s="25" t="n">
        <x:v>11165.70421952</x:v>
      </x:c>
      <x:c r="K578" s="25" t="n">
        <x:v>5.1987166653811085</x:v>
      </x:c>
      <x:c r="L578" s="25" t="n">
        <x:v>82.75</x:v>
      </x:c>
      <x:c r="M578" s="34" t="b">
        <x:v>0</x:v>
      </x:c>
      <x:c r="N578" s="25" t="n">
        <x:v>-43.36786363182593</x:v>
      </x:c>
    </x:row>
    <x:row r="579">
      <x:c r="A579" s="25" t="n">
        <x:v>6</x:v>
      </x:c>
      <x:c r="B579" s="25" t="n">
        <x:v>2</x:v>
      </x:c>
      <x:c r="C579" s="25" t="n">
        <x:v>2</x:v>
      </x:c>
      <x:c r="D579" s="25" t="n">
        <x:v>30</x:v>
      </x:c>
      <x:c r="E579" s="25" t="str">
        <x:v>Agressif</x:v>
      </x:c>
      <x:c r="F579" s="25" t="n">
        <x:v>1</x:v>
      </x:c>
      <x:c r="G579" s="25" t="n">
        <x:v>-0.07665710986207885</x:v>
      </x:c>
      <x:c r="H579" s="25" t="n">
        <x:v>-2.2570908546296504</x:v>
      </x:c>
      <x:c r="I579" s="25" t="n">
        <x:v>-4508.0882900263605</x:v>
      </x:c>
      <x:c r="J579" s="25" t="n">
        <x:v>11902.536709973634</x:v>
      </x:c>
      <x:c r="K579" s="25" t="n">
        <x:v>5.1987166653811085</x:v>
      </x:c>
      <x:c r="L579" s="25" t="n">
        <x:v>86.25</x:v>
      </x:c>
      <x:c r="M579" s="34" t="b">
        <x:v>0</x:v>
      </x:c>
      <x:c r="N579" s="25" t="n">
        <x:v>-43.3934124081556</x:v>
      </x:c>
    </x:row>
    <x:row r="580">
      <x:c r="A580" s="25" t="n">
        <x:v>8</x:v>
      </x:c>
      <x:c r="B580" s="25" t="n">
        <x:v>4</x:v>
      </x:c>
      <x:c r="C580" s="25" t="n">
        <x:v>2</x:v>
      </x:c>
      <x:c r="D580" s="25" t="n">
        <x:v>35</x:v>
      </x:c>
      <x:c r="E580" s="25" t="str">
        <x:v>Agressif</x:v>
      </x:c>
      <x:c r="F580" s="25" t="n">
        <x:v>1</x:v>
      </x:c>
      <x:c r="G580" s="25" t="n">
        <x:v>-0.05922977474275639</x:v>
      </x:c>
      <x:c r="H580" s="25" t="n">
        <x:v>-2.1815955331666497</x:v>
      </x:c>
      <x:c r="I580" s="25" t="n">
        <x:v>-3070.6017902618682</x:v>
      </x:c>
      <x:c r="J580" s="25" t="n">
        <x:v>13340.023209738127</x:v>
      </x:c>
      <x:c r="K580" s="25" t="n">
        <x:v>5.1987166653811085</x:v>
      </x:c>
      <x:c r="L580" s="25" t="n">
        <x:v>71.75</x:v>
      </x:c>
      <x:c r="M580" s="34" t="b">
        <x:v>0</x:v>
      </x:c>
      <x:c r="N580" s="25" t="n">
        <x:v>-43.44752594001784</x:v>
      </x:c>
    </x:row>
    <x:row r="581">
      <x:c r="A581" s="25" t="n">
        <x:v>6</x:v>
      </x:c>
      <x:c r="B581" s="25" t="n">
        <x:v>3</x:v>
      </x:c>
      <x:c r="C581" s="25" t="n">
        <x:v>1.5</x:v>
      </x:c>
      <x:c r="D581" s="25" t="n">
        <x:v>35</x:v>
      </x:c>
      <x:c r="E581" s="25" t="str">
        <x:v>Équilibré</x:v>
      </x:c>
      <x:c r="F581" s="25" t="n">
        <x:v>1.2</x:v>
      </x:c>
      <x:c r="G581" s="25" t="n">
        <x:v>-0.10060102164767207</x:v>
      </x:c>
      <x:c r="H581" s="25" t="n">
        <x:v>-2.207262871433121</x:v>
      </x:c>
      <x:c r="I581" s="25" t="n">
        <x:v>-5244.920780479998</x:v>
      </x:c>
      <x:c r="J581" s="25" t="n">
        <x:v>11165.70421952</x:v>
      </x:c>
      <x:c r="K581" s="25" t="n">
        <x:v>6.238459998457328</x:v>
      </x:c>
      <x:c r="L581" s="25" t="n">
        <x:v>85.75</x:v>
      </x:c>
      <x:c r="M581" s="34" t="b">
        <x:v>0</x:v>
      </x:c>
      <x:c r="N581" s="25" t="n">
        <x:v>-43.564627976449984</x:v>
      </x:c>
    </x:row>
    <x:row r="582">
      <x:c r="A582" s="25" t="n">
        <x:v>8</x:v>
      </x:c>
      <x:c r="B582" s="25" t="n">
        <x:v>2</x:v>
      </x:c>
      <x:c r="C582" s="25" t="n">
        <x:v>2</x:v>
      </x:c>
      <x:c r="D582" s="25" t="n">
        <x:v>40</x:v>
      </x:c>
      <x:c r="E582" s="25" t="str">
        <x:v>Équilibré</x:v>
      </x:c>
      <x:c r="F582" s="25" t="n">
        <x:v>1</x:v>
      </x:c>
      <x:c r="G582" s="25" t="n">
        <x:v>-0.0712637557218794</x:v>
      </x:c>
      <x:c r="H582" s="25" t="n">
        <x:v>-2.229570249391664</x:v>
      </x:c>
      <x:c r="I582" s="25" t="n">
        <x:v>-3947.92341488</x:v>
      </x:c>
      <x:c r="J582" s="25" t="n">
        <x:v>12462.701585119996</x:v>
      </x:c>
      <x:c r="K582" s="25" t="n">
        <x:v>5.1987166653811085</x:v>
      </x:c>
      <x:c r="L582" s="25" t="n">
        <x:v>80.25</x:v>
      </x:c>
      <x:c r="M582" s="34" t="b">
        <x:v>0</x:v>
      </x:c>
      <x:c r="N582" s="25" t="n">
        <x:v>-43.60876279949497</x:v>
      </x:c>
    </x:row>
    <x:row r="583">
      <x:c r="A583" s="25" t="n">
        <x:v>6</x:v>
      </x:c>
      <x:c r="B583" s="25" t="n">
        <x:v>3</x:v>
      </x:c>
      <x:c r="C583" s="25" t="n">
        <x:v>3</x:v>
      </x:c>
      <x:c r="D583" s="25" t="n">
        <x:v>40</x:v>
      </x:c>
      <x:c r="E583" s="25" t="str">
        <x:v>Agressif</x:v>
      </x:c>
      <x:c r="F583" s="25" t="n">
        <x:v>1.2</x:v>
      </x:c>
      <x:c r="G583" s="25" t="n">
        <x:v>0.009062649829125566</x:v>
      </x:c>
      <x:c r="H583" s="25" t="n">
        <x:v>-2.446777916033496</x:v>
      </x:c>
      <x:c r="I583" s="25" t="n">
        <x:v>496.8846919187192</x:v>
      </x:c>
      <x:c r="J583" s="25" t="n">
        <x:v>16907.509691918716</x:v>
      </x:c>
      <x:c r="K583" s="25" t="n">
        <x:v>6.238459998457328</x:v>
      </x:c>
      <x:c r="L583" s="25" t="n">
        <x:v>85.25</x:v>
      </x:c>
      <x:c r="M583" s="34" t="b">
        <x:v>0</x:v>
      </x:c>
      <x:c r="N583" s="25" t="n">
        <x:v>-43.62100216023549</x:v>
      </x:c>
    </x:row>
    <x:row r="584">
      <x:c r="A584" s="25" t="n">
        <x:v>6</x:v>
      </x:c>
      <x:c r="B584" s="25" t="n">
        <x:v>2</x:v>
      </x:c>
      <x:c r="C584" s="25" t="n">
        <x:v>2</x:v>
      </x:c>
      <x:c r="D584" s="25" t="n">
        <x:v>30</x:v>
      </x:c>
      <x:c r="E584" s="25" t="str">
        <x:v>Agressif</x:v>
      </x:c>
      <x:c r="F584" s="25" t="n">
        <x:v>1.2</x:v>
      </x:c>
      <x:c r="G584" s="25" t="n">
        <x:v>-0.07665710986207885</x:v>
      </x:c>
      <x:c r="H584" s="25" t="n">
        <x:v>-2.2931800925885932</x:v>
      </x:c>
      <x:c r="I584" s="25" t="n">
        <x:v>-4508.0882900263605</x:v>
      </x:c>
      <x:c r="J584" s="25" t="n">
        <x:v>11902.536709973634</x:v>
      </x:c>
      <x:c r="K584" s="25" t="n">
        <x:v>6.238459998457328</x:v>
      </x:c>
      <x:c r="L584" s="25" t="n">
        <x:v>89.25</x:v>
      </x:c>
      <x:c r="M584" s="34" t="b">
        <x:v>0</x:v>
      </x:c>
      <x:c r="N584" s="25" t="n">
        <x:v>-43.695643357129164</x:v>
      </x:c>
    </x:row>
    <x:row r="585">
      <x:c r="A585" s="25" t="n">
        <x:v>8</x:v>
      </x:c>
      <x:c r="B585" s="25" t="n">
        <x:v>4</x:v>
      </x:c>
      <x:c r="C585" s="25" t="n">
        <x:v>2</x:v>
      </x:c>
      <x:c r="D585" s="25" t="n">
        <x:v>35</x:v>
      </x:c>
      <x:c r="E585" s="25" t="str">
        <x:v>Agressif</x:v>
      </x:c>
      <x:c r="F585" s="25" t="n">
        <x:v>1.2</x:v>
      </x:c>
      <x:c r="G585" s="25" t="n">
        <x:v>-0.05922977474275639</x:v>
      </x:c>
      <x:c r="H585" s="25" t="n">
        <x:v>-2.2158020780271563</x:v>
      </x:c>
      <x:c r="I585" s="25" t="n">
        <x:v>-3070.6017902618682</x:v>
      </x:c>
      <x:c r="J585" s="25" t="n">
        <x:v>13340.023209738127</x:v>
      </x:c>
      <x:c r="K585" s="25" t="n">
        <x:v>6.238459998457328</x:v>
      </x:c>
      <x:c r="L585" s="25" t="n">
        <x:v>74.75</x:v>
      </x:c>
      <x:c r="M585" s="34" t="b">
        <x:v>0</x:v>
      </x:c>
      <x:c r="N585" s="25" t="n">
        <x:v>-43.702689561530505</x:v>
      </x:c>
    </x:row>
    <x:row r="586">
      <x:c r="A586" s="25" t="n">
        <x:v>6</x:v>
      </x:c>
      <x:c r="B586" s="25" t="n">
        <x:v>2</x:v>
      </x:c>
      <x:c r="C586" s="25" t="n">
        <x:v>1.5</x:v>
      </x:c>
      <x:c r="D586" s="25" t="n">
        <x:v>35</x:v>
      </x:c>
      <x:c r="E586" s="25" t="str">
        <x:v>Équilibré</x:v>
      </x:c>
      <x:c r="F586" s="25" t="n">
        <x:v>0.8</x:v>
      </x:c>
      <x:c r="G586" s="25" t="n">
        <x:v>-0.11894400126732087</x:v>
      </x:c>
      <x:c r="H586" s="25" t="n">
        <x:v>-2.17094245582544</x:v>
      </x:c>
      <x:c r="I586" s="25" t="n">
        <x:v>-6589.349703871998</x:v>
      </x:c>
      <x:c r="J586" s="25" t="n">
        <x:v>9821.275296127998</x:v>
      </x:c>
      <x:c r="K586" s="25" t="n">
        <x:v>4.158973332304886</x:v>
      </x:c>
      <x:c r="L586" s="25" t="n">
        <x:v>84.75</x:v>
      </x:c>
      <x:c r="M586" s="34" t="b">
        <x:v>0</x:v>
      </x:c>
      <x:c r="N586" s="25" t="n">
        <x:v>-43.86548146533866</x:v>
      </x:c>
    </x:row>
    <x:row r="587">
      <x:c r="A587" s="25" t="n">
        <x:v>8</x:v>
      </x:c>
      <x:c r="B587" s="25" t="n">
        <x:v>2</x:v>
      </x:c>
      <x:c r="C587" s="25" t="n">
        <x:v>2</x:v>
      </x:c>
      <x:c r="D587" s="25" t="n">
        <x:v>40</x:v>
      </x:c>
      <x:c r="E587" s="25" t="str">
        <x:v>Équilibré</x:v>
      </x:c>
      <x:c r="F587" s="25" t="n">
        <x:v>1.2</x:v>
      </x:c>
      <x:c r="G587" s="25" t="n">
        <x:v>-0.0712637557218794</x:v>
      </x:c>
      <x:c r="H587" s="25" t="n">
        <x:v>-2.264960270383784</x:v>
      </x:c>
      <x:c r="I587" s="25" t="n">
        <x:v>-3947.92341488</x:v>
      </x:c>
      <x:c r="J587" s="25" t="n">
        <x:v>12462.701585119996</x:v>
      </x:c>
      <x:c r="K587" s="25" t="n">
        <x:v>6.238459998457328</x:v>
      </x:c>
      <x:c r="L587" s="25" t="n">
        <x:v>83.25</x:v>
      </x:c>
      <x:c r="M587" s="34" t="b">
        <x:v>0</x:v>
      </x:c>
      <x:c r="N587" s="25" t="n">
        <x:v>-43.89351332429797</x:v>
      </x:c>
    </x:row>
    <x:row r="588">
      <x:c r="A588" s="25" t="n">
        <x:v>8</x:v>
      </x:c>
      <x:c r="B588" s="25" t="n">
        <x:v>2</x:v>
      </x:c>
      <x:c r="C588" s="25" t="n">
        <x:v>1.5</x:v>
      </x:c>
      <x:c r="D588" s="25" t="n">
        <x:v>30</x:v>
      </x:c>
      <x:c r="E588" s="25" t="str">
        <x:v>Agressif</x:v>
      </x:c>
      <x:c r="F588" s="25" t="n">
        <x:v>0.8</x:v>
      </x:c>
      <x:c r="G588" s="25" t="n">
        <x:v>-0.10967881832027922</x:v>
      </x:c>
      <x:c r="H588" s="25" t="n">
        <x:v>-2.142011295289249</x:v>
      </x:c>
      <x:c r="I588" s="25" t="n">
        <x:v>-6450.04484806663</x:v>
      </x:c>
      <x:c r="J588" s="25" t="n">
        <x:v>9960.580151933367</x:v>
      </x:c>
      <x:c r="K588" s="25" t="n">
        <x:v>4.158973332304886</x:v>
      </x:c>
      <x:c r="L588" s="25" t="n">
        <x:v>78.25</x:v>
      </x:c>
      <x:c r="M588" s="34" t="b">
        <x:v>0</x:v>
      </x:c>
      <x:c r="N588" s="25" t="n">
        <x:v>-43.93261738984659</x:v>
      </x:c>
    </x:row>
    <x:row r="589">
      <x:c r="A589" s="25" t="n">
        <x:v>10</x:v>
      </x:c>
      <x:c r="B589" s="25" t="n">
        <x:v>3</x:v>
      </x:c>
      <x:c r="C589" s="25" t="n">
        <x:v>1.5</x:v>
      </x:c>
      <x:c r="D589" s="25" t="n">
        <x:v>40</x:v>
      </x:c>
      <x:c r="E589" s="25" t="str">
        <x:v>Équilibré</x:v>
      </x:c>
      <x:c r="F589" s="25" t="n">
        <x:v>1</x:v>
      </x:c>
      <x:c r="G589" s="25" t="n">
        <x:v>-0.08843627060529927</x:v>
      </x:c>
      <x:c r="H589" s="25" t="n">
        <x:v>-2.134594433725356</x:v>
      </x:c>
      <x:c r="I589" s="25" t="n">
        <x:v>-4610.701023199996</x:v>
      </x:c>
      <x:c r="J589" s="25" t="n">
        <x:v>11799.923976799999</x:v>
      </x:c>
      <x:c r="K589" s="25" t="n">
        <x:v>5.1987166653811085</x:v>
      </x:c>
      <x:c r="L589" s="25" t="n">
        <x:v>70.25</x:v>
      </x:c>
      <x:c r="M589" s="34" t="b">
        <x:v>0</x:v>
      </x:c>
      <x:c r="N589" s="25" t="n">
        <x:v>-44.178855726425354</x:v>
      </x:c>
    </x:row>
    <x:row r="590">
      <x:c r="A590" s="25" t="n">
        <x:v>8</x:v>
      </x:c>
      <x:c r="B590" s="25" t="n">
        <x:v>3</x:v>
      </x:c>
      <x:c r="C590" s="25" t="n">
        <x:v>2</x:v>
      </x:c>
      <x:c r="D590" s="25" t="n">
        <x:v>35</x:v>
      </x:c>
      <x:c r="E590" s="25" t="str">
        <x:v>Agressif</x:v>
      </x:c>
      <x:c r="F590" s="25" t="n">
        <x:v>0.8</x:v>
      </x:c>
      <x:c r="G590" s="25" t="n">
        <x:v>-0.07447312204381305</x:v>
      </x:c>
      <x:c r="H590" s="25" t="n">
        <x:v>-2.194972555426551</x:v>
      </x:c>
      <x:c r="I590" s="25" t="n">
        <x:v>-4083.1936575591726</x:v>
      </x:c>
      <x:c r="J590" s="25" t="n">
        <x:v>12327.431342440823</x:v>
      </x:c>
      <x:c r="K590" s="25" t="n">
        <x:v>4.158973332304886</x:v>
      </x:c>
      <x:c r="L590" s="25" t="n">
        <x:v>73.75</x:v>
      </x:c>
      <x:c r="M590" s="34" t="b">
        <x:v>0</x:v>
      </x:c>
      <x:c r="N590" s="25" t="n">
        <x:v>-44.22033559807349</x:v>
      </x:c>
    </x:row>
    <x:row r="591">
      <x:c r="A591" s="25" t="n">
        <x:v>8</x:v>
      </x:c>
      <x:c r="B591" s="25" t="n">
        <x:v>3</x:v>
      </x:c>
      <x:c r="C591" s="25" t="n">
        <x:v>1.5</x:v>
      </x:c>
      <x:c r="D591" s="25" t="n">
        <x:v>40</x:v>
      </x:c>
      <x:c r="E591" s="25" t="str">
        <x:v>Équilibré</x:v>
      </x:c>
      <x:c r="F591" s="25" t="n">
        <x:v>0.8</x:v>
      </x:c>
      <x:c r="G591" s="25" t="n">
        <x:v>-0.1063167054844784</x:v>
      </x:c>
      <x:c r="H591" s="25" t="n">
        <x:v>-2.138467408474911</x:v>
      </x:c>
      <x:c r="I591" s="25" t="n">
        <x:v>-5542.912872799996</x:v>
      </x:c>
      <x:c r="J591" s="25" t="n">
        <x:v>10867.712127199999</x:v>
      </x:c>
      <x:c r="K591" s="25" t="n">
        <x:v>4.158973332304886</x:v>
      </x:c>
      <x:c r="L591" s="25" t="n">
        <x:v>75.25</x:v>
      </x:c>
      <x:c r="M591" s="34" t="b">
        <x:v>0</x:v>
      </x:c>
      <x:c r="N591" s="25" t="n">
        <x:v>-44.25910401351909</x:v>
      </x:c>
    </x:row>
    <x:row r="592">
      <x:c r="A592" s="25" t="n">
        <x:v>10</x:v>
      </x:c>
      <x:c r="B592" s="25" t="n">
        <x:v>3</x:v>
      </x:c>
      <x:c r="C592" s="25" t="n">
        <x:v>2</x:v>
      </x:c>
      <x:c r="D592" s="25" t="n">
        <x:v>35</x:v>
      </x:c>
      <x:c r="E592" s="25" t="str">
        <x:v>Agressif</x:v>
      </x:c>
      <x:c r="F592" s="25" t="n">
        <x:v>1</x:v>
      </x:c>
      <x:c r="G592" s="25" t="n">
        <x:v>-0.057523892124409795</x:v>
      </x:c>
      <x:c r="H592" s="25" t="n">
        <x:v>-2.1951208287714707</x:v>
      </x:c>
      <x:c r="I592" s="25" t="n">
        <x:v>-3153.9055304049944</x:v>
      </x:c>
      <x:c r="J592" s="25" t="n">
        <x:v>13256.719469595</x:v>
      </x:c>
      <x:c r="K592" s="25" t="n">
        <x:v>5.1987166653811085</x:v>
      </x:c>
      <x:c r="L592" s="25" t="n">
        <x:v>68.75</x:v>
      </x:c>
      <x:c r="M592" s="34" t="b">
        <x:v>0</x:v>
      </x:c>
      <x:c r="N592" s="25" t="n">
        <x:v>-44.29183478612931</x:v>
      </x:c>
    </x:row>
    <x:row r="593">
      <x:c r="A593" s="25" t="n">
        <x:v>10</x:v>
      </x:c>
      <x:c r="B593" s="25" t="n">
        <x:v>2</x:v>
      </x:c>
      <x:c r="C593" s="25" t="n">
        <x:v>1.5</x:v>
      </x:c>
      <x:c r="D593" s="25" t="n">
        <x:v>30</x:v>
      </x:c>
      <x:c r="E593" s="25" t="str">
        <x:v>Agressif</x:v>
      </x:c>
      <x:c r="F593" s="25" t="n">
        <x:v>1</x:v>
      </x:c>
      <x:c r="G593" s="25" t="n">
        <x:v>-0.09434359915486833</x:v>
      </x:c>
      <x:c r="H593" s="25" t="n">
        <x:v>-2.1511091926120107</x:v>
      </x:c>
      <x:c r="I593" s="25" t="n">
        <x:v>-5548.203882904239</x:v>
      </x:c>
      <x:c r="J593" s="25" t="n">
        <x:v>10862.421117095757</x:v>
      </x:c>
      <x:c r="K593" s="25" t="n">
        <x:v>5.1987166653811085</x:v>
      </x:c>
      <x:c r="L593" s="25" t="n">
        <x:v>73.25</x:v>
      </x:c>
      <x:c r="M593" s="34" t="b">
        <x:v>0</x:v>
      </x:c>
      <x:c r="N593" s="25" t="n">
        <x:v>-44.31662776881803</x:v>
      </x:c>
    </x:row>
    <x:row r="594">
      <x:c r="A594" s="25" t="n">
        <x:v>10</x:v>
      </x:c>
      <x:c r="B594" s="25" t="n">
        <x:v>3</x:v>
      </x:c>
      <x:c r="C594" s="25" t="n">
        <x:v>1.5</x:v>
      </x:c>
      <x:c r="D594" s="25" t="n">
        <x:v>40</x:v>
      </x:c>
      <x:c r="E594" s="25" t="str">
        <x:v>Équilibré</x:v>
      </x:c>
      <x:c r="F594" s="25" t="n">
        <x:v>1.2</x:v>
      </x:c>
      <x:c r="G594" s="25" t="n">
        <x:v>-0.08843627060529927</x:v>
      </x:c>
      <x:c r="H594" s="25" t="n">
        <x:v>-2.1660559720905814</x:v>
      </x:c>
      <x:c r="I594" s="25" t="n">
        <x:v>-4610.701023199996</x:v>
      </x:c>
      <x:c r="J594" s="25" t="n">
        <x:v>11799.923976799999</x:v>
      </x:c>
      <x:c r="K594" s="25" t="n">
        <x:v>6.238459998457328</x:v>
      </x:c>
      <x:c r="L594" s="25" t="n">
        <x:v>73.25</x:v>
      </x:c>
      <x:c r="M594" s="34" t="b">
        <x:v>0</x:v>
      </x:c>
      <x:c r="N594" s="25" t="n">
        <x:v>-44.365394185556</x:v>
      </x:c>
    </x:row>
    <x:row r="595">
      <x:c r="A595" s="25" t="n">
        <x:v>6</x:v>
      </x:c>
      <x:c r="B595" s="25" t="n">
        <x:v>3</x:v>
      </x:c>
      <x:c r="C595" s="25" t="n">
        <x:v>2</x:v>
      </x:c>
      <x:c r="D595" s="25" t="n">
        <x:v>40</x:v>
      </x:c>
      <x:c r="E595" s="25" t="str">
        <x:v>Équilibré</x:v>
      </x:c>
      <x:c r="F595" s="25" t="n">
        <x:v>1</x:v>
      </x:c>
      <x:c r="G595" s="25" t="n">
        <x:v>-0.07899751424835032</x:v>
      </x:c>
      <x:c r="H595" s="25" t="n">
        <x:v>-2.2671499710563734</x:v>
      </x:c>
      <x:c r="I595" s="25" t="n">
        <x:v>-4118.603343199996</x:v>
      </x:c>
      <x:c r="J595" s="25" t="n">
        <x:v>12292.021656799998</x:v>
      </x:c>
      <x:c r="K595" s="25" t="n">
        <x:v>5.1987166653811085</x:v>
      </x:c>
      <x:c r="L595" s="25" t="n">
        <x:v>83.25</x:v>
      </x:c>
      <x:c r="M595" s="34" t="b">
        <x:v>0</x:v>
      </x:c>
      <x:c r="N595" s="25" t="n">
        <x:v>-44.373612560068594</x:v>
      </x:c>
    </x:row>
    <x:row r="596">
      <x:c r="A596" s="25" t="n">
        <x:v>10</x:v>
      </x:c>
      <x:c r="B596" s="25" t="n">
        <x:v>4</x:v>
      </x:c>
      <x:c r="C596" s="25" t="n">
        <x:v>1.5</x:v>
      </x:c>
      <x:c r="D596" s="25" t="n">
        <x:v>35</x:v>
      </x:c>
      <x:c r="E596" s="25" t="str">
        <x:v>Agressif</x:v>
      </x:c>
      <x:c r="F596" s="25" t="n">
        <x:v>0.8</x:v>
      </x:c>
      <x:c r="G596" s="25" t="n">
        <x:v>-0.09216798089872856</x:v>
      </x:c>
      <x:c r="H596" s="25" t="n">
        <x:v>-2.082466222957327</x:v>
      </x:c>
      <x:c r="I596" s="25" t="n">
        <x:v>-4778.190840360556</x:v>
      </x:c>
      <x:c r="J596" s="25" t="n">
        <x:v>11632.434159639444</x:v>
      </x:c>
      <x:c r="K596" s="25" t="n">
        <x:v>4.158973332304886</x:v>
      </x:c>
      <x:c r="L596" s="25" t="n">
        <x:v>63.75</x:v>
      </x:c>
      <x:c r="M596" s="34" t="b">
        <x:v>0</x:v>
      </x:c>
      <x:c r="N596" s="25" t="n">
        <x:v>-44.380894523363246</x:v>
      </x:c>
    </x:row>
    <x:row r="597">
      <x:c r="A597" s="25" t="n">
        <x:v>6</x:v>
      </x:c>
      <x:c r="B597" s="25" t="n">
        <x:v>2</x:v>
      </x:c>
      <x:c r="C597" s="25" t="n">
        <x:v>2</x:v>
      </x:c>
      <x:c r="D597" s="25" t="n">
        <x:v>40</x:v>
      </x:c>
      <x:c r="E597" s="25" t="str">
        <x:v>Équilibré</x:v>
      </x:c>
      <x:c r="F597" s="25" t="n">
        <x:v>0.8</x:v>
      </x:c>
      <x:c r="G597" s="25" t="n">
        <x:v>-0.09429121246838108</x:v>
      </x:c>
      <x:c r="H597" s="25" t="n">
        <x:v>-2.2556347181604957</x:v>
      </x:c>
      <x:c r="I597" s="25" t="n">
        <x:v>-5223.61587248</x:v>
      </x:c>
      <x:c r="J597" s="25" t="n">
        <x:v>11187.009127519996</x:v>
      </x:c>
      <x:c r="K597" s="25" t="n">
        <x:v>4.158973332304886</x:v>
      </x:c>
      <x:c r="L597" s="25" t="n">
        <x:v>85.25</x:v>
      </x:c>
      <x:c r="M597" s="34" t="b">
        <x:v>0</x:v>
      </x:c>
      <x:c r="N597" s="25" t="n">
        <x:v>-44.52688463977336</x:v>
      </x:c>
    </x:row>
    <x:row r="598">
      <x:c r="A598" s="25" t="n">
        <x:v>10</x:v>
      </x:c>
      <x:c r="B598" s="25" t="n">
        <x:v>2</x:v>
      </x:c>
      <x:c r="C598" s="25" t="n">
        <x:v>1.5</x:v>
      </x:c>
      <x:c r="D598" s="25" t="n">
        <x:v>30</x:v>
      </x:c>
      <x:c r="E598" s="25" t="str">
        <x:v>Agressif</x:v>
      </x:c>
      <x:c r="F598" s="25" t="n">
        <x:v>1.2</x:v>
      </x:c>
      <x:c r="G598" s="25" t="n">
        <x:v>-0.09434359915486833</x:v>
      </x:c>
      <x:c r="H598" s="25" t="n">
        <x:v>-2.1835814482313363</x:v>
      </x:c>
      <x:c r="I598" s="25" t="n">
        <x:v>-5548.203882904239</x:v>
      </x:c>
      <x:c r="J598" s="25" t="n">
        <x:v>10862.421117095757</x:v>
      </x:c>
      <x:c r="K598" s="25" t="n">
        <x:v>6.238459998457328</x:v>
      </x:c>
      <x:c r="L598" s="25" t="n">
        <x:v>76.25</x:v>
      </x:c>
      <x:c r="M598" s="34" t="b">
        <x:v>0</x:v>
      </x:c>
      <x:c r="N598" s="25" t="n">
        <x:v>-44.52843415930116</x:v>
      </x:c>
    </x:row>
    <x:row r="599">
      <x:c r="A599" s="25" t="n">
        <x:v>10</x:v>
      </x:c>
      <x:c r="B599" s="25" t="n">
        <x:v>3</x:v>
      </x:c>
      <x:c r="C599" s="25" t="n">
        <x:v>2</x:v>
      </x:c>
      <x:c r="D599" s="25" t="n">
        <x:v>35</x:v>
      </x:c>
      <x:c r="E599" s="25" t="str">
        <x:v>Agressif</x:v>
      </x:c>
      <x:c r="F599" s="25" t="n">
        <x:v>1.2</x:v>
      </x:c>
      <x:c r="G599" s="25" t="n">
        <x:v>-0.057523892124409795</x:v>
      </x:c>
      <x:c r="H599" s="25" t="n">
        <x:v>-2.2300498347132565</x:v>
      </x:c>
      <x:c r="I599" s="25" t="n">
        <x:v>-3153.9055304049944</x:v>
      </x:c>
      <x:c r="J599" s="25" t="n">
        <x:v>13256.719469595</x:v>
      </x:c>
      <x:c r="K599" s="25" t="n">
        <x:v>6.238459998457328</x:v>
      </x:c>
      <x:c r="L599" s="25" t="n">
        <x:v>71.75</x:v>
      </x:c>
      <x:c r="M599" s="34" t="b">
        <x:v>0</x:v>
      </x:c>
      <x:c r="N599" s="25" t="n">
        <x:v>-44.565059934673954</x:v>
      </x:c>
    </x:row>
    <x:row r="600">
      <x:c r="A600" s="25" t="n">
        <x:v>6</x:v>
      </x:c>
      <x:c r="B600" s="25" t="n">
        <x:v>3</x:v>
      </x:c>
      <x:c r="C600" s="25" t="n">
        <x:v>2</x:v>
      </x:c>
      <x:c r="D600" s="25" t="n">
        <x:v>40</x:v>
      </x:c>
      <x:c r="E600" s="25" t="str">
        <x:v>Équilibré</x:v>
      </x:c>
      <x:c r="F600" s="25" t="n">
        <x:v>1.2</x:v>
      </x:c>
      <x:c r="G600" s="25" t="n">
        <x:v>-0.07899751424835032</x:v>
      </x:c>
      <x:c r="H600" s="25" t="n">
        <x:v>-2.302561719706332</x:v>
      </x:c>
      <x:c r="I600" s="25" t="n">
        <x:v>-4118.603343199996</x:v>
      </x:c>
      <x:c r="J600" s="25" t="n">
        <x:v>12292.021656799998</x:v>
      </x:c>
      <x:c r="K600" s="25" t="n">
        <x:v>6.238459998457328</x:v>
      </x:c>
      <x:c r="L600" s="25" t="n">
        <x:v>86.25</x:v>
      </x:c>
      <x:c r="M600" s="34" t="b">
        <x:v>0</x:v>
      </x:c>
      <x:c r="N600" s="25" t="n">
        <x:v>-44.658906276317566</x:v>
      </x:c>
    </x:row>
    <x:row r="601">
      <x:c r="A601" s="25" t="n">
        <x:v>10</x:v>
      </x:c>
      <x:c r="B601" s="25" t="n">
        <x:v>4</x:v>
      </x:c>
      <x:c r="C601" s="25" t="n">
        <x:v>2</x:v>
      </x:c>
      <x:c r="D601" s="25" t="n">
        <x:v>40</x:v>
      </x:c>
      <x:c r="E601" s="25" t="str">
        <x:v>Agressif</x:v>
      </x:c>
      <x:c r="F601" s="25" t="n">
        <x:v>0.8</x:v>
      </x:c>
      <x:c r="G601" s="25" t="n">
        <x:v>-0.06856691354103729</x:v>
      </x:c>
      <x:c r="H601" s="25" t="n">
        <x:v>-2.1613678838594836</x:v>
      </x:c>
      <x:c r="I601" s="25" t="n">
        <x:v>-3554.6596012943373</x:v>
      </x:c>
      <x:c r="J601" s="25" t="n">
        <x:v>12855.965398705657</x:v>
      </x:c>
      <x:c r="K601" s="25" t="n">
        <x:v>4.158973332304886</x:v>
      </x:c>
      <x:c r="L601" s="25" t="n">
        <x:v>64.25</x:v>
      </x:c>
      <x:c r="M601" s="34" t="b">
        <x:v>0</x:v>
      </x:c>
      <x:c r="N601" s="25" t="n">
        <x:v>-44.95537734124414</x:v>
      </x:c>
    </x:row>
    <x:row r="602">
      <x:c r="A602" s="25" t="n">
        <x:v>6</x:v>
      </x:c>
      <x:c r="B602" s="25" t="n">
        <x:v>4</x:v>
      </x:c>
      <x:c r="C602" s="25" t="n">
        <x:v>1.5</x:v>
      </x:c>
      <x:c r="D602" s="25" t="n">
        <x:v>30</x:v>
      </x:c>
      <x:c r="E602" s="25" t="str">
        <x:v>Agressif</x:v>
      </x:c>
      <x:c r="F602" s="25" t="n">
        <x:v>1</x:v>
      </x:c>
      <x:c r="G602" s="25" t="n">
        <x:v>-0.10960375767399991</x:v>
      </x:c>
      <x:c r="H602" s="25" t="n">
        <x:v>-2.207663483071518</x:v>
      </x:c>
      <x:c r="I602" s="25" t="n">
        <x:v>-5682.099855940631</x:v>
      </x:c>
      <x:c r="J602" s="25" t="n">
        <x:v>10728.525144059364</x:v>
      </x:c>
      <x:c r="K602" s="25" t="n">
        <x:v>5.1987166653811085</x:v>
      </x:c>
      <x:c r="L602" s="25" t="n">
        <x:v>79.25</x:v>
      </x:c>
      <x:c r="M602" s="34" t="b">
        <x:v>0</x:v>
      </x:c>
      <x:c r="N602" s="25" t="n">
        <x:v>-45.36979374885795</x:v>
      </x:c>
    </x:row>
    <x:row r="603">
      <x:c r="A603" s="25" t="n">
        <x:v>10</x:v>
      </x:c>
      <x:c r="B603" s="25" t="n">
        <x:v>2</x:v>
      </x:c>
      <x:c r="C603" s="25" t="n">
        <x:v>2</x:v>
      </x:c>
      <x:c r="D603" s="25" t="n">
        <x:v>35</x:v>
      </x:c>
      <x:c r="E603" s="25" t="str">
        <x:v>Agressif</x:v>
      </x:c>
      <x:c r="F603" s="25" t="n">
        <x:v>0.8</x:v>
      </x:c>
      <x:c r="G603" s="25" t="n">
        <x:v>-0.07950209701995883</x:v>
      </x:c>
      <x:c r="H603" s="25" t="n">
        <x:v>-2.2085072227358884</x:v>
      </x:c>
      <x:c r="I603" s="25" t="n">
        <x:v>-4675.3976670011725</x:v>
      </x:c>
      <x:c r="J603" s="25" t="n">
        <x:v>11735.227332998827</x:v>
      </x:c>
      <x:c r="K603" s="25" t="n">
        <x:v>4.158973332304886</x:v>
      </x:c>
      <x:c r="L603" s="25" t="n">
        <x:v>70.75</x:v>
      </x:c>
      <x:c r="M603" s="34" t="b">
        <x:v>0</x:v>
      </x:c>
      <x:c r="N603" s="25" t="n">
        <x:v>-45.43529590449495</x:v>
      </x:c>
    </x:row>
    <x:row r="604">
      <x:c r="A604" s="25" t="n">
        <x:v>6</x:v>
      </x:c>
      <x:c r="B604" s="25" t="n">
        <x:v>3</x:v>
      </x:c>
      <x:c r="C604" s="25" t="n">
        <x:v>1.5</x:v>
      </x:c>
      <x:c r="D604" s="25" t="n">
        <x:v>30</x:v>
      </x:c>
      <x:c r="E604" s="25" t="str">
        <x:v>Agressif</x:v>
      </x:c>
      <x:c r="F604" s="25" t="n">
        <x:v>0.8</x:v>
      </x:c>
      <x:c r="G604" s="25" t="n">
        <x:v>-0.12264445835995834</x:v>
      </x:c>
      <x:c r="H604" s="25" t="n">
        <x:v>-2.200960122151626</x:v>
      </x:c>
      <x:c r="I604" s="25" t="n">
        <x:v>-6724.3196037296375</x:v>
      </x:c>
      <x:c r="J604" s="25" t="n">
        <x:v>9686.305396270358</x:v>
      </x:c>
      <x:c r="K604" s="25" t="n">
        <x:v>4.158973332304886</x:v>
      </x:c>
      <x:c r="L604" s="25" t="n">
        <x:v>81.25</x:v>
      </x:c>
      <x:c r="M604" s="34" t="b">
        <x:v>0</x:v>
      </x:c>
      <x:c r="N604" s="25" t="n">
        <x:v>-45.51944826358836</x:v>
      </x:c>
    </x:row>
    <x:row r="605">
      <x:c r="A605" s="25" t="n">
        <x:v>6</x:v>
      </x:c>
      <x:c r="B605" s="25" t="n">
        <x:v>4</x:v>
      </x:c>
      <x:c r="C605" s="25" t="n">
        <x:v>1.5</x:v>
      </x:c>
      <x:c r="D605" s="25" t="n">
        <x:v>30</x:v>
      </x:c>
      <x:c r="E605" s="25" t="str">
        <x:v>Agressif</x:v>
      </x:c>
      <x:c r="F605" s="25" t="n">
        <x:v>1.2</x:v>
      </x:c>
      <x:c r="G605" s="25" t="n">
        <x:v>-0.10960375767399991</x:v>
      </x:c>
      <x:c r="H605" s="25" t="n">
        <x:v>-2.239855623177205</x:v>
      </x:c>
      <x:c r="I605" s="25" t="n">
        <x:v>-5682.099855940631</x:v>
      </x:c>
      <x:c r="J605" s="25" t="n">
        <x:v>10728.525144059364</x:v>
      </x:c>
      <x:c r="K605" s="25" t="n">
        <x:v>6.238459998457328</x:v>
      </x:c>
      <x:c r="L605" s="25" t="n">
        <x:v>82.25</x:v>
      </x:c>
      <x:c r="M605" s="34" t="b">
        <x:v>0</x:v>
      </x:c>
      <x:c r="N605" s="25" t="n">
        <x:v>-45.57459725150011</x:v>
      </x:c>
    </x:row>
    <x:row r="606">
      <x:c r="A606" s="25" t="n">
        <x:v>6</x:v>
      </x:c>
      <x:c r="B606" s="25" t="n">
        <x:v>4</x:v>
      </x:c>
      <x:c r="C606" s="25" t="n">
        <x:v>1.5</x:v>
      </x:c>
      <x:c r="D606" s="25" t="n">
        <x:v>40</x:v>
      </x:c>
      <x:c r="E606" s="25" t="str">
        <x:v>Équilibré</x:v>
      </x:c>
      <x:c r="F606" s="25" t="n">
        <x:v>0.8</x:v>
      </x:c>
      <x:c r="G606" s="25" t="n">
        <x:v>-0.12127920735278827</x:v>
      </x:c>
      <x:c r="H606" s="25" t="n">
        <x:v>-2.1841980453210463</x:v>
      </x:c>
      <x:c r="I606" s="25" t="n">
        <x:v>-6026.20469504</x:v>
      </x:c>
      <x:c r="J606" s="25" t="n">
        <x:v>10384.420304959995</x:v>
      </x:c>
      <x:c r="K606" s="25" t="n">
        <x:v>4.158973332304886</x:v>
      </x:c>
      <x:c r="L606" s="25" t="n">
        <x:v>78.25</x:v>
      </x:c>
      <x:c r="M606" s="34" t="b">
        <x:v>0</x:v>
      </x:c>
      <x:c r="N606" s="25" t="n">
        <x:v>-45.625307537429514</x:v>
      </x:c>
    </x:row>
    <x:row r="607">
      <x:c r="A607" s="25" t="n">
        <x:v>10</x:v>
      </x:c>
      <x:c r="B607" s="25" t="n">
        <x:v>2</x:v>
      </x:c>
      <x:c r="C607" s="25" t="n">
        <x:v>1.5</x:v>
      </x:c>
      <x:c r="D607" s="25" t="n">
        <x:v>40</x:v>
      </x:c>
      <x:c r="E607" s="25" t="str">
        <x:v>Équilibré</x:v>
      </x:c>
      <x:c r="F607" s="25" t="n">
        <x:v>0.8</x:v>
      </x:c>
      <x:c r="G607" s="25" t="n">
        <x:v>-0.11723674333192607</x:v>
      </x:c>
      <x:c r="H607" s="25" t="n">
        <x:v>-2.1679738137393296</x:v>
      </x:c>
      <x:c r="I607" s="25" t="n">
        <x:v>-6494.769738079998</x:v>
      </x:c>
      <x:c r="J607" s="25" t="n">
        <x:v>9915.855261919996</x:v>
      </x:c>
      <x:c r="K607" s="25" t="n">
        <x:v>4.158973332304886</x:v>
      </x:c>
      <x:c r="L607" s="25" t="n">
        <x:v>72.25</x:v>
      </x:c>
      <x:c r="M607" s="34" t="b">
        <x:v>0</x:v>
      </x:c>
      <x:c r="N607" s="25" t="n">
        <x:v>-46.19736622673917</x:v>
      </x:c>
    </x:row>
    <x:row r="608">
      <x:c r="A608" s="25" t="n">
        <x:v>6</x:v>
      </x:c>
      <x:c r="B608" s="25" t="n">
        <x:v>2</x:v>
      </x:c>
      <x:c r="C608" s="25" t="n">
        <x:v>3</x:v>
      </x:c>
      <x:c r="D608" s="25" t="n">
        <x:v>40</x:v>
      </x:c>
      <x:c r="E608" s="25" t="str">
        <x:v>Agressif</x:v>
      </x:c>
      <x:c r="F608" s="25" t="n">
        <x:v>1</x:v>
      </x:c>
      <x:c r="G608" s="25" t="n">
        <x:v>-0.012099213018271151</x:v>
      </x:c>
      <x:c r="H608" s="25" t="n">
        <x:v>-2.5218452066861756</x:v>
      </x:c>
      <x:c r="I608" s="25" t="n">
        <x:v>-711.5363548709126</x:v>
      </x:c>
      <x:c r="J608" s="25" t="n">
        <x:v>15699.088645129084</x:v>
      </x:c>
      <x:c r="K608" s="25" t="n">
        <x:v>5.1987166653811085</x:v>
      </x:c>
      <x:c r="L608" s="25" t="n">
        <x:v>87.25</x:v>
      </x:c>
      <x:c r="M608" s="34" t="b">
        <x:v>0</x:v>
      </x:c>
      <x:c r="N608" s="25" t="n">
        <x:v>-46.261586883159296</x:v>
      </x:c>
    </x:row>
    <x:row r="609">
      <x:c r="A609" s="25" t="n">
        <x:v>6</x:v>
      </x:c>
      <x:c r="B609" s="25" t="n">
        <x:v>4</x:v>
      </x:c>
      <x:c r="C609" s="25" t="n">
        <x:v>2</x:v>
      </x:c>
      <x:c r="D609" s="25" t="n">
        <x:v>35</x:v>
      </x:c>
      <x:c r="E609" s="25" t="str">
        <x:v>Agressif</x:v>
      </x:c>
      <x:c r="F609" s="25" t="n">
        <x:v>0.8</x:v>
      </x:c>
      <x:c r="G609" s="25" t="n">
        <x:v>-0.09503031026388827</x:v>
      </x:c>
      <x:c r="H609" s="25" t="n">
        <x:v>-2.2632368631443684</x:v>
      </x:c>
      <x:c r="I609" s="25" t="n">
        <x:v>-4926.580289943147</x:v>
      </x:c>
      <x:c r="J609" s="25" t="n">
        <x:v>11484.044710056853</x:v>
      </x:c>
      <x:c r="K609" s="25" t="n">
        <x:v>4.158973332304886</x:v>
      </x:c>
      <x:c r="L609" s="25" t="n">
        <x:v>76.75</x:v>
      </x:c>
      <x:c r="M609" s="34" t="b">
        <x:v>0</x:v>
      </x:c>
      <x:c r="N609" s="25" t="n">
        <x:v>-46.45758864312307</x:v>
      </x:c>
    </x:row>
    <x:row r="610">
      <x:c r="A610" s="25" t="n">
        <x:v>6</x:v>
      </x:c>
      <x:c r="B610" s="25" t="n">
        <x:v>2</x:v>
      </x:c>
      <x:c r="C610" s="25" t="n">
        <x:v>3</x:v>
      </x:c>
      <x:c r="D610" s="25" t="n">
        <x:v>40</x:v>
      </x:c>
      <x:c r="E610" s="25" t="str">
        <x:v>Agressif</x:v>
      </x:c>
      <x:c r="F610" s="25" t="n">
        <x:v>1.2</x:v>
      </x:c>
      <x:c r="G610" s="25" t="n">
        <x:v>-0.012099213018271151</x:v>
      </x:c>
      <x:c r="H610" s="25" t="n">
        <x:v>-2.5681134604796916</x:v>
      </x:c>
      <x:c r="I610" s="25" t="n">
        <x:v>-711.5363548709126</x:v>
      </x:c>
      <x:c r="J610" s="25" t="n">
        <x:v>15699.088645129084</x:v>
      </x:c>
      <x:c r="K610" s="25" t="n">
        <x:v>6.238459998457328</x:v>
      </x:c>
      <x:c r="L610" s="25" t="n">
        <x:v>90.25</x:v>
      </x:c>
      <x:c r="M610" s="34" t="b">
        <x:v>0</x:v>
      </x:c>
      <x:c r="N610" s="25" t="n">
        <x:v>-46.8182932279972</x:v>
      </x:c>
    </x:row>
    <x:row r="611">
      <x:c r="A611" s="25" t="n">
        <x:v>6</x:v>
      </x:c>
      <x:c r="B611" s="25" t="n">
        <x:v>2</x:v>
      </x:c>
      <x:c r="C611" s="25" t="n">
        <x:v>1.5</x:v>
      </x:c>
      <x:c r="D611" s="25" t="n">
        <x:v>35</x:v>
      </x:c>
      <x:c r="E611" s="25" t="str">
        <x:v>Équilibré</x:v>
      </x:c>
      <x:c r="F611" s="25" t="n">
        <x:v>1</x:v>
      </x:c>
      <x:c r="G611" s="25" t="n">
        <x:v>-0.133098073584757</x:v>
      </x:c>
      <x:c r="H611" s="25" t="n">
        <x:v>-2.294200114102641</x:v>
      </x:c>
      <x:c r="I611" s="25" t="n">
        <x:v>-7373.467702591997</x:v>
      </x:c>
      <x:c r="J611" s="25" t="n">
        <x:v>9037.157297407999</x:v>
      </x:c>
      <x:c r="K611" s="25" t="n">
        <x:v>5.1987166653811085</x:v>
      </x:c>
      <x:c r="L611" s="25" t="n">
        <x:v>87.75</x:v>
      </x:c>
      <x:c r="M611" s="34" t="b">
        <x:v>0</x:v>
      </x:c>
      <x:c r="N611" s="25" t="n">
        <x:v>-47.125396899727676</x:v>
      </x:c>
    </x:row>
    <x:row r="612">
      <x:c r="A612" s="25" t="n">
        <x:v>8</x:v>
      </x:c>
      <x:c r="B612" s="25" t="n">
        <x:v>2</x:v>
      </x:c>
      <x:c r="C612" s="25" t="n">
        <x:v>1.5</x:v>
      </x:c>
      <x:c r="D612" s="25" t="n">
        <x:v>30</x:v>
      </x:c>
      <x:c r="E612" s="25" t="str">
        <x:v>Agressif</x:v>
      </x:c>
      <x:c r="F612" s="25" t="n">
        <x:v>1</x:v>
      </x:c>
      <x:c r="G612" s="25" t="n">
        <x:v>-0.12409447109910891</x:v>
      </x:c>
      <x:c r="H612" s="25" t="n">
        <x:v>-2.2654904543820855</x:v>
      </x:c>
      <x:c r="I612" s="25" t="n">
        <x:v>-7297.807509641695</x:v>
      </x:c>
      <x:c r="J612" s="25" t="n">
        <x:v>9112.817490358299</x:v>
      </x:c>
      <x:c r="K612" s="25" t="n">
        <x:v>5.1987166653811085</x:v>
      </x:c>
      <x:c r="L612" s="25" t="n">
        <x:v>81.25</x:v>
      </x:c>
      <x:c r="M612" s="34" t="b">
        <x:v>0</x:v>
      </x:c>
      <x:c r="N612" s="25" t="n">
        <x:v>-47.21245727000313</x:v>
      </x:c>
    </x:row>
    <x:row r="613">
      <x:c r="A613" s="25" t="n">
        <x:v>6</x:v>
      </x:c>
      <x:c r="B613" s="25" t="n">
        <x:v>2</x:v>
      </x:c>
      <x:c r="C613" s="25" t="n">
        <x:v>1.5</x:v>
      </x:c>
      <x:c r="D613" s="25" t="n">
        <x:v>35</x:v>
      </x:c>
      <x:c r="E613" s="25" t="str">
        <x:v>Équilibré</x:v>
      </x:c>
      <x:c r="F613" s="25" t="n">
        <x:v>1.2</x:v>
      </x:c>
      <x:c r="G613" s="25" t="n">
        <x:v>-0.133098073584757</x:v>
      </x:c>
      <x:c r="H613" s="25" t="n">
        <x:v>-2.328036902413259</x:v>
      </x:c>
      <x:c r="I613" s="25" t="n">
        <x:v>-7373.467702591997</x:v>
      </x:c>
      <x:c r="J613" s="25" t="n">
        <x:v>9037.157297407999</x:v>
      </x:c>
      <x:c r="K613" s="25" t="n">
        <x:v>6.238459998457328</x:v>
      </x:c>
      <x:c r="L613" s="25" t="n">
        <x:v>90.75</x:v>
      </x:c>
      <x:c r="M613" s="34" t="b">
        <x:v>0</x:v>
      </x:c>
      <x:c r="N613" s="25" t="n">
        <x:v>-47.3713166074931</x:v>
      </x:c>
    </x:row>
    <x:row r="614">
      <x:c r="A614" s="25" t="n">
        <x:v>8</x:v>
      </x:c>
      <x:c r="B614" s="25" t="n">
        <x:v>3</x:v>
      </x:c>
      <x:c r="C614" s="25" t="n">
        <x:v>1.5</x:v>
      </x:c>
      <x:c r="D614" s="25" t="n">
        <x:v>40</x:v>
      </x:c>
      <x:c r="E614" s="25" t="str">
        <x:v>Équilibré</x:v>
      </x:c>
      <x:c r="F614" s="25" t="n">
        <x:v>1</x:v>
      </x:c>
      <x:c r="G614" s="25" t="n">
        <x:v>-0.11971941386983927</x:v>
      </x:c>
      <x:c r="H614" s="25" t="n">
        <x:v>-2.2589875799079895</x:v>
      </x:c>
      <x:c r="I614" s="25" t="n">
        <x:v>-6241.6746007999955</x:v>
      </x:c>
      <x:c r="J614" s="25" t="n">
        <x:v>10168.950399199999</x:v>
      </x:c>
      <x:c r="K614" s="25" t="n">
        <x:v>5.1987166653811085</x:v>
      </x:c>
      <x:c r="L614" s="25" t="n">
        <x:v>78.25</x:v>
      </x:c>
      <x:c r="M614" s="34" t="b">
        <x:v>0</x:v>
      </x:c>
      <x:c r="N614" s="25" t="n">
        <x:v>-47.4092572605409</x:v>
      </x:c>
    </x:row>
    <x:row r="615">
      <x:c r="A615" s="25" t="n">
        <x:v>10</x:v>
      </x:c>
      <x:c r="B615" s="25" t="n">
        <x:v>4</x:v>
      </x:c>
      <x:c r="C615" s="25" t="n">
        <x:v>1.5</x:v>
      </x:c>
      <x:c r="D615" s="25" t="n">
        <x:v>35</x:v>
      </x:c>
      <x:c r="E615" s="25" t="str">
        <x:v>Agressif</x:v>
      </x:c>
      <x:c r="F615" s="25" t="n">
        <x:v>1</x:v>
      </x:c>
      <x:c r="G615" s="25" t="n">
        <x:v>-0.10521515394593131</x:v>
      </x:c>
      <x:c r="H615" s="25" t="n">
        <x:v>-2.2001257645889294</x:v>
      </x:c>
      <x:c r="I615" s="25" t="n">
        <x:v>-5454.584986558059</x:v>
      </x:c>
      <x:c r="J615" s="25" t="n">
        <x:v>10956.040013441938</x:v>
      </x:c>
      <x:c r="K615" s="25" t="n">
        <x:v>5.1987166653811085</x:v>
      </x:c>
      <x:c r="L615" s="25" t="n">
        <x:v>66.75</x:v>
      </x:c>
      <x:c r="M615" s="34" t="b">
        <x:v>0</x:v>
      </x:c>
      <x:c r="N615" s="25" t="n">
        <x:v>-47.43997758174945</x:v>
      </x:c>
    </x:row>
    <x:row r="616">
      <x:c r="A616" s="25" t="n">
        <x:v>8</x:v>
      </x:c>
      <x:c r="B616" s="25" t="n">
        <x:v>2</x:v>
      </x:c>
      <x:c r="C616" s="25" t="n">
        <x:v>1.5</x:v>
      </x:c>
      <x:c r="D616" s="25" t="n">
        <x:v>30</x:v>
      </x:c>
      <x:c r="E616" s="25" t="str">
        <x:v>Agressif</x:v>
      </x:c>
      <x:c r="F616" s="25" t="n">
        <x:v>1.2</x:v>
      </x:c>
      <x:c r="G616" s="25" t="n">
        <x:v>-0.12409447109910891</x:v>
      </x:c>
      <x:c r="H616" s="25" t="n">
        <x:v>-2.2994095029372574</x:v>
      </x:c>
      <x:c r="I616" s="25" t="n">
        <x:v>-7297.807509641695</x:v>
      </x:c>
      <x:c r="J616" s="25" t="n">
        <x:v>9112.817490358299</x:v>
      </x:c>
      <x:c r="K616" s="25" t="n">
        <x:v>6.238459998457328</x:v>
      </x:c>
      <x:c r="L616" s="25" t="n">
        <x:v>84.25</x:v>
      </x:c>
      <x:c r="M616" s="34" t="b">
        <x:v>0</x:v>
      </x:c>
      <x:c r="N616" s="25" t="n">
        <x:v>-47.46043348388242</x:v>
      </x:c>
    </x:row>
    <x:row r="617">
      <x:c r="A617" s="25" t="n">
        <x:v>8</x:v>
      </x:c>
      <x:c r="B617" s="25" t="n">
        <x:v>3</x:v>
      </x:c>
      <x:c r="C617" s="25" t="n">
        <x:v>1.5</x:v>
      </x:c>
      <x:c r="D617" s="25" t="n">
        <x:v>40</x:v>
      </x:c>
      <x:c r="E617" s="25" t="str">
        <x:v>Équilibré</x:v>
      </x:c>
      <x:c r="F617" s="25" t="n">
        <x:v>1.2</x:v>
      </x:c>
      <x:c r="G617" s="25" t="n">
        <x:v>-0.11971941386983927</x:v>
      </x:c>
      <x:c r="H617" s="25" t="n">
        <x:v>-2.2920292023871083</x:v>
      </x:c>
      <x:c r="I617" s="25" t="n">
        <x:v>-6241.6746007999955</x:v>
      </x:c>
      <x:c r="J617" s="25" t="n">
        <x:v>10168.950399199999</x:v>
      </x:c>
      <x:c r="K617" s="25" t="n">
        <x:v>6.238459998457328</x:v>
      </x:c>
      <x:c r="L617" s="25" t="n">
        <x:v>81.25</x:v>
      </x:c>
      <x:c r="M617" s="34" t="b">
        <x:v>0</x:v>
      </x:c>
      <x:c r="N617" s="25" t="n">
        <x:v>-47.635297822518865</x:v>
      </x:c>
    </x:row>
    <x:row r="618">
      <x:c r="A618" s="25" t="n">
        <x:v>10</x:v>
      </x:c>
      <x:c r="B618" s="25" t="n">
        <x:v>4</x:v>
      </x:c>
      <x:c r="C618" s="25" t="n">
        <x:v>1.5</x:v>
      </x:c>
      <x:c r="D618" s="25" t="n">
        <x:v>35</x:v>
      </x:c>
      <x:c r="E618" s="25" t="str">
        <x:v>Agressif</x:v>
      </x:c>
      <x:c r="F618" s="25" t="n">
        <x:v>1.2</x:v>
      </x:c>
      <x:c r="G618" s="25" t="n">
        <x:v>-0.10521515394593131</x:v>
      </x:c>
      <x:c r="H618" s="25" t="n">
        <x:v>-2.2323734879930917</x:v>
      </x:c>
      <x:c r="I618" s="25" t="n">
        <x:v>-5454.584986558059</x:v>
      </x:c>
      <x:c r="J618" s="25" t="n">
        <x:v>10956.040013441938</x:v>
      </x:c>
      <x:c r="K618" s="25" t="n">
        <x:v>6.238459998457328</x:v>
      </x:c>
      <x:c r="L618" s="25" t="n">
        <x:v>69.75</x:v>
      </x:c>
      <x:c r="M618" s="34" t="b">
        <x:v>0</x:v>
      </x:c>
      <x:c r="N618" s="25" t="n">
        <x:v>-47.64617066685351</x:v>
      </x:c>
    </x:row>
    <x:row r="619">
      <x:c r="A619" s="25" t="n">
        <x:v>8</x:v>
      </x:c>
      <x:c r="B619" s="25" t="n">
        <x:v>3</x:v>
      </x:c>
      <x:c r="C619" s="25" t="n">
        <x:v>2</x:v>
      </x:c>
      <x:c r="D619" s="25" t="n">
        <x:v>35</x:v>
      </x:c>
      <x:c r="E619" s="25" t="str">
        <x:v>Agressif</x:v>
      </x:c>
      <x:c r="F619" s="25" t="n">
        <x:v>1</x:v>
      </x:c>
      <x:c r="G619" s="25" t="n">
        <x:v>-0.08961395925303557</x:v>
      </x:c>
      <x:c r="H619" s="25" t="n">
        <x:v>-2.328828365216266</x:v>
      </x:c>
      <x:c r="I619" s="25" t="n">
        <x:v>-4913.331682744452</x:v>
      </x:c>
      <x:c r="J619" s="25" t="n">
        <x:v>11497.293317255546</x:v>
      </x:c>
      <x:c r="K619" s="25" t="n">
        <x:v>5.1987166653811085</x:v>
      </x:c>
      <x:c r="L619" s="25" t="n">
        <x:v>76.75</x:v>
      </x:c>
      <x:c r="M619" s="34" t="b">
        <x:v>0</x:v>
      </x:c>
      <x:c r="N619" s="25" t="n">
        <x:v>-47.7994768893236</x:v>
      </x:c>
    </x:row>
    <x:row r="620">
      <x:c r="A620" s="25" t="n">
        <x:v>8</x:v>
      </x:c>
      <x:c r="B620" s="25" t="n">
        <x:v>3</x:v>
      </x:c>
      <x:c r="C620" s="25" t="n">
        <x:v>2</x:v>
      </x:c>
      <x:c r="D620" s="25" t="n">
        <x:v>35</x:v>
      </x:c>
      <x:c r="E620" s="25" t="str">
        <x:v>Agressif</x:v>
      </x:c>
      <x:c r="F620" s="25" t="n">
        <x:v>1.2</x:v>
      </x:c>
      <x:c r="G620" s="25" t="n">
        <x:v>-0.08961395925303557</x:v>
      </x:c>
      <x:c r="H620" s="25" t="n">
        <x:v>-2.36556752507098</x:v>
      </x:c>
      <x:c r="I620" s="25" t="n">
        <x:v>-4913.331682744452</x:v>
      </x:c>
      <x:c r="J620" s="25" t="n">
        <x:v>11497.293317255546</x:v>
      </x:c>
      <x:c r="K620" s="25" t="n">
        <x:v>6.238459998457328</x:v>
      </x:c>
      <x:c r="L620" s="25" t="n">
        <x:v>79.75</x:v>
      </x:c>
      <x:c r="M620" s="34" t="b">
        <x:v>0</x:v>
      </x:c>
      <x:c r="N620" s="25" t="n">
        <x:v>-48.11795588569146</x:v>
      </x:c>
    </x:row>
    <x:row r="621">
      <x:c r="A621" s="25" t="n">
        <x:v>6</x:v>
      </x:c>
      <x:c r="B621" s="25" t="n">
        <x:v>2</x:v>
      </x:c>
      <x:c r="C621" s="25" t="n">
        <x:v>2</x:v>
      </x:c>
      <x:c r="D621" s="25" t="n">
        <x:v>40</x:v>
      </x:c>
      <x:c r="E621" s="25" t="str">
        <x:v>Équilibré</x:v>
      </x:c>
      <x:c r="F621" s="25" t="n">
        <x:v>1</x:v>
      </x:c>
      <x:c r="G621" s="25" t="n">
        <x:v>-0.11001795948775459</x:v>
      </x:c>
      <x:c r="H621" s="25" t="n">
        <x:v>-2.39258767180183</x:v>
      </x:c>
      <x:c r="I621" s="25" t="n">
        <x:v>-6094.85809328</x:v>
      </x:c>
      <x:c r="J621" s="25" t="n">
        <x:v>10315.766906719999</x:v>
      </x:c>
      <x:c r="K621" s="25" t="n">
        <x:v>5.1987166653811085</x:v>
      </x:c>
      <x:c r="L621" s="25" t="n">
        <x:v>88.25</x:v>
      </x:c>
      <x:c r="M621" s="34" t="b">
        <x:v>0</x:v>
      </x:c>
      <x:c r="N621" s="25" t="n">
        <x:v>-48.21567956687224</x:v>
      </x:c>
    </x:row>
    <x:row r="622">
      <x:c r="A622" s="25" t="n">
        <x:v>8</x:v>
      </x:c>
      <x:c r="B622" s="25" t="n">
        <x:v>2</x:v>
      </x:c>
      <x:c r="C622" s="25" t="n">
        <x:v>2</x:v>
      </x:c>
      <x:c r="D622" s="25" t="n">
        <x:v>35</x:v>
      </x:c>
      <x:c r="E622" s="25" t="str">
        <x:v>Agressif</x:v>
      </x:c>
      <x:c r="F622" s="25" t="n">
        <x:v>0.8</x:v>
      </x:c>
      <x:c r="G622" s="25" t="n">
        <x:v>-0.10869379610081512</x:v>
      </x:c>
      <x:c r="H622" s="25" t="n">
        <x:v>-2.325771292648904</x:v>
      </x:c>
      <x:c r="I622" s="25" t="n">
        <x:v>-6392.1171862884685</x:v>
      </x:c>
      <x:c r="J622" s="25" t="n">
        <x:v>10018.507813711529</x:v>
      </x:c>
      <x:c r="K622" s="25" t="n">
        <x:v>4.158973332304886</x:v>
      </x:c>
      <x:c r="L622" s="25" t="n">
        <x:v>78.75</x:v>
      </x:c>
      <x:c r="M622" s="34" t="b">
        <x:v>0</x:v>
      </x:c>
      <x:c r="N622" s="25" t="n">
        <x:v>-48.37244110176742</x:v>
      </x:c>
    </x:row>
    <x:row r="623">
      <x:c r="A623" s="25" t="n">
        <x:v>10</x:v>
      </x:c>
      <x:c r="B623" s="25" t="n">
        <x:v>4</x:v>
      </x:c>
      <x:c r="C623" s="25" t="n">
        <x:v>2</x:v>
      </x:c>
      <x:c r="D623" s="25" t="n">
        <x:v>40</x:v>
      </x:c>
      <x:c r="E623" s="25" t="str">
        <x:v>Agressif</x:v>
      </x:c>
      <x:c r="F623" s="25" t="n">
        <x:v>1</x:v>
      </x:c>
      <x:c r="G623" s="25" t="n">
        <x:v>-0.0830637724823737</x:v>
      </x:c>
      <x:c r="H623" s="25" t="n">
        <x:v>-2.292100707894597</x:v>
      </x:c>
      <x:c r="I623" s="25" t="n">
        <x:v>-4306.208652624898</x:v>
      </x:c>
      <x:c r="J623" s="25" t="n">
        <x:v>12104.4163473751</x:v>
      </x:c>
      <x:c r="K623" s="25" t="n">
        <x:v>5.1987166653811085</x:v>
      </x:c>
      <x:c r="L623" s="25" t="n">
        <x:v>67.25</x:v>
      </x:c>
      <x:c r="M623" s="34" t="b">
        <x:v>0</x:v>
      </x:c>
      <x:c r="N623" s="25" t="n">
        <x:v>-48.42102518389548</x:v>
      </x:c>
    </x:row>
    <x:row r="624">
      <x:c r="A624" s="25" t="n">
        <x:v>8</x:v>
      </x:c>
      <x:c r="B624" s="25" t="n">
        <x:v>4</x:v>
      </x:c>
      <x:c r="C624" s="25" t="n">
        <x:v>1.5</x:v>
      </x:c>
      <x:c r="D624" s="25" t="n">
        <x:v>35</x:v>
      </x:c>
      <x:c r="E624" s="25" t="str">
        <x:v>Agressif</x:v>
      </x:c>
      <x:c r="F624" s="25" t="n">
        <x:v>0.8</x:v>
      </x:c>
      <x:c r="G624" s="25" t="n">
        <x:v>-0.13001904978781703</x:v>
      </x:c>
      <x:c r="H624" s="25" t="n">
        <x:v>-2.22954695410642</x:v>
      </x:c>
      <x:c r="I624" s="25" t="n">
        <x:v>-6740.473499697773</x:v>
      </x:c>
      <x:c r="J624" s="25" t="n">
        <x:v>9670.151500302223</x:v>
      </x:c>
      <x:c r="K624" s="25" t="n">
        <x:v>4.158973332304886</x:v>
      </x:c>
      <x:c r="L624" s="25" t="n">
        <x:v>71.75</x:v>
      </x:c>
      <x:c r="M624" s="34" t="b">
        <x:v>0</x:v>
      </x:c>
      <x:c r="N624" s="25" t="n">
        <x:v>-48.53972159099044</x:v>
      </x:c>
    </x:row>
    <x:row r="625">
      <x:c r="A625" s="25" t="n">
        <x:v>6</x:v>
      </x:c>
      <x:c r="B625" s="25" t="n">
        <x:v>2</x:v>
      </x:c>
      <x:c r="C625" s="25" t="n">
        <x:v>2</x:v>
      </x:c>
      <x:c r="D625" s="25" t="n">
        <x:v>40</x:v>
      </x:c>
      <x:c r="E625" s="25" t="str">
        <x:v>Équilibré</x:v>
      </x:c>
      <x:c r="F625" s="25" t="n">
        <x:v>1.2</x:v>
      </x:c>
      <x:c r="G625" s="25" t="n">
        <x:v>-0.11001795948775459</x:v>
      </x:c>
      <x:c r="H625" s="25" t="n">
        <x:v>-2.4301841032580724</x:v>
      </x:c>
      <x:c r="I625" s="25" t="n">
        <x:v>-6094.85809328</x:v>
      </x:c>
      <x:c r="J625" s="25" t="n">
        <x:v>10315.766906719999</x:v>
      </x:c>
      <x:c r="K625" s="25" t="n">
        <x:v>6.238459998457328</x:v>
      </x:c>
      <x:c r="L625" s="25" t="n">
        <x:v>91.25</x:v>
      </x:c>
      <x:c r="M625" s="34" t="b">
        <x:v>0</x:v>
      </x:c>
      <x:c r="N625" s="25" t="n">
        <x:v>-48.55559035327832</x:v>
      </x:c>
    </x:row>
    <x:row r="626">
      <x:c r="A626" s="25" t="n">
        <x:v>10</x:v>
      </x:c>
      <x:c r="B626" s="25" t="n">
        <x:v>4</x:v>
      </x:c>
      <x:c r="C626" s="25" t="n">
        <x:v>2</x:v>
      </x:c>
      <x:c r="D626" s="25" t="n">
        <x:v>40</x:v>
      </x:c>
      <x:c r="E626" s="25" t="str">
        <x:v>Agressif</x:v>
      </x:c>
      <x:c r="F626" s="25" t="n">
        <x:v>1.2</x:v>
      </x:c>
      <x:c r="G626" s="25" t="n">
        <x:v>-0.0830637724823737</x:v>
      </x:c>
      <x:c r="H626" s="25" t="n">
        <x:v>-2.327931511676999</x:v>
      </x:c>
      <x:c r="I626" s="25" t="n">
        <x:v>-4306.208652624898</x:v>
      </x:c>
      <x:c r="J626" s="25" t="n">
        <x:v>12104.4163473751</x:v>
      </x:c>
      <x:c r="K626" s="25" t="n">
        <x:v>6.238459998457328</x:v>
      </x:c>
      <x:c r="L626" s="25" t="n">
        <x:v>70.25</x:v>
      </x:c>
      <x:c r="M626" s="34" t="b">
        <x:v>0</x:v>
      </x:c>
      <x:c r="N626" s="25" t="n">
        <x:v>-48.716795278455535</x:v>
      </x:c>
    </x:row>
    <x:row r="627">
      <x:c r="A627" s="25" t="n">
        <x:v>6</x:v>
      </x:c>
      <x:c r="B627" s="25" t="n">
        <x:v>4</x:v>
      </x:c>
      <x:c r="C627" s="25" t="n">
        <x:v>1.5</x:v>
      </x:c>
      <x:c r="D627" s="25" t="n">
        <x:v>40</x:v>
      </x:c>
      <x:c r="E627" s="25" t="str">
        <x:v>Équilibré</x:v>
      </x:c>
      <x:c r="F627" s="25" t="n">
        <x:v>1</x:v>
      </x:c>
      <x:c r="G627" s="25" t="n">
        <x:v>-0.13457320598684355</x:v>
      </x:c>
      <x:c r="H627" s="25" t="n">
        <x:v>-2.305167824075317</x:v>
      </x:c>
      <x:c r="I627" s="25" t="n">
        <x:v>-6686.766045439999</x:v>
      </x:c>
      <x:c r="J627" s="25" t="n">
        <x:v>9723.858954559997</x:v>
      </x:c>
      <x:c r="K627" s="25" t="n">
        <x:v>5.1987166653811085</x:v>
      </x:c>
      <x:c r="L627" s="25" t="n">
        <x:v>81.25</x:v>
      </x:c>
      <x:c r="M627" s="34" t="b">
        <x:v>0</x:v>
      </x:c>
      <x:c r="N627" s="25" t="n">
        <x:v>-48.78072193115932</x:v>
      </x:c>
    </x:row>
    <x:row r="628">
      <x:c r="A628" s="25" t="n">
        <x:v>6</x:v>
      </x:c>
      <x:c r="B628" s="25" t="n">
        <x:v>3</x:v>
      </x:c>
      <x:c r="C628" s="25" t="n">
        <x:v>1.5</x:v>
      </x:c>
      <x:c r="D628" s="25" t="n">
        <x:v>30</x:v>
      </x:c>
      <x:c r="E628" s="25" t="str">
        <x:v>Agressif</x:v>
      </x:c>
      <x:c r="F628" s="25" t="n">
        <x:v>1</x:v>
      </x:c>
      <x:c r="G628" s="25" t="n">
        <x:v>-0.13677911807946375</x:v>
      </x:c>
      <x:c r="H628" s="25" t="n">
        <x:v>-2.32548955200301</x:v>
      </x:c>
      <x:c r="I628" s="25" t="n">
        <x:v>-7499.291181858022</x:v>
      </x:c>
      <x:c r="J628" s="25" t="n">
        <x:v>8911.333818141971</x:v>
      </x:c>
      <x:c r="K628" s="25" t="n">
        <x:v>5.1987166653811085</x:v>
      </x:c>
      <x:c r="L628" s="25" t="n">
        <x:v>84.25</x:v>
      </x:c>
      <x:c r="M628" s="34" t="b">
        <x:v>0</x:v>
      </x:c>
      <x:c r="N628" s="25" t="n">
        <x:v>-48.81009029444575</x:v>
      </x:c>
    </x:row>
    <x:row r="629">
      <x:c r="A629" s="25" t="n">
        <x:v>6</x:v>
      </x:c>
      <x:c r="B629" s="25" t="n">
        <x:v>2</x:v>
      </x:c>
      <x:c r="C629" s="25" t="n">
        <x:v>1.5</x:v>
      </x:c>
      <x:c r="D629" s="25" t="n">
        <x:v>30</x:v>
      </x:c>
      <x:c r="E629" s="25" t="str">
        <x:v>Agressif</x:v>
      </x:c>
      <x:c r="F629" s="25" t="n">
        <x:v>0.8</x:v>
      </x:c>
      <x:c r="G629" s="25" t="n">
        <x:v>-0.1533610681556016</x:v>
      </x:c>
      <x:c r="H629" s="25" t="n">
        <x:v>-2.3057248178928136</x:v>
      </x:c>
      <x:c r="I629" s="25" t="n">
        <x:v>-9018.93166520501</x:v>
      </x:c>
      <x:c r="J629" s="25" t="n">
        <x:v>7391.693334794985</x:v>
      </x:c>
      <x:c r="K629" s="25" t="n">
        <x:v>4.158973332304886</x:v>
      </x:c>
      <x:c r="L629" s="25" t="n">
        <x:v>86.25</x:v>
      </x:c>
      <x:c r="M629" s="34" t="b">
        <x:v>0</x:v>
      </x:c>
      <x:c r="N629" s="25" t="n">
        <x:v>-48.82797919587843</x:v>
      </x:c>
    </x:row>
    <x:row r="630">
      <x:c r="A630" s="25" t="n">
        <x:v>8</x:v>
      </x:c>
      <x:c r="B630" s="25" t="n">
        <x:v>2</x:v>
      </x:c>
      <x:c r="C630" s="25" t="n">
        <x:v>1.5</x:v>
      </x:c>
      <x:c r="D630" s="25" t="n">
        <x:v>40</x:v>
      </x:c>
      <x:c r="E630" s="25" t="str">
        <x:v>Équilibré</x:v>
      </x:c>
      <x:c r="F630" s="25" t="n">
        <x:v>0.8</x:v>
      </x:c>
      <x:c r="G630" s="25" t="n">
        <x:v>-0.1460504943410643</x:v>
      </x:c>
      <x:c r="H630" s="25" t="n">
        <x:v>-2.278448190881814</x:v>
      </x:c>
      <x:c r="I630" s="25" t="n">
        <x:v>-8091.015699679999</x:v>
      </x:c>
      <x:c r="J630" s="25" t="n">
        <x:v>8319.609300319995</x:v>
      </x:c>
      <x:c r="K630" s="25" t="n">
        <x:v>4.158973332304886</x:v>
      </x:c>
      <x:c r="L630" s="25" t="n">
        <x:v>80.25</x:v>
      </x:c>
      <x:c r="M630" s="34" t="b">
        <x:v>0</x:v>
      </x:c>
      <x:c r="N630" s="25" t="n">
        <x:v>-48.94398196080388</x:v>
      </x:c>
    </x:row>
    <x:row r="631">
      <x:c r="A631" s="25" t="n">
        <x:v>6</x:v>
      </x:c>
      <x:c r="B631" s="25" t="n">
        <x:v>4</x:v>
      </x:c>
      <x:c r="C631" s="25" t="n">
        <x:v>1.5</x:v>
      </x:c>
      <x:c r="D631" s="25" t="n">
        <x:v>40</x:v>
      </x:c>
      <x:c r="E631" s="25" t="str">
        <x:v>Équilibré</x:v>
      </x:c>
      <x:c r="F631" s="25" t="n">
        <x:v>1.2</x:v>
      </x:c>
      <x:c r="G631" s="25" t="n">
        <x:v>-0.13457320598684355</x:v>
      </x:c>
      <x:c r="H631" s="25" t="n">
        <x:v>-2.338316325329504</x:v>
      </x:c>
      <x:c r="I631" s="25" t="n">
        <x:v>-6686.766045439999</x:v>
      </x:c>
      <x:c r="J631" s="25" t="n">
        <x:v>9723.858954559997</x:v>
      </x:c>
      <x:c r="K631" s="25" t="n">
        <x:v>6.238459998457328</x:v>
      </x:c>
      <x:c r="L631" s="25" t="n">
        <x:v>84.25</x:v>
      </x:c>
      <x:c r="M631" s="34" t="b">
        <x:v>0</x:v>
      </x:c>
      <x:c r="N631" s="25" t="n">
        <x:v>-49.009434462514</x:v>
      </x:c>
    </x:row>
    <x:row r="632">
      <x:c r="A632" s="25" t="n">
        <x:v>6</x:v>
      </x:c>
      <x:c r="B632" s="25" t="n">
        <x:v>3</x:v>
      </x:c>
      <x:c r="C632" s="25" t="n">
        <x:v>1.5</x:v>
      </x:c>
      <x:c r="D632" s="25" t="n">
        <x:v>30</x:v>
      </x:c>
      <x:c r="E632" s="25" t="str">
        <x:v>Agressif</x:v>
      </x:c>
      <x:c r="F632" s="25" t="n">
        <x:v>1.2</x:v>
      </x:c>
      <x:c r="G632" s="25" t="n">
        <x:v>-0.13677911807946375</x:v>
      </x:c>
      <x:c r="H632" s="25" t="n">
        <x:v>-2.359683357297236</x:v>
      </x:c>
      <x:c r="I632" s="25" t="n">
        <x:v>-7499.291181858022</x:v>
      </x:c>
      <x:c r="J632" s="25" t="n">
        <x:v>8911.333818141971</x:v>
      </x:c>
      <x:c r="K632" s="25" t="n">
        <x:v>6.238459998457328</x:v>
      </x:c>
      <x:c r="L632" s="25" t="n">
        <x:v>87.25</x:v>
      </x:c>
      <x:c r="M632" s="34" t="b">
        <x:v>0</x:v>
      </x:c>
      <x:c r="N632" s="25" t="n">
        <x:v>-49.06493542680141</x:v>
      </x:c>
    </x:row>
    <x:row r="633">
      <x:c r="A633" s="25" t="n">
        <x:v>10</x:v>
      </x:c>
      <x:c r="B633" s="25" t="n">
        <x:v>2</x:v>
      </x:c>
      <x:c r="C633" s="25" t="n">
        <x:v>2</x:v>
      </x:c>
      <x:c r="D633" s="25" t="n">
        <x:v>35</x:v>
      </x:c>
      <x:c r="E633" s="25" t="str">
        <x:v>Agressif</x:v>
      </x:c>
      <x:c r="F633" s="25" t="n">
        <x:v>1</x:v>
      </x:c>
      <x:c r="G633" s="25" t="n">
        <x:v>-0.09540934401011733</x:v>
      </x:c>
      <x:c r="H633" s="25" t="n">
        <x:v>-2.344938275495663</x:v>
      </x:c>
      <x:c r="I633" s="25" t="n">
        <x:v>-5610.878720381781</x:v>
      </x:c>
      <x:c r="J633" s="25" t="n">
        <x:v>10799.746279618217</x:v>
      </x:c>
      <x:c r="K633" s="25" t="n">
        <x:v>5.1987166653811085</x:v>
      </x:c>
      <x:c r="L633" s="25" t="n">
        <x:v>73.75</x:v>
      </x:c>
      <x:c r="M633" s="34" t="b">
        <x:v>0</x:v>
      </x:c>
      <x:c r="N633" s="25" t="n">
        <x:v>-49.12097080794803</x:v>
      </x:c>
    </x:row>
    <x:row r="634">
      <x:c r="A634" s="25" t="n">
        <x:v>8</x:v>
      </x:c>
      <x:c r="B634" s="25" t="n">
        <x:v>4</x:v>
      </x:c>
      <x:c r="C634" s="25" t="n">
        <x:v>2</x:v>
      </x:c>
      <x:c r="D634" s="25" t="n">
        <x:v>40</x:v>
      </x:c>
      <x:c r="E634" s="25" t="str">
        <x:v>Agressif</x:v>
      </x:c>
      <x:c r="F634" s="25" t="n">
        <x:v>0.8</x:v>
      </x:c>
      <x:c r="G634" s="25" t="n">
        <x:v>-0.10516858083074548</x:v>
      </x:c>
      <x:c r="H634" s="25" t="n">
        <x:v>-2.3137555319927596</x:v>
      </x:c>
      <x:c r="I634" s="25" t="n">
        <x:v>-5452.17053383578</x:v>
      </x:c>
      <x:c r="J634" s="25" t="n">
        <x:v>10958.454466164218</x:v>
      </x:c>
      <x:c r="K634" s="25" t="n">
        <x:v>4.158973332304886</x:v>
      </x:c>
      <x:c r="L634" s="25" t="n">
        <x:v>72.25</x:v>
      </x:c>
      <x:c r="M634" s="34" t="b">
        <x:v>0</x:v>
      </x:c>
      <x:c r="N634" s="25" t="n">
        <x:v>-49.17816024550999</x:v>
      </x:c>
    </x:row>
    <x:row r="635">
      <x:c r="A635" s="25" t="n">
        <x:v>10</x:v>
      </x:c>
      <x:c r="B635" s="25" t="n">
        <x:v>2</x:v>
      </x:c>
      <x:c r="C635" s="25" t="n">
        <x:v>2</x:v>
      </x:c>
      <x:c r="D635" s="25" t="n">
        <x:v>35</x:v>
      </x:c>
      <x:c r="E635" s="25" t="str">
        <x:v>Agressif</x:v>
      </x:c>
      <x:c r="F635" s="25" t="n">
        <x:v>1.2</x:v>
      </x:c>
      <x:c r="G635" s="25" t="n">
        <x:v>-0.09540934401011733</x:v>
      </x:c>
      <x:c r="H635" s="25" t="n">
        <x:v>-2.3824062627487317</x:v>
      </x:c>
      <x:c r="I635" s="25" t="n">
        <x:v>-5610.878720381781</x:v>
      </x:c>
      <x:c r="J635" s="25" t="n">
        <x:v>10799.746279618217</x:v>
      </x:c>
      <x:c r="K635" s="25" t="n">
        <x:v>6.238459998457328</x:v>
      </x:c>
      <x:c r="L635" s="25" t="n">
        <x:v>76.75</x:v>
      </x:c>
      <x:c r="M635" s="34" t="b">
        <x:v>0</x:v>
      </x:c>
      <x:c r="N635" s="25" t="n">
        <x:v>-49.45767048927474</x:v>
      </x:c>
    </x:row>
    <x:row r="636">
      <x:c r="A636" s="25" t="n">
        <x:v>10</x:v>
      </x:c>
      <x:c r="B636" s="25" t="n">
        <x:v>2</x:v>
      </x:c>
      <x:c r="C636" s="25" t="n">
        <x:v>1.5</x:v>
      </x:c>
      <x:c r="D636" s="25" t="n">
        <x:v>40</x:v>
      </x:c>
      <x:c r="E636" s="25" t="str">
        <x:v>Équilibré</x:v>
      </x:c>
      <x:c r="F636" s="25" t="n">
        <x:v>1</x:v>
      </x:c>
      <x:c r="G636" s="25" t="n">
        <x:v>-0.1313963244748673</x:v>
      </x:c>
      <x:c r="H636" s="25" t="n">
        <x:v>-2.2916108866849045</x:v>
      </x:c>
      <x:c r="I636" s="25" t="n">
        <x:v>-7279.1929188799995</x:v>
      </x:c>
      <x:c r="J636" s="25" t="n">
        <x:v>9131.432081119996</x:v>
      </x:c>
      <x:c r="K636" s="25" t="n">
        <x:v>5.1987166653811085</x:v>
      </x:c>
      <x:c r="L636" s="25" t="n">
        <x:v>75.25</x:v>
      </x:c>
      <x:c r="M636" s="34" t="b">
        <x:v>0</x:v>
      </x:c>
      <x:c r="N636" s="25" t="n">
        <x:v>-49.46707001324032</x:v>
      </x:c>
    </x:row>
    <x:row r="637">
      <x:c r="A637" s="25" t="n">
        <x:v>10</x:v>
      </x:c>
      <x:c r="B637" s="25" t="n">
        <x:v>3</x:v>
      </x:c>
      <x:c r="C637" s="25" t="n">
        <x:v>1.5</x:v>
      </x:c>
      <x:c r="D637" s="25" t="n">
        <x:v>35</x:v>
      </x:c>
      <x:c r="E637" s="25" t="str">
        <x:v>Agressif</x:v>
      </x:c>
      <x:c r="F637" s="25" t="n">
        <x:v>0.8</x:v>
      </x:c>
      <x:c r="G637" s="25" t="n">
        <x:v>-0.13037828025662082</x:v>
      </x:c>
      <x:c r="H637" s="25" t="n">
        <x:v>-2.2434851125434427</x:v>
      </x:c>
      <x:c r="I637" s="25" t="n">
        <x:v>-7148.347651037316</x:v>
      </x:c>
      <x:c r="J637" s="25" t="n">
        <x:v>9262.277348962683</x:v>
      </x:c>
      <x:c r="K637" s="25" t="n">
        <x:v>4.158973332304886</x:v>
      </x:c>
      <x:c r="L637" s="25" t="n">
        <x:v>68.75</x:v>
      </x:c>
      <x:c r="M637" s="34" t="b">
        <x:v>0</x:v>
      </x:c>
      <x:c r="N637" s="25" t="n">
        <x:v>-49.50793322770021</x:v>
      </x:c>
    </x:row>
    <x:row r="638">
      <x:c r="A638" s="25" t="n">
        <x:v>6</x:v>
      </x:c>
      <x:c r="B638" s="25" t="n">
        <x:v>3</x:v>
      </x:c>
      <x:c r="C638" s="25" t="n">
        <x:v>1.5</x:v>
      </x:c>
      <x:c r="D638" s="25" t="n">
        <x:v>40</x:v>
      </x:c>
      <x:c r="E638" s="25" t="str">
        <x:v>Équilibré</x:v>
      </x:c>
      <x:c r="F638" s="25" t="n">
        <x:v>0.8</x:v>
      </x:c>
      <x:c r="G638" s="25" t="n">
        <x:v>-0.15224227269292184</x:v>
      </x:c>
      <x:c r="H638" s="25" t="n">
        <x:v>-2.3164747761407694</x:v>
      </x:c>
      <x:c r="I638" s="25" t="n">
        <x:v>-7937.281815199994</x:v>
      </x:c>
      <x:c r="J638" s="25" t="n">
        <x:v>8473.3431848</x:v>
      </x:c>
      <x:c r="K638" s="25" t="n">
        <x:v>4.158973332304886</x:v>
      </x:c>
      <x:c r="L638" s="25" t="n">
        <x:v>83.25</x:v>
      </x:c>
      <x:c r="M638" s="34" t="b">
        <x:v>0</x:v>
      </x:c>
      <x:c r="N638" s="25" t="n">
        <x:v>-49.63519440162993</x:v>
      </x:c>
    </x:row>
    <x:row r="639">
      <x:c r="A639" s="25" t="n">
        <x:v>10</x:v>
      </x:c>
      <x:c r="B639" s="25" t="n">
        <x:v>2</x:v>
      </x:c>
      <x:c r="C639" s="25" t="n">
        <x:v>1.5</x:v>
      </x:c>
      <x:c r="D639" s="25" t="n">
        <x:v>40</x:v>
      </x:c>
      <x:c r="E639" s="25" t="str">
        <x:v>Équilibré</x:v>
      </x:c>
      <x:c r="F639" s="25" t="n">
        <x:v>1.2</x:v>
      </x:c>
      <x:c r="G639" s="25" t="n">
        <x:v>-0.1313963244748673</x:v>
      </x:c>
      <x:c r="H639" s="25" t="n">
        <x:v>-2.3255299673676086</x:v>
      </x:c>
      <x:c r="I639" s="25" t="n">
        <x:v>-7279.1929188799995</x:v>
      </x:c>
      <x:c r="J639" s="25" t="n">
        <x:v>9131.432081119996</x:v>
      </x:c>
      <x:c r="K639" s="25" t="n">
        <x:v>6.238459998457328</x:v>
      </x:c>
      <x:c r="L639" s="25" t="n">
        <x:v>78.25</x:v>
      </x:c>
      <x:c r="M639" s="34" t="b">
        <x:v>0</x:v>
      </x:c>
      <x:c r="N639" s="25" t="n">
        <x:v>-49.71504703030792</x:v>
      </x:c>
    </x:row>
    <x:row r="640">
      <x:c r="A640" s="25" t="n">
        <x:v>6</x:v>
      </x:c>
      <x:c r="B640" s="25" t="n">
        <x:v>3</x:v>
      </x:c>
      <x:c r="C640" s="25" t="n">
        <x:v>2</x:v>
      </x:c>
      <x:c r="D640" s="25" t="n">
        <x:v>35</x:v>
      </x:c>
      <x:c r="E640" s="25" t="str">
        <x:v>Agressif</x:v>
      </x:c>
      <x:c r="F640" s="25" t="n">
        <x:v>0.8</x:v>
      </x:c>
      <x:c r="G640" s="25" t="n">
        <x:v>-0.1214398371926987</x:v>
      </x:c>
      <x:c r="H640" s="25" t="n">
        <x:v>-2.3857018662087843</x:v>
      </x:c>
      <x:c r="I640" s="25" t="n">
        <x:v>-6658.272936490114</x:v>
      </x:c>
      <x:c r="J640" s="25" t="n">
        <x:v>9752.352063509883</x:v>
      </x:c>
      <x:c r="K640" s="25" t="n">
        <x:v>4.158973332304886</x:v>
      </x:c>
      <x:c r="L640" s="25" t="n">
        <x:v>81.75</x:v>
      </x:c>
      <x:c r="M640" s="34" t="b">
        <x:v>0</x:v>
      </x:c>
      <x:c r="N640" s="25" t="n">
        <x:v>-49.97173770081803</x:v>
      </x:c>
    </x:row>
    <x:row r="641">
      <x:c r="A641" s="25" t="n">
        <x:v>6</x:v>
      </x:c>
      <x:c r="B641" s="25" t="n">
        <x:v>4</x:v>
      </x:c>
      <x:c r="C641" s="25" t="n">
        <x:v>2</x:v>
      </x:c>
      <x:c r="D641" s="25" t="n">
        <x:v>35</x:v>
      </x:c>
      <x:c r="E641" s="25" t="str">
        <x:v>Agressif</x:v>
      </x:c>
      <x:c r="F641" s="25" t="n">
        <x:v>1</x:v>
      </x:c>
      <x:c r="G641" s="25" t="n">
        <x:v>-0.11013693649688272</x:v>
      </x:c>
      <x:c r="H641" s="25" t="n">
        <x:v>-2.398628893749195</x:v>
      </x:c>
      <x:c r="I641" s="25" t="n">
        <x:v>-5709.741018771051</x:v>
      </x:c>
      <x:c r="J641" s="25" t="n">
        <x:v>10700.883981228948</x:v>
      </x:c>
      <x:c r="K641" s="25" t="n">
        <x:v>5.1987166653811085</x:v>
      </x:c>
      <x:c r="L641" s="25" t="n">
        <x:v>79.75</x:v>
      </x:c>
      <x:c r="M641" s="34" t="b">
        <x:v>0</x:v>
      </x:c>
      <x:c r="N641" s="25" t="n">
        <x:v>-50.073253851058425</x:v>
      </x:c>
    </x:row>
    <x:row r="642">
      <x:c r="A642" s="25" t="n">
        <x:v>10</x:v>
      </x:c>
      <x:c r="B642" s="25" t="n">
        <x:v>3</x:v>
      </x:c>
      <x:c r="C642" s="25" t="n">
        <x:v>2</x:v>
      </x:c>
      <x:c r="D642" s="25" t="n">
        <x:v>40</x:v>
      </x:c>
      <x:c r="E642" s="25" t="str">
        <x:v>Agressif</x:v>
      </x:c>
      <x:c r="F642" s="25" t="n">
        <x:v>0.8</x:v>
      </x:c>
      <x:c r="G642" s="25" t="n">
        <x:v>-0.1049908122491755</x:v>
      </x:c>
      <x:c r="H642" s="25" t="n">
        <x:v>-2.3302934856142072</x:v>
      </x:c>
      <x:c r="I642" s="25" t="n">
        <x:v>-5756.40992230208</x:v>
      </x:c>
      <x:c r="J642" s="25" t="n">
        <x:v>10654.215077697918</x:v>
      </x:c>
      <x:c r="K642" s="25" t="n">
        <x:v>4.158973332304886</x:v>
      </x:c>
      <x:c r="L642" s="25" t="n">
        <x:v>69.25</x:v>
      </x:c>
      <x:c r="M642" s="34" t="b">
        <x:v>0</x:v>
      </x:c>
      <x:c r="N642" s="25" t="n">
        <x:v>-50.18183181405984</x:v>
      </x:c>
    </x:row>
    <x:row r="643">
      <x:c r="A643" s="25" t="n">
        <x:v>6</x:v>
      </x:c>
      <x:c r="B643" s="25" t="n">
        <x:v>4</x:v>
      </x:c>
      <x:c r="C643" s="25" t="n">
        <x:v>2</x:v>
      </x:c>
      <x:c r="D643" s="25" t="n">
        <x:v>35</x:v>
      </x:c>
      <x:c r="E643" s="25" t="str">
        <x:v>Agressif</x:v>
      </x:c>
      <x:c r="F643" s="25" t="n">
        <x:v>1.2</x:v>
      </x:c>
      <x:c r="G643" s="25" t="n">
        <x:v>-0.11013693649688272</x:v>
      </x:c>
      <x:c r="H643" s="25" t="n">
        <x:v>-2.435773670794219</x:v>
      </x:c>
      <x:c r="I643" s="25" t="n">
        <x:v>-5709.741018771051</x:v>
      </x:c>
      <x:c r="J643" s="25" t="n">
        <x:v>10700.883981228948</x:v>
      </x:c>
      <x:c r="K643" s="25" t="n">
        <x:v>6.238459998457328</x:v>
      </x:c>
      <x:c r="L643" s="25" t="n">
        <x:v>82.75</x:v>
      </x:c>
      <x:c r="M643" s="34" t="b">
        <x:v>0</x:v>
      </x:c>
      <x:c r="N643" s="25" t="n">
        <x:v>-50.40187327718402</x:v>
      </x:c>
    </x:row>
    <x:row r="644">
      <x:c r="A644" s="25" t="n">
        <x:v>8</x:v>
      </x:c>
      <x:c r="B644" s="25" t="n">
        <x:v>4</x:v>
      </x:c>
      <x:c r="C644" s="25" t="n">
        <x:v>1.5</x:v>
      </x:c>
      <x:c r="D644" s="25" t="n">
        <x:v>35</x:v>
      </x:c>
      <x:c r="E644" s="25" t="str">
        <x:v>Agressif</x:v>
      </x:c>
      <x:c r="F644" s="25" t="n">
        <x:v>1</x:v>
      </x:c>
      <x:c r="G644" s="25" t="n">
        <x:v>-0.14389000410933644</x:v>
      </x:c>
      <x:c r="H644" s="25" t="n">
        <x:v>-2.3542994913273123</x:v>
      </x:c>
      <x:c r="I644" s="25" t="n">
        <x:v>-7459.574278947436</x:v>
      </x:c>
      <x:c r="J644" s="25" t="n">
        <x:v>8951.05072105256</x:v>
      </x:c>
      <x:c r="K644" s="25" t="n">
        <x:v>5.1987166653811085</x:v>
      </x:c>
      <x:c r="L644" s="25" t="n">
        <x:v>74.75</x:v>
      </x:c>
      <x:c r="M644" s="34" t="b">
        <x:v>0</x:v>
      </x:c>
      <x:c r="N644" s="25" t="n">
        <x:v>-51.821437509196315</x:v>
      </x:c>
    </x:row>
    <x:row r="645">
      <x:c r="A645" s="25" t="n">
        <x:v>8</x:v>
      </x:c>
      <x:c r="B645" s="25" t="n">
        <x:v>4</x:v>
      </x:c>
      <x:c r="C645" s="25" t="n">
        <x:v>1.5</x:v>
      </x:c>
      <x:c r="D645" s="25" t="n">
        <x:v>35</x:v>
      </x:c>
      <x:c r="E645" s="25" t="str">
        <x:v>Agressif</x:v>
      </x:c>
      <x:c r="F645" s="25" t="n">
        <x:v>1.2</x:v>
      </x:c>
      <x:c r="G645" s="25" t="n">
        <x:v>-0.14389000410933644</x:v>
      </x:c>
      <x:c r="H645" s="25" t="n">
        <x:v>-2.388506036187819</x:v>
      </x:c>
      <x:c r="I645" s="25" t="n">
        <x:v>-7459.574278947436</x:v>
      </x:c>
      <x:c r="J645" s="25" t="n">
        <x:v>8951.05072105256</x:v>
      </x:c>
      <x:c r="K645" s="25" t="n">
        <x:v>6.238459998457328</x:v>
      </x:c>
      <x:c r="L645" s="25" t="n">
        <x:v>77.75</x:v>
      </x:c>
      <x:c r="M645" s="34" t="b">
        <x:v>0</x:v>
      </x:c>
      <x:c r="N645" s="25" t="n">
        <x:v>-52.07660113070898</x:v>
      </x:c>
    </x:row>
    <x:row r="646">
      <x:c r="A646" s="25" t="n">
        <x:v>8</x:v>
      </x:c>
      <x:c r="B646" s="25" t="n">
        <x:v>2</x:v>
      </x:c>
      <x:c r="C646" s="25" t="n">
        <x:v>2</x:v>
      </x:c>
      <x:c r="D646" s="25" t="n">
        <x:v>35</x:v>
      </x:c>
      <x:c r="E646" s="25" t="str">
        <x:v>Agressif</x:v>
      </x:c>
      <x:c r="F646" s="25" t="n">
        <x:v>1</x:v>
      </x:c>
      <x:c r="G646" s="25" t="n">
        <x:v>-0.1253272416148494</x:v>
      </x:c>
      <x:c r="H646" s="25" t="n">
        <x:v>-2.4682472454483295</x:v>
      </x:c>
      <x:c r="I646" s="25" t="n">
        <x:v>-7370.304872721236</x:v>
      </x:c>
      <x:c r="J646" s="25" t="n">
        <x:v>9040.320127278761</x:v>
      </x:c>
      <x:c r="K646" s="25" t="n">
        <x:v>5.1987166653811085</x:v>
      </x:c>
      <x:c r="L646" s="25" t="n">
        <x:v>81.75</x:v>
      </x:c>
      <x:c r="M646" s="34" t="b">
        <x:v>0</x:v>
      </x:c>
      <x:c r="N646" s="25" t="n">
        <x:v>-52.249179425024955</x:v>
      </x:c>
    </x:row>
    <x:row r="647">
      <x:c r="A647" s="25" t="n">
        <x:v>6</x:v>
      </x:c>
      <x:c r="B647" s="25" t="n">
        <x:v>2</x:v>
      </x:c>
      <x:c r="C647" s="25" t="n">
        <x:v>1.5</x:v>
      </x:c>
      <x:c r="D647" s="25" t="n">
        <x:v>30</x:v>
      </x:c>
      <x:c r="E647" s="25" t="str">
        <x:v>Agressif</x:v>
      </x:c>
      <x:c r="F647" s="25" t="n">
        <x:v>1</x:v>
      </x:c>
      <x:c r="G647" s="25" t="n">
        <x:v>-0.16872077901546986</x:v>
      </x:c>
      <x:c r="H647" s="25" t="n">
        <x:v>-2.437062347037197</x:v>
      </x:c>
      <x:c r="I647" s="25" t="n">
        <x:v>-9922.212949747884</x:v>
      </x:c>
      <x:c r="J647" s="25" t="n">
        <x:v>6488.412050252112</x:v>
      </x:c>
      <x:c r="K647" s="25" t="n">
        <x:v>5.1987166653811085</x:v>
      </x:c>
      <x:c r="L647" s="25" t="n">
        <x:v>89.25</x:v>
      </x:c>
      <x:c r="M647" s="34" t="b">
        <x:v>0</x:v>
      </x:c>
      <x:c r="N647" s="25" t="n">
        <x:v>-52.356201521780754</x:v>
      </x:c>
    </x:row>
    <x:row r="648">
      <x:c r="A648" s="25" t="n">
        <x:v>8</x:v>
      </x:c>
      <x:c r="B648" s="25" t="n">
        <x:v>2</x:v>
      </x:c>
      <x:c r="C648" s="25" t="n">
        <x:v>1.5</x:v>
      </x:c>
      <x:c r="D648" s="25" t="n">
        <x:v>40</x:v>
      </x:c>
      <x:c r="E648" s="25" t="str">
        <x:v>Équilibré</x:v>
      </x:c>
      <x:c r="F648" s="25" t="n">
        <x:v>1</x:v>
      </x:c>
      <x:c r="G648" s="25" t="n">
        <x:v>-0.16083694183457842</x:v>
      </x:c>
      <x:c r="H648" s="25" t="n">
        <x:v>-2.4074116161056915</x:v>
      </x:c>
      <x:c r="I648" s="25" t="n">
        <x:v>-8910.16649648</x:v>
      </x:c>
      <x:c r="J648" s="25" t="n">
        <x:v>7500.458503519995</x:v>
      </x:c>
      <x:c r="K648" s="25" t="n">
        <x:v>5.1987166653811085</x:v>
      </x:c>
      <x:c r="L648" s="25" t="n">
        <x:v>83.25</x:v>
      </x:c>
      <x:c r="M648" s="34" t="b">
        <x:v>0</x:v>
      </x:c>
      <x:c r="N648" s="25" t="n">
        <x:v>-52.3813222035441</x:v>
      </x:c>
    </x:row>
    <x:row r="649">
      <x:c r="A649" s="25" t="n">
        <x:v>8</x:v>
      </x:c>
      <x:c r="B649" s="25" t="n">
        <x:v>2</x:v>
      </x:c>
      <x:c r="C649" s="25" t="n">
        <x:v>2</x:v>
      </x:c>
      <x:c r="D649" s="25" t="n">
        <x:v>35</x:v>
      </x:c>
      <x:c r="E649" s="25" t="str">
        <x:v>Agressif</x:v>
      </x:c>
      <x:c r="F649" s="25" t="n">
        <x:v>1.2</x:v>
      </x:c>
      <x:c r="G649" s="25" t="n">
        <x:v>-0.1253272416148494</x:v>
      </x:c>
      <x:c r="H649" s="25" t="n">
        <x:v>-2.507384609165837</x:v>
      </x:c>
      <x:c r="I649" s="25" t="n">
        <x:v>-7370.304872721236</x:v>
      </x:c>
      <x:c r="J649" s="25" t="n">
        <x:v>9040.320127278761</x:v>
      </x:c>
      <x:c r="K649" s="25" t="n">
        <x:v>6.238459998457328</x:v>
      </x:c>
      <x:c r="L649" s="25" t="n">
        <x:v>84.75</x:v>
      </x:c>
      <x:c r="M649" s="34" t="b">
        <x:v>0</x:v>
      </x:c>
      <x:c r="N649" s="25" t="n">
        <x:v>-52.627613517962644</x:v>
      </x:c>
    </x:row>
    <x:row r="650">
      <x:c r="A650" s="25" t="n">
        <x:v>6</x:v>
      </x:c>
      <x:c r="B650" s="25" t="n">
        <x:v>2</x:v>
      </x:c>
      <x:c r="C650" s="25" t="n">
        <x:v>1.5</x:v>
      </x:c>
      <x:c r="D650" s="25" t="n">
        <x:v>30</x:v>
      </x:c>
      <x:c r="E650" s="25" t="str">
        <x:v>Agressif</x:v>
      </x:c>
      <x:c r="F650" s="25" t="n">
        <x:v>1.2</x:v>
      </x:c>
      <x:c r="G650" s="25" t="n">
        <x:v>-0.16872077901546986</x:v>
      </x:c>
      <x:c r="H650" s="25" t="n">
        <x:v>-2.4731515849961387</x:v>
      </x:c>
      <x:c r="I650" s="25" t="n">
        <x:v>-9922.212949747884</x:v>
      </x:c>
      <x:c r="J650" s="25" t="n">
        <x:v>6488.412050252112</x:v>
      </x:c>
      <x:c r="K650" s="25" t="n">
        <x:v>6.238459998457328</x:v>
      </x:c>
      <x:c r="L650" s="25" t="n">
        <x:v>92.25</x:v>
      </x:c>
      <x:c r="M650" s="34" t="b">
        <x:v>0</x:v>
      </x:c>
      <x:c r="N650" s="25" t="n">
        <x:v>-52.658432470754306</x:v>
      </x:c>
    </x:row>
    <x:row r="651">
      <x:c r="A651" s="25" t="n">
        <x:v>8</x:v>
      </x:c>
      <x:c r="B651" s="25" t="n">
        <x:v>2</x:v>
      </x:c>
      <x:c r="C651" s="25" t="n">
        <x:v>1.5</x:v>
      </x:c>
      <x:c r="D651" s="25" t="n">
        <x:v>40</x:v>
      </x:c>
      <x:c r="E651" s="25" t="str">
        <x:v>Équilibré</x:v>
      </x:c>
      <x:c r="F651" s="25" t="n">
        <x:v>1.2</x:v>
      </x:c>
      <x:c r="G651" s="25" t="n">
        <x:v>-0.16083694183457842</x:v>
      </x:c>
      <x:c r="H651" s="25" t="n">
        <x:v>-2.4428016370978116</x:v>
      </x:c>
      <x:c r="I651" s="25" t="n">
        <x:v>-8910.16649648</x:v>
      </x:c>
      <x:c r="J651" s="25" t="n">
        <x:v>7500.458503519995</x:v>
      </x:c>
      <x:c r="K651" s="25" t="n">
        <x:v>6.238459998457328</x:v>
      </x:c>
      <x:c r="L651" s="25" t="n">
        <x:v>86.25</x:v>
      </x:c>
      <x:c r="M651" s="34" t="b">
        <x:v>0</x:v>
      </x:c>
      <x:c r="N651" s="25" t="n">
        <x:v>-52.6660727283471</x:v>
      </x:c>
    </x:row>
    <x:row r="652">
      <x:c r="A652" s="25" t="n">
        <x:v>10</x:v>
      </x:c>
      <x:c r="B652" s="25" t="n">
        <x:v>3</x:v>
      </x:c>
      <x:c r="C652" s="25" t="n">
        <x:v>1.5</x:v>
      </x:c>
      <x:c r="D652" s="25" t="n">
        <x:v>35</x:v>
      </x:c>
      <x:c r="E652" s="25" t="str">
        <x:v>Agressif</x:v>
      </x:c>
      <x:c r="F652" s="25" t="n">
        <x:v>1</x:v>
      </x:c>
      <x:c r="G652" s="25" t="n">
        <x:v>-0.14474019376980804</x:v>
      </x:c>
      <x:c r="H652" s="25" t="n">
        <x:v>-2.370786259743184</x:v>
      </x:c>
      <x:c r="I652" s="25" t="n">
        <x:v>-7935.779043170436</x:v>
      </x:c>
      <x:c r="J652" s="25" t="n">
        <x:v>8474.84595682956</x:v>
      </x:c>
      <x:c r="K652" s="25" t="n">
        <x:v>5.1987166653811085</x:v>
      </x:c>
      <x:c r="L652" s="25" t="n">
        <x:v>71.75</x:v>
      </x:c>
      <x:c r="M652" s="34" t="b">
        <x:v>0</x:v>
      </x:c>
      <x:c r="N652" s="25" t="n">
        <x:v>-52.88036715091905</x:v>
      </x:c>
    </x:row>
    <x:row r="653">
      <x:c r="A653" s="25" t="n">
        <x:v>8</x:v>
      </x:c>
      <x:c r="B653" s="25" t="n">
        <x:v>4</x:v>
      </x:c>
      <x:c r="C653" s="25" t="n">
        <x:v>2</x:v>
      </x:c>
      <x:c r="D653" s="25" t="n">
        <x:v>40</x:v>
      </x:c>
      <x:c r="E653" s="25" t="str">
        <x:v>Agressif</x:v>
      </x:c>
      <x:c r="F653" s="25" t="n">
        <x:v>1</x:v>
      </x:c>
      <x:c r="G653" s="25" t="n">
        <x:v>-0.12058075229910042</x:v>
      </x:c>
      <x:c r="H653" s="25" t="n">
        <x:v>-2.452369462238195</x:v>
      </x:c>
      <x:c r="I653" s="25" t="n">
        <x:v>-6251.1713996687395</x:v>
      </x:c>
      <x:c r="J653" s="25" t="n">
        <x:v>10159.453600331257</x:v>
      </x:c>
      <x:c r="K653" s="25" t="n">
        <x:v>5.1987166653811085</x:v>
      </x:c>
      <x:c r="L653" s="25" t="n">
        <x:v>75.25</x:v>
      </x:c>
      <x:c r="M653" s="34" t="b">
        <x:v>0</x:v>
      </x:c>
      <x:c r="N653" s="25" t="n">
        <x:v>-52.8911779324054</x:v>
      </x:c>
    </x:row>
    <x:row r="654">
      <x:c r="A654" s="25" t="n">
        <x:v>6</x:v>
      </x:c>
      <x:c r="B654" s="25" t="n">
        <x:v>3</x:v>
      </x:c>
      <x:c r="C654" s="25" t="n">
        <x:v>1.5</x:v>
      </x:c>
      <x:c r="D654" s="25" t="n">
        <x:v>40</x:v>
      </x:c>
      <x:c r="E654" s="25" t="str">
        <x:v>Équilibré</x:v>
      </x:c>
      <x:c r="F654" s="25" t="n">
        <x:v>1</x:v>
      </x:c>
      <x:c r="G654" s="25" t="n">
        <x:v>-0.16664412876664927</x:v>
      </x:c>
      <x:c r="H654" s="25" t="n">
        <x:v>-2.445577299181941</x:v>
      </x:c>
      <x:c r="I654" s="25" t="n">
        <x:v>-8688.134967199996</x:v>
      </x:c>
      <x:c r="J654" s="25" t="n">
        <x:v>7722.4900328</x:v>
      </x:c>
      <x:c r="K654" s="25" t="n">
        <x:v>5.1987166653811085</x:v>
      </x:c>
      <x:c r="L654" s="25" t="n">
        <x:v>86.25</x:v>
      </x:c>
      <x:c r="M654" s="34" t="b">
        <x:v>0</x:v>
      </x:c>
      <x:c r="N654" s="25" t="n">
        <x:v>-53.05485956171424</x:v>
      </x:c>
    </x:row>
    <x:row r="655">
      <x:c r="A655" s="25" t="n">
        <x:v>10</x:v>
      </x:c>
      <x:c r="B655" s="25" t="n">
        <x:v>3</x:v>
      </x:c>
      <x:c r="C655" s="25" t="n">
        <x:v>1.5</x:v>
      </x:c>
      <x:c r="D655" s="25" t="n">
        <x:v>35</x:v>
      </x:c>
      <x:c r="E655" s="25" t="str">
        <x:v>Agressif</x:v>
      </x:c>
      <x:c r="F655" s="25" t="n">
        <x:v>1.2</x:v>
      </x:c>
      <x:c r="G655" s="25" t="n">
        <x:v>-0.14474019376980804</x:v>
      </x:c>
      <x:c r="H655" s="25" t="n">
        <x:v>-2.4057152656849694</x:v>
      </x:c>
      <x:c r="I655" s="25" t="n">
        <x:v>-7935.779043170436</x:v>
      </x:c>
      <x:c r="J655" s="25" t="n">
        <x:v>8474.84595682956</x:v>
      </x:c>
      <x:c r="K655" s="25" t="n">
        <x:v>6.238459998457328</x:v>
      </x:c>
      <x:c r="L655" s="25" t="n">
        <x:v>74.75</x:v>
      </x:c>
      <x:c r="M655" s="34" t="b">
        <x:v>0</x:v>
      </x:c>
      <x:c r="N655" s="25" t="n">
        <x:v>-53.15359229946368</x:v>
      </x:c>
    </x:row>
    <x:row r="656">
      <x:c r="A656" s="25" t="n">
        <x:v>8</x:v>
      </x:c>
      <x:c r="B656" s="25" t="n">
        <x:v>4</x:v>
      </x:c>
      <x:c r="C656" s="25" t="n">
        <x:v>2</x:v>
      </x:c>
      <x:c r="D656" s="25" t="n">
        <x:v>40</x:v>
      </x:c>
      <x:c r="E656" s="25" t="str">
        <x:v>Agressif</x:v>
      </x:c>
      <x:c r="F656" s="25" t="n">
        <x:v>1.2</x:v>
      </x:c>
      <x:c r="G656" s="25" t="n">
        <x:v>-0.12058075229910042</x:v>
      </x:c>
      <x:c r="H656" s="25" t="n">
        <x:v>-2.4903767343054244</x:v>
      </x:c>
      <x:c r="I656" s="25" t="n">
        <x:v>-6251.1713996687395</x:v>
      </x:c>
      <x:c r="J656" s="25" t="n">
        <x:v>10159.453600331257</x:v>
      </x:c>
      <x:c r="K656" s="25" t="n">
        <x:v>6.238459998457328</x:v>
      </x:c>
      <x:c r="L656" s="25" t="n">
        <x:v>78.25</x:v>
      </x:c>
      <x:c r="M656" s="34" t="b">
        <x:v>0</x:v>
      </x:c>
      <x:c r="N656" s="25" t="n">
        <x:v>-53.24135973408614</x:v>
      </x:c>
    </x:row>
    <x:row r="657">
      <x:c r="A657" s="25" t="n">
        <x:v>8</x:v>
      </x:c>
      <x:c r="B657" s="25" t="n">
        <x:v>3</x:v>
      </x:c>
      <x:c r="C657" s="25" t="n">
        <x:v>1.5</x:v>
      </x:c>
      <x:c r="D657" s="25" t="n">
        <x:v>35</x:v>
      </x:c>
      <x:c r="E657" s="25" t="str">
        <x:v>Agressif</x:v>
      </x:c>
      <x:c r="F657" s="25" t="n">
        <x:v>0.8</x:v>
      </x:c>
      <x:c r="G657" s="25" t="n">
        <x:v>-0.1661682349414142</x:v>
      </x:c>
      <x:c r="H657" s="25" t="n">
        <x:v>-2.379402942187182</x:v>
      </x:c>
      <x:c r="I657" s="25" t="n">
        <x:v>-9110.630310374532</x:v>
      </x:c>
      <x:c r="J657" s="25" t="n">
        <x:v>7299.994689625462</x:v>
      </x:c>
      <x:c r="K657" s="25" t="n">
        <x:v>4.158973332304886</x:v>
      </x:c>
      <x:c r="L657" s="25" t="n">
        <x:v>76.75</x:v>
      </x:c>
      <x:c r="M657" s="34" t="b">
        <x:v>0</x:v>
      </x:c>
      <x:c r="N657" s="25" t="n">
        <x:v>-53.274326476457325</x:v>
      </x:c>
    </x:row>
    <x:row r="658">
      <x:c r="A658" s="25" t="n">
        <x:v>6</x:v>
      </x:c>
      <x:c r="B658" s="25" t="n">
        <x:v>3</x:v>
      </x:c>
      <x:c r="C658" s="25" t="n">
        <x:v>1.5</x:v>
      </x:c>
      <x:c r="D658" s="25" t="n">
        <x:v>40</x:v>
      </x:c>
      <x:c r="E658" s="25" t="str">
        <x:v>Équilibré</x:v>
      </x:c>
      <x:c r="F658" s="25" t="n">
        <x:v>1.2</x:v>
      </x:c>
      <x:c r="G658" s="25" t="n">
        <x:v>-0.16664412876664927</x:v>
      </x:c>
      <x:c r="H658" s="25" t="n">
        <x:v>-2.4809890478318994</x:v>
      </x:c>
      <x:c r="I658" s="25" t="n">
        <x:v>-8688.134967199996</x:v>
      </x:c>
      <x:c r="J658" s="25" t="n">
        <x:v>7722.4900328</x:v>
      </x:c>
      <x:c r="K658" s="25" t="n">
        <x:v>6.238459998457328</x:v>
      </x:c>
      <x:c r="L658" s="25" t="n">
        <x:v>89.25</x:v>
      </x:c>
      <x:c r="M658" s="34" t="b">
        <x:v>0</x:v>
      </x:c>
      <x:c r="N658" s="25" t="n">
        <x:v>-53.34015327796319</x:v>
      </x:c>
    </x:row>
    <x:row r="659">
      <x:c r="A659" s="25" t="n">
        <x:v>6</x:v>
      </x:c>
      <x:c r="B659" s="25" t="n">
        <x:v>2</x:v>
      </x:c>
      <x:c r="C659" s="25" t="n">
        <x:v>2</x:v>
      </x:c>
      <x:c r="D659" s="25" t="n">
        <x:v>35</x:v>
      </x:c>
      <x:c r="E659" s="25" t="str">
        <x:v>Agressif</x:v>
      </x:c>
      <x:c r="F659" s="25" t="n">
        <x:v>0.8</x:v>
      </x:c>
      <x:c r="G659" s="25" t="n">
        <x:v>-0.1524813447220995</x:v>
      </x:c>
      <x:c r="H659" s="25" t="n">
        <x:v>-2.501667397518426</x:v>
      </x:c>
      <x:c r="I659" s="25" t="n">
        <x:v>-8967.196465219411</x:v>
      </x:c>
      <x:c r="J659" s="25" t="n">
        <x:v>7443.428534780584</x:v>
      </x:c>
      <x:c r="K659" s="25" t="n">
        <x:v>4.158973332304886</x:v>
      </x:c>
      <x:c r="L659" s="25" t="n">
        <x:v>86.75</x:v>
      </x:c>
      <x:c r="M659" s="34" t="b">
        <x:v>0</x:v>
      </x:c>
      <x:c r="N659" s="25" t="n">
        <x:v>-53.578158897676126</x:v>
      </x:c>
    </x:row>
    <x:row r="660">
      <x:c r="A660" s="25" t="n">
        <x:v>10</x:v>
      </x:c>
      <x:c r="B660" s="25" t="n">
        <x:v>4</x:v>
      </x:c>
      <x:c r="C660" s="25" t="n">
        <x:v>1.5</x:v>
      </x:c>
      <x:c r="D660" s="25" t="n">
        <x:v>40</x:v>
      </x:c>
      <x:c r="E660" s="25" t="str">
        <x:v>Agressif</x:v>
      </x:c>
      <x:c r="F660" s="25" t="n">
        <x:v>0.8</x:v>
      </x:c>
      <x:c r="G660" s="25" t="n">
        <x:v>-0.15737078802910304</x:v>
      </x:c>
      <x:c r="H660" s="25" t="n">
        <x:v>-2.342722482167606</x:v>
      </x:c>
      <x:c r="I660" s="25" t="n">
        <x:v>-8158.447766445057</x:v>
      </x:c>
      <x:c r="J660" s="25" t="n">
        <x:v>8252.177233554938</x:v>
      </x:c>
      <x:c r="K660" s="25" t="n">
        <x:v>4.158973332304886</x:v>
      </x:c>
      <x:c r="L660" s="25" t="n">
        <x:v>67.25</x:v>
      </x:c>
      <x:c r="M660" s="34" t="b">
        <x:v>0</x:v>
      </x:c>
      <x:c r="N660" s="25" t="n">
        <x:v>-53.77345539579082</x:v>
      </x:c>
    </x:row>
    <x:row r="661">
      <x:c r="A661" s="25" t="n">
        <x:v>6</x:v>
      </x:c>
      <x:c r="B661" s="25" t="n">
        <x:v>3</x:v>
      </x:c>
      <x:c r="C661" s="25" t="n">
        <x:v>2</x:v>
      </x:c>
      <x:c r="D661" s="25" t="n">
        <x:v>35</x:v>
      </x:c>
      <x:c r="E661" s="25" t="str">
        <x:v>Agressif</x:v>
      </x:c>
      <x:c r="F661" s="25" t="n">
        <x:v>1</x:v>
      </x:c>
      <x:c r="G661" s="25" t="n">
        <x:v>-0.13774905994597414</x:v>
      </x:c>
      <x:c r="H661" s="25" t="n">
        <x:v>-2.529389669883458</x:v>
      </x:c>
      <x:c r="I661" s="25" t="n">
        <x:v>-7552.470911253634</x:v>
      </x:c>
      <x:c r="J661" s="25" t="n">
        <x:v>8858.154088746362</x:v>
      </x:c>
      <x:c r="K661" s="25" t="n">
        <x:v>5.1987166653811085</x:v>
      </x:c>
      <x:c r="L661" s="25" t="n">
        <x:v>84.75</x:v>
      </x:c>
      <x:c r="M661" s="34" t="b">
        <x:v>0</x:v>
      </x:c>
      <x:c r="N661" s="25" t="n">
        <x:v>-53.860940044115026</x:v>
      </x:c>
    </x:row>
    <x:row r="662">
      <x:c r="A662" s="25" t="n">
        <x:v>6</x:v>
      </x:c>
      <x:c r="B662" s="25" t="n">
        <x:v>2</x:v>
      </x:c>
      <x:c r="C662" s="25" t="n">
        <x:v>1.5</x:v>
      </x:c>
      <x:c r="D662" s="25" t="n">
        <x:v>40</x:v>
      </x:c>
      <x:c r="E662" s="25" t="str">
        <x:v>Équilibré</x:v>
      </x:c>
      <x:c r="F662" s="25" t="n">
        <x:v>0.8</x:v>
      </x:c>
      <x:c r="G662" s="25" t="n">
        <x:v>-0.18927112085477157</x:v>
      </x:c>
      <x:c r="H662" s="25" t="n">
        <x:v>-2.4441597565955395</x:v>
      </x:c>
      <x:c r="I662" s="25" t="n">
        <x:v>-10485.38464208</x:v>
      </x:c>
      <x:c r="J662" s="25" t="n">
        <x:v>5925.240357919997</x:v>
      </x:c>
      <x:c r="K662" s="25" t="n">
        <x:v>4.158973332304886</x:v>
      </x:c>
      <x:c r="L662" s="25" t="n">
        <x:v>88.25</x:v>
      </x:c>
      <x:c r="M662" s="34" t="b">
        <x:v>0</x:v>
      </x:c>
      <x:c r="N662" s="25" t="n">
        <x:v>-53.86390556190092</x:v>
      </x:c>
    </x:row>
    <x:row r="663">
      <x:c r="A663" s="25" t="n">
        <x:v>10</x:v>
      </x:c>
      <x:c r="B663" s="25" t="n">
        <x:v>3</x:v>
      </x:c>
      <x:c r="C663" s="25" t="n">
        <x:v>2</x:v>
      </x:c>
      <x:c r="D663" s="25" t="n">
        <x:v>40</x:v>
      </x:c>
      <x:c r="E663" s="25" t="str">
        <x:v>Agressif</x:v>
      </x:c>
      <x:c r="F663" s="25" t="n">
        <x:v>1</x:v>
      </x:c>
      <x:c r="G663" s="25" t="n">
        <x:v>-0.12094849393049462</x:v>
      </x:c>
      <x:c r="H663" s="25" t="n">
        <x:v>-2.4717392047250315</x:v>
      </x:c>
      <x:c r="I663" s="25" t="n">
        <x:v>-6631.333691338879</x:v>
      </x:c>
      <x:c r="J663" s="25" t="n">
        <x:v>9779.291308661117</x:v>
      </x:c>
      <x:c r="K663" s="25" t="n">
        <x:v>5.1987166653811085</x:v>
      </x:c>
      <x:c r="L663" s="25" t="n">
        <x:v>72.25</x:v>
      </x:c>
      <x:c r="M663" s="34" t="b">
        <x:v>0</x:v>
      </x:c>
      <x:c r="N663" s="25" t="n">
        <x:v>-53.99564728430299</x:v>
      </x:c>
    </x:row>
    <x:row r="664">
      <x:c r="A664" s="25" t="n">
        <x:v>8</x:v>
      </x:c>
      <x:c r="B664" s="25" t="n">
        <x:v>3</x:v>
      </x:c>
      <x:c r="C664" s="25" t="n">
        <x:v>2</x:v>
      </x:c>
      <x:c r="D664" s="25" t="n">
        <x:v>40</x:v>
      </x:c>
      <x:c r="E664" s="25" t="str">
        <x:v>Agressif</x:v>
      </x:c>
      <x:c r="F664" s="25" t="n">
        <x:v>0.8</x:v>
      </x:c>
      <x:c r="G664" s="25" t="n">
        <x:v>-0.1395993993283154</x:v>
      </x:c>
      <x:c r="H664" s="25" t="n">
        <x:v>-2.4711154562215816</x:v>
      </x:c>
      <x:c r="I664" s="25" t="n">
        <x:v>-7653.920854843522</x:v>
      </x:c>
      <x:c r="J664" s="25" t="n">
        <x:v>8756.704145156475</x:v>
      </x:c>
      <x:c r="K664" s="25" t="n">
        <x:v>4.158973332304886</x:v>
      </x:c>
      <x:c r="L664" s="25" t="n">
        <x:v>77.25</x:v>
      </x:c>
      <x:c r="M664" s="34" t="b">
        <x:v>0</x:v>
      </x:c>
      <x:c r="N664" s="25" t="n">
        <x:v>-54.00585336859689</x:v>
      </x:c>
    </x:row>
    <x:row r="665">
      <x:c r="A665" s="25" t="n">
        <x:v>6</x:v>
      </x:c>
      <x:c r="B665" s="25" t="n">
        <x:v>3</x:v>
      </x:c>
      <x:c r="C665" s="25" t="n">
        <x:v>2</x:v>
      </x:c>
      <x:c r="D665" s="25" t="n">
        <x:v>35</x:v>
      </x:c>
      <x:c r="E665" s="25" t="str">
        <x:v>Agressif</x:v>
      </x:c>
      <x:c r="F665" s="25" t="n">
        <x:v>1.2</x:v>
      </x:c>
      <x:c r="G665" s="25" t="n">
        <x:v>-0.13774905994597414</x:v>
      </x:c>
      <x:c r="H665" s="25" t="n">
        <x:v>-2.568844060607566</x:v>
      </x:c>
      <x:c r="I665" s="25" t="n">
        <x:v>-7552.470911253634</x:v>
      </x:c>
      <x:c r="J665" s="25" t="n">
        <x:v>8858.154088746362</x:v>
      </x:c>
      <x:c r="K665" s="25" t="n">
        <x:v>6.238459998457328</x:v>
      </x:c>
      <x:c r="L665" s="25" t="n">
        <x:v>87.75</x:v>
      </x:c>
      <x:c r="M665" s="34" t="b">
        <x:v>0</x:v>
      </x:c>
      <x:c r="N665" s="25" t="n">
        <x:v>-54.24729981221773</x:v>
      </x:c>
    </x:row>
    <x:row r="666">
      <x:c r="A666" s="25" t="n">
        <x:v>10</x:v>
      </x:c>
      <x:c r="B666" s="25" t="n">
        <x:v>3</x:v>
      </x:c>
      <x:c r="C666" s="25" t="n">
        <x:v>2</x:v>
      </x:c>
      <x:c r="D666" s="25" t="n">
        <x:v>40</x:v>
      </x:c>
      <x:c r="E666" s="25" t="str">
        <x:v>Agressif</x:v>
      </x:c>
      <x:c r="F666" s="25" t="n">
        <x:v>1.2</x:v>
      </x:c>
      <x:c r="G666" s="25" t="n">
        <x:v>-0.12094849393049462</x:v>
      </x:c>
      <x:c r="H666" s="25" t="n">
        <x:v>-2.5105492113270147</x:v>
      </x:c>
      <x:c r="I666" s="25" t="n">
        <x:v>-6631.333691338879</x:v>
      </x:c>
      <x:c r="J666" s="25" t="n">
        <x:v>9779.291308661117</x:v>
      </x:c>
      <x:c r="K666" s="25" t="n">
        <x:v>6.238459998457328</x:v>
      </x:c>
      <x:c r="L666" s="25" t="n">
        <x:v>75.25</x:v>
      </x:c>
      <x:c r="M666" s="34" t="b">
        <x:v>0</x:v>
      </x:c>
      <x:c r="N666" s="25" t="n">
        <x:v>-54.36589744935257</x:v>
      </x:c>
    </x:row>
    <x:row r="667">
      <x:c r="A667" s="25" t="n">
        <x:v>10</x:v>
      </x:c>
      <x:c r="B667" s="25" t="n">
        <x:v>2</x:v>
      </x:c>
      <x:c r="C667" s="25" t="n">
        <x:v>1.5</x:v>
      </x:c>
      <x:c r="D667" s="25" t="n">
        <x:v>35</x:v>
      </x:c>
      <x:c r="E667" s="25" t="str">
        <x:v>Agressif</x:v>
      </x:c>
      <x:c r="F667" s="25" t="n">
        <x:v>0.8</x:v>
      </x:c>
      <x:c r="G667" s="25" t="n">
        <x:v>-0.17529030380084928</x:v>
      </x:c>
      <x:c r="H667" s="25" t="n">
        <x:v>-2.3959583956406614</x:v>
      </x:c>
      <x:c r="I667" s="25" t="n">
        <x:v>-10308.55673193967</x:v>
      </x:c>
      <x:c r="J667" s="25" t="n">
        <x:v>6102.068268060326</x:v>
      </x:c>
      <x:c r="K667" s="25" t="n">
        <x:v>4.158973332304886</x:v>
      </x:c>
      <x:c r="L667" s="25" t="n">
        <x:v>73.75</x:v>
      </x:c>
      <x:c r="M667" s="34" t="b">
        <x:v>0</x:v>
      </x:c>
      <x:c r="N667" s="25" t="n">
        <x:v>-54.78992660006324</x:v>
      </x:c>
    </x:row>
    <x:row r="668">
      <x:c r="A668" s="25" t="n">
        <x:v>10</x:v>
      </x:c>
      <x:c r="B668" s="25" t="n">
        <x:v>2</x:v>
      </x:c>
      <x:c r="C668" s="25" t="n">
        <x:v>2</x:v>
      </x:c>
      <x:c r="D668" s="25" t="n">
        <x:v>40</x:v>
      </x:c>
      <x:c r="E668" s="25" t="str">
        <x:v>Agressif</x:v>
      </x:c>
      <x:c r="F668" s="25" t="n">
        <x:v>0.8</x:v>
      </x:c>
      <x:c r="G668" s="25" t="n">
        <x:v>-0.14780311740884716</x:v>
      </x:c>
      <x:c r="H668" s="25" t="n">
        <x:v>-2.4902538552635156</x:v>
      </x:c>
      <x:c r="I668" s="25" t="n">
        <x:v>-8692.07701697907</x:v>
      </x:c>
      <x:c r="J668" s="25" t="n">
        <x:v>7718.547983020924</x:v>
      </x:c>
      <x:c r="K668" s="25" t="n">
        <x:v>4.158973332304886</x:v>
      </x:c>
      <x:c r="L668" s="25" t="n">
        <x:v>74.25</x:v>
      </x:c>
      <x:c r="M668" s="34" t="b">
        <x:v>0</x:v>
      </x:c>
      <x:c r="N668" s="25" t="n">
        <x:v>-55.53551783907448</x:v>
      </x:c>
    </x:row>
    <x:row r="669">
      <x:c r="A669" s="25" t="n">
        <x:v>6</x:v>
      </x:c>
      <x:c r="B669" s="25" t="n">
        <x:v>4</x:v>
      </x:c>
      <x:c r="C669" s="25" t="n">
        <x:v>1.5</x:v>
      </x:c>
      <x:c r="D669" s="25" t="n">
        <x:v>35</x:v>
      </x:c>
      <x:c r="E669" s="25" t="str">
        <x:v>Agressif</x:v>
      </x:c>
      <x:c r="F669" s="25" t="n">
        <x:v>0.8</x:v>
      </x:c>
      <x:c r="G669" s="25" t="n">
        <x:v>-0.18679565312144966</x:v>
      </x:c>
      <x:c r="H669" s="25" t="n">
        <x:v>-2.4501680508300603</x:v>
      </x:c>
      <x:c r="I669" s="25" t="n">
        <x:v>-9683.897488703595</x:v>
      </x:c>
      <x:c r="J669" s="25" t="n">
        <x:v>6726.727511296401</x:v>
      </x:c>
      <x:c r="K669" s="25" t="n">
        <x:v>4.158973332304886</x:v>
      </x:c>
      <x:c r="L669" s="25" t="n">
        <x:v>79.75</x:v>
      </x:c>
      <x:c r="M669" s="34" t="b">
        <x:v>0</x:v>
      </x:c>
      <x:c r="N669" s="25" t="n">
        <x:v>-55.57796219243123</x:v>
      </x:c>
    </x:row>
    <x:row r="670">
      <x:c r="A670" s="25" t="n">
        <x:v>6</x:v>
      </x:c>
      <x:c r="B670" s="25" t="n">
        <x:v>4</x:v>
      </x:c>
      <x:c r="C670" s="25" t="n">
        <x:v>2</x:v>
      </x:c>
      <x:c r="D670" s="25" t="n">
        <x:v>40</x:v>
      </x:c>
      <x:c r="E670" s="25" t="str">
        <x:v>Agressif</x:v>
      </x:c>
      <x:c r="F670" s="25" t="n">
        <x:v>0.8</x:v>
      </x:c>
      <x:c r="G670" s="25" t="n">
        <x:v>-0.1600710817653076</x:v>
      </x:c>
      <x:c r="H670" s="25" t="n">
        <x:v>-2.5423370041926736</x:v>
      </x:c>
      <x:c r="I670" s="25" t="n">
        <x:v>-8298.436932647934</x:v>
      </x:c>
      <x:c r="J670" s="25" t="n">
        <x:v>8112.18806735206</x:v>
      </x:c>
      <x:c r="K670" s="25" t="n">
        <x:v>4.158973332304886</x:v>
      </x:c>
      <x:c r="L670" s="25" t="n">
        <x:v>80.25</x:v>
      </x:c>
      <x:c r="M670" s="34" t="b">
        <x:v>0</x:v>
      </x:c>
      <x:c r="N670" s="25" t="n">
        <x:v>-56.31233460190876</x:v>
      </x:c>
    </x:row>
    <x:row r="671">
      <x:c r="A671" s="25" t="n">
        <x:v>8</x:v>
      </x:c>
      <x:c r="B671" s="25" t="n">
        <x:v>3</x:v>
      </x:c>
      <x:c r="C671" s="25" t="n">
        <x:v>1.5</x:v>
      </x:c>
      <x:c r="D671" s="25" t="n">
        <x:v>35</x:v>
      </x:c>
      <x:c r="E671" s="25" t="str">
        <x:v>Agressif</x:v>
      </x:c>
      <x:c r="F671" s="25" t="n">
        <x:v>1</x:v>
      </x:c>
      <x:c r="G671" s="25" t="n">
        <x:v>-0.18130907215063674</x:v>
      </x:c>
      <x:c r="H671" s="25" t="n">
        <x:v>-2.5132587519768963</x:v>
      </x:c>
      <x:c r="I671" s="25" t="n">
        <x:v>-9940.768335559813</x:v>
      </x:c>
      <x:c r="J671" s="25" t="n">
        <x:v>6469.856664440181</x:v>
      </x:c>
      <x:c r="K671" s="25" t="n">
        <x:v>5.1987166653811085</x:v>
      </x:c>
      <x:c r="L671" s="25" t="n">
        <x:v>79.75</x:v>
      </x:c>
      <x:c r="M671" s="34" t="b">
        <x:v>0</x:v>
      </x:c>
      <x:c r="N671" s="25" t="n">
        <x:v>-56.85346776770743</x:v>
      </x:c>
    </x:row>
    <x:row r="672">
      <x:c r="A672" s="25" t="n">
        <x:v>8</x:v>
      </x:c>
      <x:c r="B672" s="25" t="n">
        <x:v>3</x:v>
      </x:c>
      <x:c r="C672" s="25" t="n">
        <x:v>1.5</x:v>
      </x:c>
      <x:c r="D672" s="25" t="n">
        <x:v>35</x:v>
      </x:c>
      <x:c r="E672" s="25" t="str">
        <x:v>Agressif</x:v>
      </x:c>
      <x:c r="F672" s="25" t="n">
        <x:v>1.2</x:v>
      </x:c>
      <x:c r="G672" s="25" t="n">
        <x:v>-0.18130907215063674</x:v>
      </x:c>
      <x:c r="H672" s="25" t="n">
        <x:v>-2.5499979118316105</x:v>
      </x:c>
      <x:c r="I672" s="25" t="n">
        <x:v>-9940.768335559813</x:v>
      </x:c>
      <x:c r="J672" s="25" t="n">
        <x:v>6469.856664440181</x:v>
      </x:c>
      <x:c r="K672" s="25" t="n">
        <x:v>6.238459998457328</x:v>
      </x:c>
      <x:c r="L672" s="25" t="n">
        <x:v>82.75</x:v>
      </x:c>
      <x:c r="M672" s="34" t="b">
        <x:v>0</x:v>
      </x:c>
      <x:c r="N672" s="25" t="n">
        <x:v>-57.17194676407529</x:v>
      </x:c>
    </x:row>
    <x:row r="673">
      <x:c r="A673" s="25" t="n">
        <x:v>10</x:v>
      </x:c>
      <x:c r="B673" s="25" t="n">
        <x:v>4</x:v>
      </x:c>
      <x:c r="C673" s="25" t="n">
        <x:v>1.5</x:v>
      </x:c>
      <x:c r="D673" s="25" t="n">
        <x:v>40</x:v>
      </x:c>
      <x:c r="E673" s="25" t="str">
        <x:v>Agressif</x:v>
      </x:c>
      <x:c r="F673" s="25" t="n">
        <x:v>1</x:v>
      </x:c>
      <x:c r="G673" s="25" t="n">
        <x:v>-0.1718676469704394</x:v>
      </x:c>
      <x:c r="H673" s="25" t="n">
        <x:v>-2.4734553062027196</x:v>
      </x:c>
      <x:c r="I673" s="25" t="n">
        <x:v>-8909.996817775616</x:v>
      </x:c>
      <x:c r="J673" s="25" t="n">
        <x:v>7500.628182224379</x:v>
      </x:c>
      <x:c r="K673" s="25" t="n">
        <x:v>5.1987166653811085</x:v>
      </x:c>
      <x:c r="L673" s="25" t="n">
        <x:v>70.25</x:v>
      </x:c>
      <x:c r="M673" s="34" t="b">
        <x:v>0</x:v>
      </x:c>
      <x:c r="N673" s="25" t="n">
        <x:v>-57.23910323844217</x:v>
      </x:c>
    </x:row>
    <x:row r="674">
      <x:c r="A674" s="25" t="n">
        <x:v>10</x:v>
      </x:c>
      <x:c r="B674" s="25" t="n">
        <x:v>4</x:v>
      </x:c>
      <x:c r="C674" s="25" t="n">
        <x:v>1.5</x:v>
      </x:c>
      <x:c r="D674" s="25" t="n">
        <x:v>40</x:v>
      </x:c>
      <x:c r="E674" s="25" t="str">
        <x:v>Agressif</x:v>
      </x:c>
      <x:c r="F674" s="25" t="n">
        <x:v>1.2</x:v>
      </x:c>
      <x:c r="G674" s="25" t="n">
        <x:v>-0.1718676469704394</x:v>
      </x:c>
      <x:c r="H674" s="25" t="n">
        <x:v>-2.5092861099851222</x:v>
      </x:c>
      <x:c r="I674" s="25" t="n">
        <x:v>-8909.996817775616</x:v>
      </x:c>
      <x:c r="J674" s="25" t="n">
        <x:v>7500.628182224379</x:v>
      </x:c>
      <x:c r="K674" s="25" t="n">
        <x:v>6.238459998457328</x:v>
      </x:c>
      <x:c r="L674" s="25" t="n">
        <x:v>73.25</x:v>
      </x:c>
      <x:c r="M674" s="34" t="b">
        <x:v>0</x:v>
      </x:c>
      <x:c r="N674" s="25" t="n">
        <x:v>-57.53487333300223</x:v>
      </x:c>
    </x:row>
    <x:row r="675">
      <x:c r="A675" s="25" t="n">
        <x:v>6</x:v>
      </x:c>
      <x:c r="B675" s="25" t="n">
        <x:v>2</x:v>
      </x:c>
      <x:c r="C675" s="25" t="n">
        <x:v>1.5</x:v>
      </x:c>
      <x:c r="D675" s="25" t="n">
        <x:v>40</x:v>
      </x:c>
      <x:c r="E675" s="25" t="str">
        <x:v>Équilibré</x:v>
      </x:c>
      <x:c r="F675" s="25" t="n">
        <x:v>1</x:v>
      </x:c>
      <x:c r="G675" s="25" t="n">
        <x:v>-0.20499786787414512</x:v>
      </x:c>
      <x:c r="H675" s="25" t="n">
        <x:v>-2.5811127102368734</x:v>
      </x:c>
      <x:c r="I675" s="25" t="n">
        <x:v>-11356.62686288</x:v>
      </x:c>
      <x:c r="J675" s="25" t="n">
        <x:v>5053.9981371199965</x:v>
      </x:c>
      <x:c r="K675" s="25" t="n">
        <x:v>5.1987166653811085</x:v>
      </x:c>
      <x:c r="L675" s="25" t="n">
        <x:v>91.25</x:v>
      </x:c>
      <x:c r="M675" s="34" t="b">
        <x:v>0</x:v>
      </x:c>
      <x:c r="N675" s="25" t="n">
        <x:v>-57.55270048899982</x:v>
      </x:c>
    </x:row>
    <x:row r="676">
      <x:c r="A676" s="25" t="n">
        <x:v>6</x:v>
      </x:c>
      <x:c r="B676" s="25" t="n">
        <x:v>2</x:v>
      </x:c>
      <x:c r="C676" s="25" t="n">
        <x:v>2</x:v>
      </x:c>
      <x:c r="D676" s="25" t="n">
        <x:v>35</x:v>
      </x:c>
      <x:c r="E676" s="25" t="str">
        <x:v>Agressif</x:v>
      </x:c>
      <x:c r="F676" s="25" t="n">
        <x:v>1</x:v>
      </x:c>
      <x:c r="G676" s="25" t="n">
        <x:v>-0.1702040880219475</x:v>
      </x:c>
      <x:c r="H676" s="25" t="n">
        <x:v>-2.6532107003773295</x:v>
      </x:c>
      <x:c r="I676" s="25" t="n">
        <x:v>-10009.44410123042</x:v>
      </x:c>
      <x:c r="J676" s="25" t="n">
        <x:v>6401.180898769576</x:v>
      </x:c>
      <x:c r="K676" s="25" t="n">
        <x:v>5.1987166653811085</x:v>
      </x:c>
      <x:c r="L676" s="25" t="n">
        <x:v>89.75</x:v>
      </x:c>
      <x:c r="M676" s="34" t="b">
        <x:v>0</x:v>
      </x:c>
      <x:c r="N676" s="25" t="n">
        <x:v>-57.74149235064036</x:v>
      </x:c>
    </x:row>
    <x:row r="677">
      <x:c r="A677" s="25" t="n">
        <x:v>6</x:v>
      </x:c>
      <x:c r="B677" s="25" t="n">
        <x:v>2</x:v>
      </x:c>
      <x:c r="C677" s="25" t="n">
        <x:v>1.5</x:v>
      </x:c>
      <x:c r="D677" s="25" t="n">
        <x:v>40</x:v>
      </x:c>
      <x:c r="E677" s="25" t="str">
        <x:v>Équilibré</x:v>
      </x:c>
      <x:c r="F677" s="25" t="n">
        <x:v>1.2</x:v>
      </x:c>
      <x:c r="G677" s="25" t="n">
        <x:v>-0.20499786787414512</x:v>
      </x:c>
      <x:c r="H677" s="25" t="n">
        <x:v>-2.6187091416931163</x:v>
      </x:c>
      <x:c r="I677" s="25" t="n">
        <x:v>-11356.62686288</x:v>
      </x:c>
      <x:c r="J677" s="25" t="n">
        <x:v>5053.9981371199965</x:v>
      </x:c>
      <x:c r="K677" s="25" t="n">
        <x:v>6.238459998457328</x:v>
      </x:c>
      <x:c r="L677" s="25" t="n">
        <x:v>94.25</x:v>
      </x:c>
      <x:c r="M677" s="34" t="b">
        <x:v>0</x:v>
      </x:c>
      <x:c r="N677" s="25" t="n">
        <x:v>-57.89261127540589</x:v>
      </x:c>
    </x:row>
    <x:row r="678">
      <x:c r="A678" s="25" t="n">
        <x:v>8</x:v>
      </x:c>
      <x:c r="B678" s="25" t="n">
        <x:v>3</x:v>
      </x:c>
      <x:c r="C678" s="25" t="n">
        <x:v>2</x:v>
      </x:c>
      <x:c r="D678" s="25" t="n">
        <x:v>40</x:v>
      </x:c>
      <x:c r="E678" s="25" t="str">
        <x:v>Agressif</x:v>
      </x:c>
      <x:c r="F678" s="25" t="n">
        <x:v>1</x:v>
      </x:c>
      <x:c r="G678" s="25" t="n">
        <x:v>-0.15642255178300707</x:v>
      </x:c>
      <x:c r="H678" s="25" t="n">
        <x:v>-2.6198441337657092</x:v>
      </x:c>
      <x:c r="I678" s="25" t="n">
        <x:v>-8576.296438382722</x:v>
      </x:c>
      <x:c r="J678" s="25" t="n">
        <x:v>7834.328561617274</x:v>
      </x:c>
      <x:c r="K678" s="25" t="n">
        <x:v>5.1987166653811085</x:v>
      </x:c>
      <x:c r="L678" s="25" t="n">
        <x:v>80.25</x:v>
      </x:c>
      <x:c r="M678" s="34" t="b">
        <x:v>0</x:v>
      </x:c>
      <x:c r="N678" s="25" t="n">
        <x:v>-58.04934369220811</x:v>
      </x:c>
    </x:row>
    <x:row r="679">
      <x:c r="A679" s="25" t="n">
        <x:v>8</x:v>
      </x:c>
      <x:c r="B679" s="25" t="n">
        <x:v>2</x:v>
      </x:c>
      <x:c r="C679" s="25" t="n">
        <x:v>1.5</x:v>
      </x:c>
      <x:c r="D679" s="25" t="n">
        <x:v>35</x:v>
      </x:c>
      <x:c r="E679" s="25" t="str">
        <x:v>Agressif</x:v>
      </x:c>
      <x:c r="F679" s="25" t="n">
        <x:v>0.8</x:v>
      </x:c>
      <x:c r="G679" s="25" t="n">
        <x:v>-0.20865764439399145</x:v>
      </x:c>
      <x:c r="H679" s="25" t="n">
        <x:v>-2.5213057621183275</x:v>
      </x:c>
      <x:c r="I679" s="25" t="n">
        <x:v>-12270.83939127689</x:v>
      </x:c>
      <x:c r="J679" s="25" t="n">
        <x:v>4139.785608723107</x:v>
      </x:c>
      <x:c r="K679" s="25" t="n">
        <x:v>4.158973332304886</x:v>
      </x:c>
      <x:c r="L679" s="25" t="n">
        <x:v>81.75</x:v>
      </x:c>
      <x:c r="M679" s="34" t="b">
        <x:v>0</x:v>
      </x:c>
      <x:c r="N679" s="25" t="n">
        <x:v>-58.15881449462771</x:v>
      </x:c>
    </x:row>
    <x:row r="680">
      <x:c r="A680" s="25" t="n">
        <x:v>6</x:v>
      </x:c>
      <x:c r="B680" s="25" t="n">
        <x:v>2</x:v>
      </x:c>
      <x:c r="C680" s="25" t="n">
        <x:v>2</x:v>
      </x:c>
      <x:c r="D680" s="25" t="n">
        <x:v>35</x:v>
      </x:c>
      <x:c r="E680" s="25" t="str">
        <x:v>Agressif</x:v>
      </x:c>
      <x:c r="F680" s="25" t="n">
        <x:v>1.2</x:v>
      </x:c>
      <x:c r="G680" s="25" t="n">
        <x:v>-0.1702040880219475</x:v>
      </x:c>
      <x:c r="H680" s="25" t="n">
        <x:v>-2.694852128791495</x:v>
      </x:c>
      <x:c r="I680" s="25" t="n">
        <x:v>-10009.44410123042</x:v>
      </x:c>
      <x:c r="J680" s="25" t="n">
        <x:v>6401.180898769576</x:v>
      </x:c>
      <x:c r="K680" s="25" t="n">
        <x:v>6.238459998457328</x:v>
      </x:c>
      <x:c r="L680" s="25" t="n">
        <x:v>92.75</x:v>
      </x:c>
      <x:c r="M680" s="34" t="b">
        <x:v>0</x:v>
      </x:c>
      <x:c r="N680" s="25" t="n">
        <x:v>-58.182528060994485</x:v>
      </x:c>
    </x:row>
    <x:row r="681">
      <x:c r="A681" s="25" t="n">
        <x:v>8</x:v>
      </x:c>
      <x:c r="B681" s="25" t="n">
        <x:v>3</x:v>
      </x:c>
      <x:c r="C681" s="25" t="n">
        <x:v>2</x:v>
      </x:c>
      <x:c r="D681" s="25" t="n">
        <x:v>40</x:v>
      </x:c>
      <x:c r="E681" s="25" t="str">
        <x:v>Agressif</x:v>
      </x:c>
      <x:c r="F681" s="25" t="n">
        <x:v>1.2</x:v>
      </x:c>
      <x:c r="G681" s="25" t="n">
        <x:v>-0.15642255178300707</x:v>
      </x:c>
      <x:c r="H681" s="25" t="n">
        <x:v>-2.6606654224931687</x:v>
      </x:c>
      <x:c r="I681" s="25" t="n">
        <x:v>-8576.296438382722</x:v>
      </x:c>
      <x:c r="J681" s="25" t="n">
        <x:v>7834.328561617274</x:v>
      </x:c>
      <x:c r="K681" s="25" t="n">
        <x:v>6.238459998457328</x:v>
      </x:c>
      <x:c r="L681" s="25" t="n">
        <x:v>83.25</x:v>
      </x:c>
      <x:c r="M681" s="34" t="b">
        <x:v>0</x:v>
      </x:c>
      <x:c r="N681" s="25" t="n">
        <x:v>-58.46987591039459</x:v>
      </x:c>
    </x:row>
    <x:row r="682">
      <x:c r="A682" s="25" t="n">
        <x:v>10</x:v>
      </x:c>
      <x:c r="B682" s="25" t="n">
        <x:v>2</x:v>
      </x:c>
      <x:c r="C682" s="25" t="n">
        <x:v>1.5</x:v>
      </x:c>
      <x:c r="D682" s="25" t="n">
        <x:v>35</x:v>
      </x:c>
      <x:c r="E682" s="25" t="str">
        <x:v>Agressif</x:v>
      </x:c>
      <x:c r="F682" s="25" t="n">
        <x:v>1</x:v>
      </x:c>
      <x:c r="G682" s="25" t="n">
        <x:v>-0.19119755079100775</x:v>
      </x:c>
      <x:c r="H682" s="25" t="n">
        <x:v>-2.5323894484004366</x:v>
      </x:c>
      <x:c r="I682" s="25" t="n">
        <x:v>-11244.037785320277</x:v>
      </x:c>
      <x:c r="J682" s="25" t="n">
        <x:v>5166.587214679717</x:v>
      </x:c>
      <x:c r="K682" s="25" t="n">
        <x:v>5.1987166653811085</x:v>
      </x:c>
      <x:c r="L682" s="25" t="n">
        <x:v>76.75</x:v>
      </x:c>
      <x:c r="M682" s="34" t="b">
        <x:v>0</x:v>
      </x:c>
      <x:c r="N682" s="25" t="n">
        <x:v>-58.47560150351634</x:v>
      </x:c>
    </x:row>
    <x:row r="683">
      <x:c r="A683" s="25" t="n">
        <x:v>8</x:v>
      </x:c>
      <x:c r="B683" s="25" t="n">
        <x:v>4</x:v>
      </x:c>
      <x:c r="C683" s="25" t="n">
        <x:v>1.5</x:v>
      </x:c>
      <x:c r="D683" s="25" t="n">
        <x:v>40</x:v>
      </x:c>
      <x:c r="E683" s="25" t="str">
        <x:v>Agressif</x:v>
      </x:c>
      <x:c r="F683" s="25" t="n">
        <x:v>0.8</x:v>
      </x:c>
      <x:c r="G683" s="25" t="n">
        <x:v>-0.19923550234916776</x:v>
      </x:c>
      <x:c r="H683" s="25" t="n">
        <x:v>-2.50564881883794</x:v>
      </x:c>
      <x:c r="I683" s="25" t="n">
        <x:v>-10328.8066323753</x:v>
      </x:c>
      <x:c r="J683" s="25" t="n">
        <x:v>6081.818367624699</x:v>
      </x:c>
      <x:c r="K683" s="25" t="n">
        <x:v>4.158973332304886</x:v>
      </x:c>
      <x:c r="L683" s="25" t="n">
        <x:v>75.25</x:v>
      </x:c>
      <x:c r="M683" s="34" t="b">
        <x:v>0</x:v>
      </x:c>
      <x:c r="N683" s="25" t="n">
        <x:v>-58.54917310015273</x:v>
      </x:c>
    </x:row>
    <x:row r="684">
      <x:c r="A684" s="25" t="n">
        <x:v>10</x:v>
      </x:c>
      <x:c r="B684" s="25" t="n">
        <x:v>2</x:v>
      </x:c>
      <x:c r="C684" s="25" t="n">
        <x:v>1.5</x:v>
      </x:c>
      <x:c r="D684" s="25" t="n">
        <x:v>35</x:v>
      </x:c>
      <x:c r="E684" s="25" t="str">
        <x:v>Agressif</x:v>
      </x:c>
      <x:c r="F684" s="25" t="n">
        <x:v>1.2</x:v>
      </x:c>
      <x:c r="G684" s="25" t="n">
        <x:v>-0.19119755079100775</x:v>
      </x:c>
      <x:c r="H684" s="25" t="n">
        <x:v>-2.569857435653504</x:v>
      </x:c>
      <x:c r="I684" s="25" t="n">
        <x:v>-11244.037785320277</x:v>
      </x:c>
      <x:c r="J684" s="25" t="n">
        <x:v>5166.587214679717</x:v>
      </x:c>
      <x:c r="K684" s="25" t="n">
        <x:v>6.238459998457328</x:v>
      </x:c>
      <x:c r="L684" s="25" t="n">
        <x:v>79.75</x:v>
      </x:c>
      <x:c r="M684" s="34" t="b">
        <x:v>0</x:v>
      </x:c>
      <x:c r="N684" s="25" t="n">
        <x:v>-58.81230118484304</x:v>
      </x:c>
    </x:row>
    <x:row r="685">
      <x:c r="A685" s="25" t="n">
        <x:v>8</x:v>
      </x:c>
      <x:c r="B685" s="25" t="n">
        <x:v>2</x:v>
      </x:c>
      <x:c r="C685" s="25" t="n">
        <x:v>2</x:v>
      </x:c>
      <x:c r="D685" s="25" t="n">
        <x:v>40</x:v>
      </x:c>
      <x:c r="E685" s="25" t="str">
        <x:v>Agressif</x:v>
      </x:c>
      <x:c r="F685" s="25" t="n">
        <x:v>0.8</x:v>
      </x:c>
      <x:c r="G685" s="25" t="n">
        <x:v>-0.18006905690744437</x:v>
      </x:c>
      <x:c r="H685" s="25" t="n">
        <x:v>-2.6201239628432</x:v>
      </x:c>
      <x:c r="I685" s="25" t="n">
        <x:v>-10589.587949520514</x:v>
      </x:c>
      <x:c r="J685" s="25" t="n">
        <x:v>5821.037050479483</x:v>
      </x:c>
      <x:c r="K685" s="25" t="n">
        <x:v>4.158973332304886</x:v>
      </x:c>
      <x:c r="L685" s="25" t="n">
        <x:v>82.25</x:v>
      </x:c>
      <x:c r="M685" s="34" t="b">
        <x:v>0</x:v>
      </x:c>
      <x:c r="N685" s="25" t="n">
        <x:v>-58.956897200989445</x:v>
      </x:c>
    </x:row>
    <x:row r="686">
      <x:c r="A686" s="25" t="n">
        <x:v>6</x:v>
      </x:c>
      <x:c r="B686" s="25" t="n">
        <x:v>4</x:v>
      </x:c>
      <x:c r="C686" s="25" t="n">
        <x:v>1.5</x:v>
      </x:c>
      <x:c r="D686" s="25" t="n">
        <x:v>35</x:v>
      </x:c>
      <x:c r="E686" s="25" t="str">
        <x:v>Agressif</x:v>
      </x:c>
      <x:c r="F686" s="25" t="n">
        <x:v>1</x:v>
      </x:c>
      <x:c r="G686" s="25" t="n">
        <x:v>-0.20190227935444413</x:v>
      </x:c>
      <x:c r="H686" s="25" t="n">
        <x:v>-2.5855600814348865</x:v>
      </x:c>
      <x:c r="I686" s="25" t="n">
        <x:v>-10467.0582175315</x:v>
      </x:c>
      <x:c r="J686" s="25" t="n">
        <x:v>5943.566782468499</x:v>
      </x:c>
      <x:c r="K686" s="25" t="n">
        <x:v>5.1987166653811085</x:v>
      </x:c>
      <x:c r="L686" s="25" t="n">
        <x:v>82.75</x:v>
      </x:c>
      <x:c r="M686" s="34" t="b">
        <x:v>0</x:v>
      </x:c>
      <x:c r="N686" s="25" t="n">
        <x:v>-59.193627400366594</x:v>
      </x:c>
    </x:row>
    <x:row r="687">
      <x:c r="A687" s="25" t="n">
        <x:v>6</x:v>
      </x:c>
      <x:c r="B687" s="25" t="n">
        <x:v>4</x:v>
      </x:c>
      <x:c r="C687" s="25" t="n">
        <x:v>1.5</x:v>
      </x:c>
      <x:c r="D687" s="25" t="n">
        <x:v>35</x:v>
      </x:c>
      <x:c r="E687" s="25" t="str">
        <x:v>Agressif</x:v>
      </x:c>
      <x:c r="F687" s="25" t="n">
        <x:v>1.2</x:v>
      </x:c>
      <x:c r="G687" s="25" t="n">
        <x:v>-0.20190227935444413</x:v>
      </x:c>
      <x:c r="H687" s="25" t="n">
        <x:v>-2.62270485847991</x:v>
      </x:c>
      <x:c r="I687" s="25" t="n">
        <x:v>-10467.0582175315</x:v>
      </x:c>
      <x:c r="J687" s="25" t="n">
        <x:v>5943.566782468499</x:v>
      </x:c>
      <x:c r="K687" s="25" t="n">
        <x:v>6.238459998457328</x:v>
      </x:c>
      <x:c r="L687" s="25" t="n">
        <x:v>85.75</x:v>
      </x:c>
      <x:c r="M687" s="34" t="b">
        <x:v>0</x:v>
      </x:c>
      <x:c r="N687" s="25" t="n">
        <x:v>-59.522246826492164</x:v>
      </x:c>
    </x:row>
    <x:row r="688">
      <x:c r="A688" s="25" t="n">
        <x:v>10</x:v>
      </x:c>
      <x:c r="B688" s="25" t="n">
        <x:v>2</x:v>
      </x:c>
      <x:c r="C688" s="25" t="n">
        <x:v>2</x:v>
      </x:c>
      <x:c r="D688" s="25" t="n">
        <x:v>40</x:v>
      </x:c>
      <x:c r="E688" s="25" t="str">
        <x:v>Agressif</x:v>
      </x:c>
      <x:c r="F688" s="25" t="n">
        <x:v>1</x:v>
      </x:c>
      <x:c r="G688" s="25" t="n">
        <x:v>-0.1654778362868011</x:v>
      </x:c>
      <x:c r="H688" s="25" t="n">
        <x:v>-2.641843913885487</x:v>
      </x:c>
      <x:c r="I688" s="25" t="n">
        <x:v>-9731.500409624194</x:v>
      </x:c>
      <x:c r="J688" s="25" t="n">
        <x:v>6679.124590375803</x:v>
      </x:c>
      <x:c r="K688" s="25" t="n">
        <x:v>5.1987166653811085</x:v>
      </x:c>
      <x:c r="L688" s="25" t="n">
        <x:v>77.25</x:v>
      </x:c>
      <x:c r="M688" s="34" t="b">
        <x:v>0</x:v>
      </x:c>
      <x:c r="N688" s="25" t="n">
        <x:v>-59.697378842911235</x:v>
      </x:c>
    </x:row>
    <x:row r="689">
      <x:c r="A689" s="25" t="n">
        <x:v>6</x:v>
      </x:c>
      <x:c r="B689" s="25" t="n">
        <x:v>3</x:v>
      </x:c>
      <x:c r="C689" s="25" t="n">
        <x:v>1.5</x:v>
      </x:c>
      <x:c r="D689" s="25" t="n">
        <x:v>35</x:v>
      </x:c>
      <x:c r="E689" s="25" t="str">
        <x:v>Agressif</x:v>
      </x:c>
      <x:c r="F689" s="25" t="n">
        <x:v>0.8</x:v>
      </x:c>
      <x:c r="G689" s="25" t="n">
        <x:v>-0.21985316696860427</x:v>
      </x:c>
      <x:c r="H689" s="25" t="n">
        <x:v>-2.5832796866527916</x:v>
      </x:c>
      <x:c r="I689" s="25" t="n">
        <x:v>-12054.054299380356</x:v>
      </x:c>
      <x:c r="J689" s="25" t="n">
        <x:v>4356.570700619641</x:v>
      </x:c>
      <x:c r="K689" s="25" t="n">
        <x:v>4.158973332304886</x:v>
      </x:c>
      <x:c r="L689" s="25" t="n">
        <x:v>84.75</x:v>
      </x:c>
      <x:c r="M689" s="34" t="b">
        <x:v>0</x:v>
      </x:c>
      <x:c r="N689" s="25" t="n">
        <x:v>-59.723916349593026</x:v>
      </x:c>
    </x:row>
    <x:row r="690">
      <x:c r="A690" s="25" t="n">
        <x:v>10</x:v>
      </x:c>
      <x:c r="B690" s="25" t="n">
        <x:v>3</x:v>
      </x:c>
      <x:c r="C690" s="25" t="n">
        <x:v>1.5</x:v>
      </x:c>
      <x:c r="D690" s="25" t="n">
        <x:v>40</x:v>
      </x:c>
      <x:c r="E690" s="25" t="str">
        <x:v>Agressif</x:v>
      </x:c>
      <x:c r="F690" s="25" t="n">
        <x:v>0.8</x:v>
      </x:c>
      <x:c r="G690" s="25" t="n">
        <x:v>-0.20189781407739577</x:v>
      </x:c>
      <x:c r="H690" s="25" t="n">
        <x:v>-2.5254772978049993</x:v>
      </x:c>
      <x:c r="I690" s="25" t="n">
        <x:v>-11069.602714263681</x:v>
      </x:c>
      <x:c r="J690" s="25" t="n">
        <x:v>5341.022285736316</x:v>
      </x:c>
      <x:c r="K690" s="25" t="n">
        <x:v>4.158973332304886</x:v>
      </x:c>
      <x:c r="L690" s="25" t="n">
        <x:v>72.25</x:v>
      </x:c>
      <x:c r="M690" s="34" t="b">
        <x:v>0</x:v>
      </x:c>
      <x:c r="N690" s="25" t="n">
        <x:v>-59.79131221938175</x:v>
      </x:c>
    </x:row>
    <x:row r="691">
      <x:c r="A691" s="25" t="n">
        <x:v>10</x:v>
      </x:c>
      <x:c r="B691" s="25" t="n">
        <x:v>2</x:v>
      </x:c>
      <x:c r="C691" s="25" t="n">
        <x:v>2</x:v>
      </x:c>
      <x:c r="D691" s="25" t="n">
        <x:v>40</x:v>
      </x:c>
      <x:c r="E691" s="25" t="str">
        <x:v>Agressif</x:v>
      </x:c>
      <x:c r="F691" s="25" t="n">
        <x:v>1.2</x:v>
      </x:c>
      <x:c r="G691" s="25" t="n">
        <x:v>-0.1654778362868011</x:v>
      </x:c>
      <x:c r="H691" s="25" t="n">
        <x:v>-2.6834750108333405</x:v>
      </x:c>
      <x:c r="I691" s="25" t="n">
        <x:v>-9731.500409624194</x:v>
      </x:c>
      <x:c r="J691" s="25" t="n">
        <x:v>6679.124590375803</x:v>
      </x:c>
      <x:c r="K691" s="25" t="n">
        <x:v>6.238459998457328</x:v>
      </x:c>
      <x:c r="L691" s="25" t="n">
        <x:v>80.25</x:v>
      </x:c>
      <x:c r="M691" s="34" t="b">
        <x:v>0</x:v>
      </x:c>
      <x:c r="N691" s="25" t="n">
        <x:v>-60.13815626660758</x:v>
      </x:c>
    </x:row>
    <x:row r="692">
      <x:c r="A692" s="25" t="n">
        <x:v>6</x:v>
      </x:c>
      <x:c r="B692" s="25" t="n">
        <x:v>4</x:v>
      </x:c>
      <x:c r="C692" s="25" t="n">
        <x:v>2</x:v>
      </x:c>
      <x:c r="D692" s="25" t="n">
        <x:v>40</x:v>
      </x:c>
      <x:c r="E692" s="25" t="str">
        <x:v>Agressif</x:v>
      </x:c>
      <x:c r="F692" s="25" t="n">
        <x:v>1</x:v>
      </x:c>
      <x:c r="G692" s="25" t="n">
        <x:v>-0.17685622202419038</x:v>
      </x:c>
      <x:c r="H692" s="25" t="n">
        <x:v>-2.692772593753592</x:v>
      </x:c>
      <x:c r="I692" s="25" t="n">
        <x:v>-9168.615520234496</x:v>
      </x:c>
      <x:c r="J692" s="25" t="n">
        <x:v>7242.009479765498</x:v>
      </x:c>
      <x:c r="K692" s="25" t="n">
        <x:v>5.1987166653811085</x:v>
      </x:c>
      <x:c r="L692" s="25" t="n">
        <x:v>83.25</x:v>
      </x:c>
      <x:c r="M692" s="34" t="b">
        <x:v>0</x:v>
      </x:c>
      <x:c r="N692" s="25" t="n">
        <x:v>-60.39640705517026</x:v>
      </x:c>
    </x:row>
    <x:row r="693">
      <x:c r="A693" s="25" t="n">
        <x:v>6</x:v>
      </x:c>
      <x:c r="B693" s="25" t="n">
        <x:v>3</x:v>
      </x:c>
      <x:c r="C693" s="25" t="n">
        <x:v>2</x:v>
      </x:c>
      <x:c r="D693" s="25" t="n">
        <x:v>40</x:v>
      </x:c>
      <x:c r="E693" s="25" t="str">
        <x:v>Agressif</x:v>
      </x:c>
      <x:c r="F693" s="25" t="n">
        <x:v>0.8</x:v>
      </x:c>
      <x:c r="G693" s="25" t="n">
        <x:v>-0.1915122799470251</x:v>
      </x:c>
      <x:c r="H693" s="25" t="n">
        <x:v>-2.6823484121326437</x:v>
      </x:c>
      <x:c r="I693" s="25" t="n">
        <x:v>-10500.187253655678</x:v>
      </x:c>
      <x:c r="J693" s="25" t="n">
        <x:v>5910.437746344319</x:v>
      </x:c>
      <x:c r="K693" s="25" t="n">
        <x:v>4.158973332304886</x:v>
      </x:c>
      <x:c r="L693" s="25" t="n">
        <x:v>85.25</x:v>
      </x:c>
      <x:c r="M693" s="34" t="b">
        <x:v>0</x:v>
      </x:c>
      <x:c r="N693" s="25" t="n">
        <x:v>-60.541885700402474</x:v>
      </x:c>
    </x:row>
    <x:row r="694">
      <x:c r="A694" s="25" t="n">
        <x:v>6</x:v>
      </x:c>
      <x:c r="B694" s="25" t="n">
        <x:v>4</x:v>
      </x:c>
      <x:c r="C694" s="25" t="n">
        <x:v>2</x:v>
      </x:c>
      <x:c r="D694" s="25" t="n">
        <x:v>40</x:v>
      </x:c>
      <x:c r="E694" s="25" t="str">
        <x:v>Agressif</x:v>
      </x:c>
      <x:c r="F694" s="25" t="n">
        <x:v>1.2</x:v>
      </x:c>
      <x:c r="G694" s="25" t="n">
        <x:v>-0.17685622202419038</x:v>
      </x:c>
      <x:c r="H694" s="25" t="n">
        <x:v>-2.7340445682480614</x:v>
      </x:c>
      <x:c r="I694" s="25" t="n">
        <x:v>-9168.615520234496</x:v>
      </x:c>
      <x:c r="J694" s="25" t="n">
        <x:v>7242.009479765498</x:v>
      </x:c>
      <x:c r="K694" s="25" t="n">
        <x:v>6.238459998457328</x:v>
      </x:c>
      <x:c r="L694" s="25" t="n">
        <x:v>86.25</x:v>
      </x:c>
      <x:c r="M694" s="34" t="b">
        <x:v>0</x:v>
      </x:c>
      <x:c r="N694" s="25" t="n">
        <x:v>-60.828206417532</x:v>
      </x:c>
    </x:row>
    <x:row r="695">
      <x:c r="A695" s="25" t="n">
        <x:v>8</x:v>
      </x:c>
      <x:c r="B695" s="25" t="n">
        <x:v>2</x:v>
      </x:c>
      <x:c r="C695" s="25" t="n">
        <x:v>1.5</x:v>
      </x:c>
      <x:c r="D695" s="25" t="n">
        <x:v>35</x:v>
      </x:c>
      <x:c r="E695" s="25" t="str">
        <x:v>Agressif</x:v>
      </x:c>
      <x:c r="F695" s="25" t="n">
        <x:v>1</x:v>
      </x:c>
      <x:c r="G695" s="25" t="n">
        <x:v>-0.22529108990802568</x:v>
      </x:c>
      <x:c r="H695" s="25" t="n">
        <x:v>-2.663781714917753</x:v>
      </x:c>
      <x:c r="I695" s="25" t="n">
        <x:v>-13249.027077709654</x:v>
      </x:c>
      <x:c r="J695" s="25" t="n">
        <x:v>3161.597922290339</x:v>
      </x:c>
      <x:c r="K695" s="25" t="n">
        <x:v>5.1987166653811085</x:v>
      </x:c>
      <x:c r="L695" s="25" t="n">
        <x:v>84.75</x:v>
      </x:c>
      <x:c r="M695" s="34" t="b">
        <x:v>0</x:v>
      </x:c>
      <x:c r="N695" s="25" t="n">
        <x:v>-62.03555281788525</x:v>
      </x:c>
    </x:row>
    <x:row r="696">
      <x:c r="A696" s="25" t="n">
        <x:v>8</x:v>
      </x:c>
      <x:c r="B696" s="25" t="n">
        <x:v>4</x:v>
      </x:c>
      <x:c r="C696" s="25" t="n">
        <x:v>1.5</x:v>
      </x:c>
      <x:c r="D696" s="25" t="n">
        <x:v>40</x:v>
      </x:c>
      <x:c r="E696" s="25" t="str">
        <x:v>Agressif</x:v>
      </x:c>
      <x:c r="F696" s="25" t="n">
        <x:v>1</x:v>
      </x:c>
      <x:c r="G696" s="25" t="n">
        <x:v>-0.21464767381752264</x:v>
      </x:c>
      <x:c r="H696" s="25" t="n">
        <x:v>-2.644262749083375</x:v>
      </x:c>
      <x:c r="I696" s="25" t="n">
        <x:v>-11127.807498208256</x:v>
      </x:c>
      <x:c r="J696" s="25" t="n">
        <x:v>5282.817501791739</x:v>
      </x:c>
      <x:c r="K696" s="25" t="n">
        <x:v>5.1987166653811085</x:v>
      </x:c>
      <x:c r="L696" s="25" t="n">
        <x:v>78.25</x:v>
      </x:c>
      <x:c r="M696" s="34" t="b">
        <x:v>0</x:v>
      </x:c>
      <x:c r="N696" s="25" t="n">
        <x:v>-62.262190787048134</x:v>
      </x:c>
    </x:row>
    <x:row r="697">
      <x:c r="A697" s="25" t="n">
        <x:v>8</x:v>
      </x:c>
      <x:c r="B697" s="25" t="n">
        <x:v>2</x:v>
      </x:c>
      <x:c r="C697" s="25" t="n">
        <x:v>1.5</x:v>
      </x:c>
      <x:c r="D697" s="25" t="n">
        <x:v>35</x:v>
      </x:c>
      <x:c r="E697" s="25" t="str">
        <x:v>Agressif</x:v>
      </x:c>
      <x:c r="F697" s="25" t="n">
        <x:v>1.2</x:v>
      </x:c>
      <x:c r="G697" s="25" t="n">
        <x:v>-0.22529108990802568</x:v>
      </x:c>
      <x:c r="H697" s="25" t="n">
        <x:v>-2.70291907863526</x:v>
      </x:c>
      <x:c r="I697" s="25" t="n">
        <x:v>-13249.027077709654</x:v>
      </x:c>
      <x:c r="J697" s="25" t="n">
        <x:v>3161.597922290339</x:v>
      </x:c>
      <x:c r="K697" s="25" t="n">
        <x:v>6.238459998457328</x:v>
      </x:c>
      <x:c r="L697" s="25" t="n">
        <x:v>87.75</x:v>
      </x:c>
      <x:c r="M697" s="34" t="b">
        <x:v>0</x:v>
      </x:c>
      <x:c r="N697" s="25" t="n">
        <x:v>-62.41398691082293</x:v>
      </x:c>
    </x:row>
    <x:row r="698">
      <x:c r="A698" s="25" t="n">
        <x:v>8</x:v>
      </x:c>
      <x:c r="B698" s="25" t="n">
        <x:v>4</x:v>
      </x:c>
      <x:c r="C698" s="25" t="n">
        <x:v>1.5</x:v>
      </x:c>
      <x:c r="D698" s="25" t="n">
        <x:v>40</x:v>
      </x:c>
      <x:c r="E698" s="25" t="str">
        <x:v>Agressif</x:v>
      </x:c>
      <x:c r="F698" s="25" t="n">
        <x:v>1.2</x:v>
      </x:c>
      <x:c r="G698" s="25" t="n">
        <x:v>-0.21464767381752264</x:v>
      </x:c>
      <x:c r="H698" s="25" t="n">
        <x:v>-2.682270021150605</x:v>
      </x:c>
      <x:c r="I698" s="25" t="n">
        <x:v>-11127.807498208256</x:v>
      </x:c>
      <x:c r="J698" s="25" t="n">
        <x:v>5282.817501791739</x:v>
      </x:c>
      <x:c r="K698" s="25" t="n">
        <x:v>6.238459998457328</x:v>
      </x:c>
      <x:c r="L698" s="25" t="n">
        <x:v>81.25</x:v>
      </x:c>
      <x:c r="M698" s="34" t="b">
        <x:v>0</x:v>
      </x:c>
      <x:c r="N698" s="25" t="n">
        <x:v>-62.612372588728874</x:v>
      </x:c>
    </x:row>
    <x:row r="699">
      <x:c r="A699" s="25" t="n">
        <x:v>8</x:v>
      </x:c>
      <x:c r="B699" s="25" t="n">
        <x:v>2</x:v>
      </x:c>
      <x:c r="C699" s="25" t="n">
        <x:v>2</x:v>
      </x:c>
      <x:c r="D699" s="25" t="n">
        <x:v>40</x:v>
      </x:c>
      <x:c r="E699" s="25" t="str">
        <x:v>Agressif</x:v>
      </x:c>
      <x:c r="F699" s="25" t="n">
        <x:v>1</x:v>
      </x:c>
      <x:c r="G699" s="25" t="n">
        <x:v>-0.19855066303414917</x:v>
      </x:c>
      <x:c r="H699" s="25" t="n">
        <x:v>-2.778430577064784</x:v>
      </x:c>
      <x:c r="I699" s="25" t="n">
        <x:v>-11676.463156668035</x:v>
      </x:c>
      <x:c r="J699" s="25" t="n">
        <x:v>4734.161843331961</x:v>
      </x:c>
      <x:c r="K699" s="25" t="n">
        <x:v>5.1987166653811085</x:v>
      </x:c>
      <x:c r="L699" s="25" t="n">
        <x:v>85.25</x:v>
      </x:c>
      <x:c r="M699" s="34" t="b">
        <x:v>0</x:v>
      </x:c>
      <x:c r="N699" s="25" t="n">
        <x:v>-63.33105089349782</x:v>
      </x:c>
    </x:row>
    <x:row r="700">
      <x:c r="A700" s="25" t="n">
        <x:v>10</x:v>
      </x:c>
      <x:c r="B700" s="25" t="n">
        <x:v>3</x:v>
      </x:c>
      <x:c r="C700" s="25" t="n">
        <x:v>1.5</x:v>
      </x:c>
      <x:c r="D700" s="25" t="n">
        <x:v>40</x:v>
      </x:c>
      <x:c r="E700" s="25" t="str">
        <x:v>Agressif</x:v>
      </x:c>
      <x:c r="F700" s="25" t="n">
        <x:v>1</x:v>
      </x:c>
      <x:c r="G700" s="25" t="n">
        <x:v>-0.21785549575871488</x:v>
      </x:c>
      <x:c r="H700" s="25" t="n">
        <x:v>-2.6669230169158236</x:v>
      </x:c>
      <x:c r="I700" s="25" t="n">
        <x:v>-11944.52648330048</x:v>
      </x:c>
      <x:c r="J700" s="25" t="n">
        <x:v>4466.098516699516</x:v>
      </x:c>
      <x:c r="K700" s="25" t="n">
        <x:v>5.1987166653811085</x:v>
      </x:c>
      <x:c r="L700" s="25" t="n">
        <x:v>75.25</x:v>
      </x:c>
      <x:c r="M700" s="34" t="b">
        <x:v>0</x:v>
      </x:c>
      <x:c r="N700" s="25" t="n">
        <x:v>-63.60512768962492</x:v>
      </x:c>
    </x:row>
    <x:row r="701">
      <x:c r="A701" s="25" t="n">
        <x:v>6</x:v>
      </x:c>
      <x:c r="B701" s="25" t="n">
        <x:v>3</x:v>
      </x:c>
      <x:c r="C701" s="25" t="n">
        <x:v>1.5</x:v>
      </x:c>
      <x:c r="D701" s="25" t="n">
        <x:v>35</x:v>
      </x:c>
      <x:c r="E701" s="25" t="str">
        <x:v>Agressif</x:v>
      </x:c>
      <x:c r="F701" s="25" t="n">
        <x:v>1</x:v>
      </x:c>
      <x:c r="G701" s="25" t="n">
        <x:v>-0.23616238972187972</x:v>
      </x:c>
      <x:c r="H701" s="25" t="n">
        <x:v>-2.7269674903274654</x:v>
      </x:c>
      <x:c r="I701" s="25" t="n">
        <x:v>-12948.252274143875</x:v>
      </x:c>
      <x:c r="J701" s="25" t="n">
        <x:v>3462.37272585612</x:v>
      </x:c>
      <x:c r="K701" s="25" t="n">
        <x:v>5.1987166653811085</x:v>
      </x:c>
      <x:c r="L701" s="25" t="n">
        <x:v>87.75</x:v>
      </x:c>
      <x:c r="M701" s="34" t="b">
        <x:v>0</x:v>
      </x:c>
      <x:c r="N701" s="25" t="n">
        <x:v>-63.613118692890026</x:v>
      </x:c>
    </x:row>
    <x:row r="702">
      <x:c r="A702" s="25" t="n">
        <x:v>8</x:v>
      </x:c>
      <x:c r="B702" s="25" t="n">
        <x:v>2</x:v>
      </x:c>
      <x:c r="C702" s="25" t="n">
        <x:v>2</x:v>
      </x:c>
      <x:c r="D702" s="25" t="n">
        <x:v>40</x:v>
      </x:c>
      <x:c r="E702" s="25" t="str">
        <x:v>Agressif</x:v>
      </x:c>
      <x:c r="F702" s="25" t="n">
        <x:v>1.2</x:v>
      </x:c>
      <x:c r="G702" s="25" t="n">
        <x:v>-0.19855066303414917</x:v>
      </x:c>
      <x:c r="H702" s="25" t="n">
        <x:v>-2.8219165367509023</x:v>
      </x:c>
      <x:c r="I702" s="25" t="n">
        <x:v>-11676.463156668035</x:v>
      </x:c>
      <x:c r="J702" s="25" t="n">
        <x:v>4734.161843331961</x:v>
      </x:c>
      <x:c r="K702" s="25" t="n">
        <x:v>6.238459998457328</x:v>
      </x:c>
      <x:c r="L702" s="25" t="n">
        <x:v>88.25</x:v>
      </x:c>
      <x:c r="M702" s="34" t="b">
        <x:v>0</x:v>
      </x:c>
      <x:c r="N702" s="25" t="n">
        <x:v>-63.818199885650756</x:v>
      </x:c>
    </x:row>
    <x:row r="703">
      <x:c r="A703" s="25" t="n">
        <x:v>10</x:v>
      </x:c>
      <x:c r="B703" s="25" t="n">
        <x:v>3</x:v>
      </x:c>
      <x:c r="C703" s="25" t="n">
        <x:v>1.5</x:v>
      </x:c>
      <x:c r="D703" s="25" t="n">
        <x:v>40</x:v>
      </x:c>
      <x:c r="E703" s="25" t="str">
        <x:v>Agressif</x:v>
      </x:c>
      <x:c r="F703" s="25" t="n">
        <x:v>1.2</x:v>
      </x:c>
      <x:c r="G703" s="25" t="n">
        <x:v>-0.21785549575871488</x:v>
      </x:c>
      <x:c r="H703" s="25" t="n">
        <x:v>-2.705733023517807</x:v>
      </x:c>
      <x:c r="I703" s="25" t="n">
        <x:v>-11944.52648330048</x:v>
      </x:c>
      <x:c r="J703" s="25" t="n">
        <x:v>4466.098516699516</x:v>
      </x:c>
      <x:c r="K703" s="25" t="n">
        <x:v>6.238459998457328</x:v>
      </x:c>
      <x:c r="L703" s="25" t="n">
        <x:v>78.25</x:v>
      </x:c>
      <x:c r="M703" s="34" t="b">
        <x:v>0</x:v>
      </x:c>
      <x:c r="N703" s="25" t="n">
        <x:v>-63.9753778546745</x:v>
      </x:c>
    </x:row>
    <x:row r="704">
      <x:c r="A704" s="25" t="n">
        <x:v>6</x:v>
      </x:c>
      <x:c r="B704" s="25" t="n">
        <x:v>3</x:v>
      </x:c>
      <x:c r="C704" s="25" t="n">
        <x:v>1.5</x:v>
      </x:c>
      <x:c r="D704" s="25" t="n">
        <x:v>35</x:v>
      </x:c>
      <x:c r="E704" s="25" t="str">
        <x:v>Agressif</x:v>
      </x:c>
      <x:c r="F704" s="25" t="n">
        <x:v>1.2</x:v>
      </x:c>
      <x:c r="G704" s="25" t="n">
        <x:v>-0.23616238972187972</x:v>
      </x:c>
      <x:c r="H704" s="25" t="n">
        <x:v>-2.7664218810515724</x:v>
      </x:c>
      <x:c r="I704" s="25" t="n">
        <x:v>-12948.252274143875</x:v>
      </x:c>
      <x:c r="J704" s="25" t="n">
        <x:v>3462.37272585612</x:v>
      </x:c>
      <x:c r="K704" s="25" t="n">
        <x:v>6.238459998457328</x:v>
      </x:c>
      <x:c r="L704" s="25" t="n">
        <x:v>90.75</x:v>
      </x:c>
      <x:c r="M704" s="34" t="b">
        <x:v>0</x:v>
      </x:c>
      <x:c r="N704" s="25" t="n">
        <x:v>-63.99947846099269</x:v>
      </x:c>
    </x:row>
    <x:row r="705">
      <x:c r="A705" s="25" t="n">
        <x:v>6</x:v>
      </x:c>
      <x:c r="B705" s="25" t="n">
        <x:v>2</x:v>
      </x:c>
      <x:c r="C705" s="25" t="n">
        <x:v>1.5</x:v>
      </x:c>
      <x:c r="D705" s="25" t="n">
        <x:v>35</x:v>
      </x:c>
      <x:c r="E705" s="25" t="str">
        <x:v>Agressif</x:v>
      </x:c>
      <x:c r="F705" s="25" t="n">
        <x:v>0.8</x:v>
      </x:c>
      <x:c r="G705" s="25" t="n">
        <x:v>-0.25870865528370457</x:v>
      </x:c>
      <x:c r="H705" s="25" t="n">
        <x:v>-2.7093268118348255</x:v>
      </x:c>
      <x:c r="I705" s="25" t="n">
        <x:v>-15214.263380282711</x:v>
      </x:c>
      <x:c r="J705" s="25" t="n">
        <x:v>1196.3616197172855</x:v>
      </x:c>
      <x:c r="K705" s="25" t="n">
        <x:v>4.158973332304886</x:v>
      </x:c>
      <x:c r="L705" s="25" t="n">
        <x:v>89.75</x:v>
      </x:c>
      <x:c r="M705" s="34" t="b">
        <x:v>0</x:v>
      </x:c>
      <x:c r="N705" s="25" t="n">
        <x:v>-64.01214633647439</x:v>
      </x:c>
    </x:row>
    <x:row r="706">
      <x:c r="A706" s="25" t="n">
        <x:v>8</x:v>
      </x:c>
      <x:c r="B706" s="25" t="n">
        <x:v>3</x:v>
      </x:c>
      <x:c r="C706" s="25" t="n">
        <x:v>1.5</x:v>
      </x:c>
      <x:c r="D706" s="25" t="n">
        <x:v>40</x:v>
      </x:c>
      <x:c r="E706" s="25" t="str">
        <x:v>Agressif</x:v>
      </x:c>
      <x:c r="F706" s="25" t="n">
        <x:v>0.8</x:v>
      </x:c>
      <x:c r="G706" s="25" t="n">
        <x:v>-0.24148285810342776</x:v>
      </x:c>
      <x:c r="H706" s="25" t="n">
        <x:v>-2.6760381081778375</x:v>
      </x:c>
      <x:c r="I706" s="25" t="n">
        <x:v>-13239.961580193922</x:v>
      </x:c>
      <x:c r="J706" s="25" t="n">
        <x:v>3170.663419806077</x:v>
      </x:c>
      <x:c r="K706" s="25" t="n">
        <x:v>4.158973332304886</x:v>
      </x:c>
      <x:c r="L706" s="25" t="n">
        <x:v>80.25</x:v>
      </x:c>
      <x:c r="M706" s="34" t="b">
        <x:v>0</x:v>
      </x:c>
      <x:c r="N706" s="25" t="n">
        <x:v>-64.13250990013447</x:v>
      </x:c>
    </x:row>
    <x:row r="707">
      <x:c r="A707" s="25" t="n">
        <x:v>6</x:v>
      </x:c>
      <x:c r="B707" s="25" t="n">
        <x:v>2</x:v>
      </x:c>
      <x:c r="C707" s="25" t="n">
        <x:v>2</x:v>
      </x:c>
      <x:c r="D707" s="25" t="n">
        <x:v>40</x:v>
      </x:c>
      <x:c r="E707" s="25" t="str">
        <x:v>Agressif</x:v>
      </x:c>
      <x:c r="F707" s="25" t="n">
        <x:v>0.8</x:v>
      </x:c>
      <x:c r="G707" s="25" t="n">
        <x:v>-0.22846796615534004</x:v>
      </x:c>
      <x:c r="H707" s="25" t="n">
        <x:v>-2.8149291242127252</x:v>
      </x:c>
      <x:c r="I707" s="25" t="n">
        <x:v>-13435.854348332668</x:v>
      </x:c>
      <x:c r="J707" s="25" t="n">
        <x:v>2974.7706516673247</x:v>
      </x:c>
      <x:c r="K707" s="25" t="n">
        <x:v>4.158973332304886</x:v>
      </x:c>
      <x:c r="L707" s="25" t="n">
        <x:v>90.25</x:v>
      </x:c>
      <x:c r="M707" s="34" t="b">
        <x:v>0</x:v>
      </x:c>
      <x:c r="N707" s="25" t="n">
        <x:v>-64.88896624386184</x:v>
      </x:c>
    </x:row>
    <x:row r="708">
      <x:c r="A708" s="25" t="n">
        <x:v>6</x:v>
      </x:c>
      <x:c r="B708" s="25" t="n">
        <x:v>3</x:v>
      </x:c>
      <x:c r="C708" s="25" t="n">
        <x:v>2</x:v>
      </x:c>
      <x:c r="D708" s="25" t="n">
        <x:v>40</x:v>
      </x:c>
      <x:c r="E708" s="25" t="str">
        <x:v>Agressif</x:v>
      </x:c>
      <x:c r="F708" s="25" t="n">
        <x:v>1</x:v>
      </x:c>
      <x:c r="G708" s="25" t="n">
        <x:v>-0.2096336385617756</x:v>
      </x:c>
      <x:c r="H708" s="25" t="n">
        <x:v>-2.842001527326726</x:v>
      </x:c>
      <x:c r="I708" s="25" t="n">
        <x:v>-11493.740558948479</x:v>
      </x:c>
      <x:c r="J708" s="25" t="n">
        <x:v>4916.884441051518</x:v>
      </x:c>
      <x:c r="K708" s="25" t="n">
        <x:v>5.1987166653811085</x:v>
      </x:c>
      <x:c r="L708" s="25" t="n">
        <x:v>88.25</x:v>
      </x:c>
      <x:c r="M708" s="34" t="b">
        <x:v>0</x:v>
      </x:c>
      <x:c r="N708" s="25" t="n">
        <x:v>-64.92988830406581</x:v>
      </x:c>
    </x:row>
    <x:row r="709">
      <x:c r="A709" s="25" t="n">
        <x:v>6</x:v>
      </x:c>
      <x:c r="B709" s="25" t="n">
        <x:v>3</x:v>
      </x:c>
      <x:c r="C709" s="25" t="n">
        <x:v>2</x:v>
      </x:c>
      <x:c r="D709" s="25" t="n">
        <x:v>40</x:v>
      </x:c>
      <x:c r="E709" s="25" t="str">
        <x:v>Agressif</x:v>
      </x:c>
      <x:c r="F709" s="25" t="n">
        <x:v>1.2</x:v>
      </x:c>
      <x:c r="G709" s="25" t="n">
        <x:v>-0.2096336385617756</x:v>
      </x:c>
      <x:c r="H709" s="25" t="n">
        <x:v>-2.8858397392423996</x:v>
      </x:c>
      <x:c r="I709" s="25" t="n">
        <x:v>-11493.740558948479</x:v>
      </x:c>
      <x:c r="J709" s="25" t="n">
        <x:v>4916.884441051518</x:v>
      </x:c>
      <x:c r="K709" s="25" t="n">
        <x:v>6.238459998457328</x:v>
      </x:c>
      <x:c r="L709" s="25" t="n">
        <x:v>91.25</x:v>
      </x:c>
      <x:c r="M709" s="34" t="b">
        <x:v>0</x:v>
      </x:c>
      <x:c r="N709" s="25" t="n">
        <x:v>-65.42584360195765</x:v>
      </x:c>
    </x:row>
    <x:row r="710">
      <x:c r="A710" s="25" t="n">
        <x:v>10</x:v>
      </x:c>
      <x:c r="B710" s="25" t="n">
        <x:v>2</x:v>
      </x:c>
      <x:c r="C710" s="25" t="n">
        <x:v>1.5</x:v>
      </x:c>
      <x:c r="D710" s="25" t="n">
        <x:v>40</x:v>
      </x:c>
      <x:c r="E710" s="25" t="str">
        <x:v>Agressif</x:v>
      </x:c>
      <x:c r="F710" s="25" t="n">
        <x:v>0.8</x:v>
      </x:c>
      <x:c r="G710" s="25" t="n">
        <x:v>-0.25423445827650326</x:v>
      </x:c>
      <x:c r="H710" s="25" t="n">
        <x:v>-2.698532936268819</x:v>
      </x:c>
      <x:c r="I710" s="25" t="n">
        <x:v>-14951.142644688514</x:v>
      </x:c>
      <x:c r="J710" s="25" t="n">
        <x:v>1459.4823553114816</x:v>
      </x:c>
      <x:c r="K710" s="25" t="n">
        <x:v>4.158973332304886</x:v>
      </x:c>
      <x:c r="L710" s="25" t="n">
        <x:v>77.25</x:v>
      </x:c>
      <x:c r="M710" s="34" t="b">
        <x:v>0</x:v>
      </x:c>
      <x:c r="N710" s="25" t="n">
        <x:v>-65.99621861192816</x:v>
      </x:c>
    </x:row>
    <x:row r="711">
      <x:c r="A711" s="25" t="n">
        <x:v>6</x:v>
      </x:c>
      <x:c r="B711" s="25" t="n">
        <x:v>4</x:v>
      </x:c>
      <x:c r="C711" s="25" t="n">
        <x:v>1.5</x:v>
      </x:c>
      <x:c r="D711" s="25" t="n">
        <x:v>40</x:v>
      </x:c>
      <x:c r="E711" s="25" t="str">
        <x:v>Agressif</x:v>
      </x:c>
      <x:c r="F711" s="25" t="n">
        <x:v>0.8</x:v>
      </x:c>
      <x:c r="G711" s="25" t="n">
        <x:v>-0.26203257382926476</x:v>
      </x:c>
      <x:c r="H711" s="25" t="n">
        <x:v>-2.750038323843441</x:v>
      </x:c>
      <x:c r="I711" s="25" t="n">
        <x:v>-13584.344931270656</x:v>
      </x:c>
      <x:c r="J711" s="25" t="n">
        <x:v>2826.2800687293416</x:v>
      </x:c>
      <x:c r="K711" s="25" t="n">
        <x:v>4.158973332304886</x:v>
      </x:c>
      <x:c r="L711" s="25" t="n">
        <x:v>83.25</x:v>
      </x:c>
      <x:c r="M711" s="34" t="b">
        <x:v>0</x:v>
      </x:c>
      <x:c r="N711" s="25" t="n">
        <x:v>-66.51274965669558</x:v>
      </x:c>
    </x:row>
    <x:row r="712">
      <x:c r="A712" s="25" t="n">
        <x:v>6</x:v>
      </x:c>
      <x:c r="B712" s="25" t="n">
        <x:v>2</x:v>
      </x:c>
      <x:c r="C712" s="25" t="n">
        <x:v>1.5</x:v>
      </x:c>
      <x:c r="D712" s="25" t="n">
        <x:v>35</x:v>
      </x:c>
      <x:c r="E712" s="25" t="str">
        <x:v>Agressif</x:v>
      </x:c>
      <x:c r="F712" s="25" t="n">
        <x:v>1</x:v>
      </x:c>
      <x:c r="G712" s="25" t="n">
        <x:v>-0.27643139858355253</x:v>
      </x:c>
      <x:c r="H712" s="25" t="n">
        <x:v>-2.8608701146937285</x:v>
      </x:c>
      <x:c r="I712" s="25" t="n">
        <x:v>-16256.511016293716</x:v>
      </x:c>
      <x:c r="J712" s="25" t="n">
        <x:v>154.11398370627782</x:v>
      </x:c>
      <x:c r="K712" s="25" t="n">
        <x:v>5.1987166653811085</x:v>
      </x:c>
      <x:c r="L712" s="25" t="n">
        <x:v>92.75</x:v>
      </x:c>
      <x:c r="M712" s="34" t="b">
        <x:v>0</x:v>
      </x:c>
      <x:c r="N712" s="25" t="n">
        <x:v>-68.1754797894386</x:v>
      </x:c>
    </x:row>
    <x:row r="713">
      <x:c r="A713" s="25" t="n">
        <x:v>8</x:v>
      </x:c>
      <x:c r="B713" s="25" t="n">
        <x:v>3</x:v>
      </x:c>
      <x:c r="C713" s="25" t="n">
        <x:v>1.5</x:v>
      </x:c>
      <x:c r="D713" s="25" t="n">
        <x:v>40</x:v>
      </x:c>
      <x:c r="E713" s="25" t="str">
        <x:v>Agressif</x:v>
      </x:c>
      <x:c r="F713" s="25" t="n">
        <x:v>1</x:v>
      </x:c>
      <x:c r="G713" s="25" t="n">
        <x:v>-0.2583060105581194</x:v>
      </x:c>
      <x:c r="H713" s="25" t="n">
        <x:v>-2.8247667857219647</x:v>
      </x:c>
      <x:c r="I713" s="25" t="n">
        <x:v>-14162.337163733118</x:v>
      </x:c>
      <x:c r="J713" s="25" t="n">
        <x:v>2248.2878362668766</x:v>
      </x:c>
      <x:c r="K713" s="25" t="n">
        <x:v>5.1987166653811085</x:v>
      </x:c>
      <x:c r="L713" s="25" t="n">
        <x:v>83.25</x:v>
      </x:c>
      <x:c r="M713" s="34" t="b">
        <x:v>0</x:v>
      </x:c>
      <x:c r="N713" s="25" t="n">
        <x:v>-68.17600022374569</x:v>
      </x:c>
    </x:row>
    <x:row r="714">
      <x:c r="A714" s="25" t="n">
        <x:v>8</x:v>
      </x:c>
      <x:c r="B714" s="25" t="n">
        <x:v>3</x:v>
      </x:c>
      <x:c r="C714" s="25" t="n">
        <x:v>1.5</x:v>
      </x:c>
      <x:c r="D714" s="25" t="n">
        <x:v>40</x:v>
      </x:c>
      <x:c r="E714" s="25" t="str">
        <x:v>Agressif</x:v>
      </x:c>
      <x:c r="F714" s="25" t="n">
        <x:v>1.2</x:v>
      </x:c>
      <x:c r="G714" s="25" t="n">
        <x:v>-0.2583060105581194</x:v>
      </x:c>
      <x:c r="H714" s="25" t="n">
        <x:v>-2.8655880744494255</x:v>
      </x:c>
      <x:c r="I714" s="25" t="n">
        <x:v>-14162.337163733118</x:v>
      </x:c>
      <x:c r="J714" s="25" t="n">
        <x:v>2248.2878362668766</x:v>
      </x:c>
      <x:c r="K714" s="25" t="n">
        <x:v>6.238459998457328</x:v>
      </x:c>
      <x:c r="L714" s="25" t="n">
        <x:v>86.25</x:v>
      </x:c>
      <x:c r="M714" s="34" t="b">
        <x:v>0</x:v>
      </x:c>
      <x:c r="N714" s="25" t="n">
        <x:v>-68.5965324419322</x:v>
      </x:c>
    </x:row>
    <x:row r="715">
      <x:c r="A715" s="25" t="n">
        <x:v>6</x:v>
      </x:c>
      <x:c r="B715" s="25" t="n">
        <x:v>2</x:v>
      </x:c>
      <x:c r="C715" s="25" t="n">
        <x:v>1.5</x:v>
      </x:c>
      <x:c r="D715" s="25" t="n">
        <x:v>35</x:v>
      </x:c>
      <x:c r="E715" s="25" t="str">
        <x:v>Agressif</x:v>
      </x:c>
      <x:c r="F715" s="25" t="n">
        <x:v>1.2</x:v>
      </x:c>
      <x:c r="G715" s="25" t="n">
        <x:v>-0.27643139858355253</x:v>
      </x:c>
      <x:c r="H715" s="25" t="n">
        <x:v>-2.9025115431078934</x:v>
      </x:c>
      <x:c r="I715" s="25" t="n">
        <x:v>-16256.511016293716</x:v>
      </x:c>
      <x:c r="J715" s="25" t="n">
        <x:v>154.11398370627782</x:v>
      </x:c>
      <x:c r="K715" s="25" t="n">
        <x:v>6.238459998457328</x:v>
      </x:c>
      <x:c r="L715" s="25" t="n">
        <x:v>95.75</x:v>
      </x:c>
      <x:c r="M715" s="34" t="b">
        <x:v>0</x:v>
      </x:c>
      <x:c r="N715" s="25" t="n">
        <x:v>-68.61651549979271</x:v>
      </x:c>
    </x:row>
    <x:row r="716">
      <x:c r="A716" s="25" t="n">
        <x:v>6</x:v>
      </x:c>
      <x:c r="B716" s="25" t="n">
        <x:v>2</x:v>
      </x:c>
      <x:c r="C716" s="25" t="n">
        <x:v>2</x:v>
      </x:c>
      <x:c r="D716" s="25" t="n">
        <x:v>40</x:v>
      </x:c>
      <x:c r="E716" s="25" t="str">
        <x:v>Agressif</x:v>
      </x:c>
      <x:c r="F716" s="25" t="n">
        <x:v>1</x:v>
      </x:c>
      <x:c r="G716" s="25" t="n">
        <x:v>-0.24815990315517117</x:v>
      </x:c>
      <x:c r="H716" s="25" t="n">
        <x:v>-2.9833105718337283</x:v>
      </x:c>
      <x:c r="I716" s="25" t="n">
        <x:v>-14593.907277233791</x:v>
      </x:c>
      <x:c r="J716" s="25" t="n">
        <x:v>1816.717722766204</x:v>
      </x:c>
      <x:c r="K716" s="25" t="n">
        <x:v>5.1987166653811085</x:v>
      </x:c>
      <x:c r="L716" s="25" t="n">
        <x:v>93.25</x:v>
      </x:c>
      <x:c r="M716" s="34" t="b">
        <x:v>0</x:v>
      </x:c>
      <x:c r="N716" s="25" t="n">
        <x:v>-69.58155896937761</x:v>
      </x:c>
    </x:row>
    <x:row r="717">
      <x:c r="A717" s="25" t="n">
        <x:v>8</x:v>
      </x:c>
      <x:c r="B717" s="25" t="n">
        <x:v>2</x:v>
      </x:c>
      <x:c r="C717" s="25" t="n">
        <x:v>1.5</x:v>
      </x:c>
      <x:c r="D717" s="25" t="n">
        <x:v>40</x:v>
      </x:c>
      <x:c r="E717" s="25" t="str">
        <x:v>Agressif</x:v>
      </x:c>
      <x:c r="F717" s="25" t="n">
        <x:v>0.8</x:v>
      </x:c>
      <x:c r="G717" s="25" t="n">
        <x:v>-0.29113999945541796</x:v>
      </x:c>
      <x:c r="H717" s="25" t="n">
        <x:v>-2.8373844844758915</x:v>
      </x:c>
      <x:c r="I717" s="25" t="n">
        <x:v>-17121.501510618753</x:v>
      </x:c>
      <x:c r="J717" s="25" t="n">
        <x:v>-710.8765106187577</x:v>
      </x:c>
      <x:c r="K717" s="25" t="n">
        <x:v>4.158973332304886</x:v>
      </x:c>
      <x:c r="L717" s="25" t="n">
        <x:v>85.25</x:v>
      </x:c>
      <x:c r="M717" s="34" t="b">
        <x:v>0</x:v>
      </x:c>
      <x:c r="N717" s="25" t="n">
        <x:v>-69.89731208194529</x:v>
      </x:c>
    </x:row>
    <x:row r="718">
      <x:c r="A718" s="25" t="n">
        <x:v>6</x:v>
      </x:c>
      <x:c r="B718" s="25" t="n">
        <x:v>2</x:v>
      </x:c>
      <x:c r="C718" s="25" t="n">
        <x:v>2</x:v>
      </x:c>
      <x:c r="D718" s="25" t="n">
        <x:v>40</x:v>
      </x:c>
      <x:c r="E718" s="25" t="str">
        <x:v>Agressif</x:v>
      </x:c>
      <x:c r="F718" s="25" t="n">
        <x:v>1.2</x:v>
      </x:c>
      <x:c r="G718" s="25" t="n">
        <x:v>-0.24815990315517117</x:v>
      </x:c>
      <x:c r="H718" s="25" t="n">
        <x:v>-3.029578825627245</x:v>
      </x:c>
      <x:c r="I718" s="25" t="n">
        <x:v>-14593.907277233791</x:v>
      </x:c>
      <x:c r="J718" s="25" t="n">
        <x:v>1816.717722766204</x:v>
      </x:c>
      <x:c r="K718" s="25" t="n">
        <x:v>6.238459998457328</x:v>
      </x:c>
      <x:c r="L718" s="25" t="n">
        <x:v>96.25</x:v>
      </x:c>
      <x:c r="M718" s="34" t="b">
        <x:v>0</x:v>
      </x:c>
      <x:c r="N718" s="25" t="n">
        <x:v>-70.13826531421554</x:v>
      </x:c>
    </x:row>
    <x:row r="719">
      <x:c r="A719" s="25" t="n">
        <x:v>10</x:v>
      </x:c>
      <x:c r="B719" s="25" t="n">
        <x:v>2</x:v>
      </x:c>
      <x:c r="C719" s="25" t="n">
        <x:v>1.5</x:v>
      </x:c>
      <x:c r="D719" s="25" t="n">
        <x:v>40</x:v>
      </x:c>
      <x:c r="E719" s="25" t="str">
        <x:v>Agressif</x:v>
      </x:c>
      <x:c r="F719" s="25" t="n">
        <x:v>1</x:v>
      </x:c>
      <x:c r="G719" s="25" t="n">
        <x:v>-0.27190917715445717</x:v>
      </x:c>
      <x:c r="H719" s="25" t="n">
        <x:v>-2.8501229948907905</x:v>
      </x:c>
      <x:c r="I719" s="25" t="n">
        <x:v>-15990.566037333636</x:v>
      </x:c>
      <x:c r="J719" s="25" t="n">
        <x:v>420.0589626663621</x:v>
      </x:c>
      <x:c r="K719" s="25" t="n">
        <x:v>5.1987166653811085</x:v>
      </x:c>
      <x:c r="L719" s="25" t="n">
        <x:v>80.25</x:v>
      </x:c>
      <x:c r="M719" s="34" t="b">
        <x:v>0</x:v>
      </x:c>
      <x:c r="N719" s="25" t="n">
        <x:v>-70.15807961576492</x:v>
      </x:c>
    </x:row>
    <x:row r="720">
      <x:c r="A720" s="25" t="n">
        <x:v>6</x:v>
      </x:c>
      <x:c r="B720" s="25" t="n">
        <x:v>4</x:v>
      </x:c>
      <x:c r="C720" s="25" t="n">
        <x:v>1.5</x:v>
      </x:c>
      <x:c r="D720" s="25" t="n">
        <x:v>40</x:v>
      </x:c>
      <x:c r="E720" s="25" t="str">
        <x:v>Agressif</x:v>
      </x:c>
      <x:c r="F720" s="25" t="n">
        <x:v>1</x:v>
      </x:c>
      <x:c r="G720" s="25" t="n">
        <x:v>-0.27881771408814743</x:v>
      </x:c>
      <x:c r="H720" s="25" t="n">
        <x:v>-2.900473913404359</x:v>
      </x:c>
      <x:c r="I720" s="25" t="n">
        <x:v>-14454.523518857213</x:v>
      </x:c>
      <x:c r="J720" s="25" t="n">
        <x:v>1956.1014811427815</x:v>
      </x:c>
      <x:c r="K720" s="25" t="n">
        <x:v>5.1987166653811085</x:v>
      </x:c>
      <x:c r="L720" s="25" t="n">
        <x:v>86.25</x:v>
      </x:c>
      <x:c r="M720" s="34" t="b">
        <x:v>0</x:v>
      </x:c>
      <x:c r="N720" s="25" t="n">
        <x:v>-70.59682210995709</x:v>
      </x:c>
    </x:row>
    <x:row r="721">
      <x:c r="A721" s="25" t="n">
        <x:v>10</x:v>
      </x:c>
      <x:c r="B721" s="25" t="n">
        <x:v>2</x:v>
      </x:c>
      <x:c r="C721" s="25" t="n">
        <x:v>1.5</x:v>
      </x:c>
      <x:c r="D721" s="25" t="n">
        <x:v>40</x:v>
      </x:c>
      <x:c r="E721" s="25" t="str">
        <x:v>Agressif</x:v>
      </x:c>
      <x:c r="F721" s="25" t="n">
        <x:v>1.2</x:v>
      </x:c>
      <x:c r="G721" s="25" t="n">
        <x:v>-0.27190917715445717</x:v>
      </x:c>
      <x:c r="H721" s="25" t="n">
        <x:v>-2.891754091838644</x:v>
      </x:c>
      <x:c r="I721" s="25" t="n">
        <x:v>-15990.566037333636</x:v>
      </x:c>
      <x:c r="J721" s="25" t="n">
        <x:v>420.0589626663621</x:v>
      </x:c>
      <x:c r="K721" s="25" t="n">
        <x:v>6.238459998457328</x:v>
      </x:c>
      <x:c r="L721" s="25" t="n">
        <x:v>83.25</x:v>
      </x:c>
      <x:c r="M721" s="34" t="b">
        <x:v>0</x:v>
      </x:c>
      <x:c r="N721" s="25" t="n">
        <x:v>-70.59885703946125</x:v>
      </x:c>
    </x:row>
    <x:row r="722">
      <x:c r="A722" s="25" t="n">
        <x:v>6</x:v>
      </x:c>
      <x:c r="B722" s="25" t="n">
        <x:v>4</x:v>
      </x:c>
      <x:c r="C722" s="25" t="n">
        <x:v>1.5</x:v>
      </x:c>
      <x:c r="D722" s="25" t="n">
        <x:v>40</x:v>
      </x:c>
      <x:c r="E722" s="25" t="str">
        <x:v>Agressif</x:v>
      </x:c>
      <x:c r="F722" s="25" t="n">
        <x:v>1.2</x:v>
      </x:c>
      <x:c r="G722" s="25" t="n">
        <x:v>-0.27881771408814743</x:v>
      </x:c>
      <x:c r="H722" s="25" t="n">
        <x:v>-2.9417458878988296</x:v>
      </x:c>
      <x:c r="I722" s="25" t="n">
        <x:v>-14454.523518857213</x:v>
      </x:c>
      <x:c r="J722" s="25" t="n">
        <x:v>1956.1014811427815</x:v>
      </x:c>
      <x:c r="K722" s="25" t="n">
        <x:v>6.238459998457328</x:v>
      </x:c>
      <x:c r="L722" s="25" t="n">
        <x:v>89.25</x:v>
      </x:c>
      <x:c r="M722" s="34" t="b">
        <x:v>0</x:v>
      </x:c>
      <x:c r="N722" s="25" t="n">
        <x:v>-71.02862147231886</x:v>
      </x:c>
    </x:row>
    <x:row r="723">
      <x:c r="A723" s="25" t="n">
        <x:v>6</x:v>
      </x:c>
      <x:c r="B723" s="25" t="n">
        <x:v>3</x:v>
      </x:c>
      <x:c r="C723" s="25" t="n">
        <x:v>1.5</x:v>
      </x:c>
      <x:c r="D723" s="25" t="n">
        <x:v>40</x:v>
      </x:c>
      <x:c r="E723" s="25" t="str">
        <x:v>Agressif</x:v>
      </x:c>
      <x:c r="F723" s="25" t="n">
        <x:v>0.8</x:v>
      </x:c>
      <x:c r="G723" s="25" t="n">
        <x:v>-0.3008604241424757</x:v>
      </x:c>
      <x:c r="H723" s="25" t="n">
        <x:v>-2.901879323737095</x:v>
      </x:c>
      <x:c r="I723" s="25" t="n">
        <x:v>-16495.49987908928</x:v>
      </x:c>
      <x:c r="J723" s="25" t="n">
        <x:v>-84.87487908928173</x:v>
      </x:c>
      <x:c r="K723" s="25" t="n">
        <x:v>4.158973332304886</x:v>
      </x:c>
      <x:c r="L723" s="25" t="n">
        <x:v>88.25</x:v>
      </x:c>
      <x:c r="M723" s="34" t="b">
        <x:v>0</x:v>
      </x:c>
      <x:c r="N723" s="25" t="n">
        <x:v>-71.44430642126353</x:v>
      </x:c>
    </x:row>
    <x:row r="724">
      <x:c r="A724" s="25" t="n">
        <x:v>8</x:v>
      </x:c>
      <x:c r="B724" s="25" t="n">
        <x:v>2</x:v>
      </x:c>
      <x:c r="C724" s="25" t="n">
        <x:v>1.5</x:v>
      </x:c>
      <x:c r="D724" s="25" t="n">
        <x:v>40</x:v>
      </x:c>
      <x:c r="E724" s="25" t="str">
        <x:v>Agressif</x:v>
      </x:c>
      <x:c r="F724" s="25" t="n">
        <x:v>1</x:v>
      </x:c>
      <x:c r="G724" s="25" t="n">
        <x:v>-0.30962160558212276</x:v>
      </x:c>
      <x:c r="H724" s="25" t="n">
        <x:v>-2.9956910986974763</x:v>
      </x:c>
      <x:c r="I724" s="25" t="n">
        <x:v>-18208.376717766274</x:v>
      </x:c>
      <x:c r="J724" s="25" t="n">
        <x:v>-1797.7517177662774</x:v>
      </x:c>
      <x:c r="K724" s="25" t="n">
        <x:v>5.1987166653811085</x:v>
      </x:c>
      <x:c r="L724" s="25" t="n">
        <x:v>88.25</x:v>
      </x:c>
      <x:c r="M724" s="34" t="b">
        <x:v>0</x:v>
      </x:c>
      <x:c r="N724" s="25" t="n">
        <x:v>-74.27146577445366</x:v>
      </x:c>
    </x:row>
    <x:row r="725">
      <x:c r="A725" s="25" t="n">
        <x:v>8</x:v>
      </x:c>
      <x:c r="B725" s="25" t="n">
        <x:v>2</x:v>
      </x:c>
      <x:c r="C725" s="25" t="n">
        <x:v>1.5</x:v>
      </x:c>
      <x:c r="D725" s="25" t="n">
        <x:v>40</x:v>
      </x:c>
      <x:c r="E725" s="25" t="str">
        <x:v>Agressif</x:v>
      </x:c>
      <x:c r="F725" s="25" t="n">
        <x:v>1.2</x:v>
      </x:c>
      <x:c r="G725" s="25" t="n">
        <x:v>-0.30962160558212276</x:v>
      </x:c>
      <x:c r="H725" s="25" t="n">
        <x:v>-3.0391770583835953</x:v>
      </x:c>
      <x:c r="I725" s="25" t="n">
        <x:v>-18208.376717766274</x:v>
      </x:c>
      <x:c r="J725" s="25" t="n">
        <x:v>-1797.7517177662774</x:v>
      </x:c>
      <x:c r="K725" s="25" t="n">
        <x:v>6.238459998457328</x:v>
      </x:c>
      <x:c r="L725" s="25" t="n">
        <x:v>91.25</x:v>
      </x:c>
      <x:c r="M725" s="34" t="b">
        <x:v>0</x:v>
      </x:c>
      <x:c r="N725" s="25" t="n">
        <x:v>-74.75861476660664</x:v>
      </x:c>
    </x:row>
    <x:row r="726">
      <x:c r="A726" s="25" t="n">
        <x:v>6</x:v>
      </x:c>
      <x:c r="B726" s="25" t="n">
        <x:v>3</x:v>
      </x:c>
      <x:c r="C726" s="25" t="n">
        <x:v>1.5</x:v>
      </x:c>
      <x:c r="D726" s="25" t="n">
        <x:v>40</x:v>
      </x:c>
      <x:c r="E726" s="25" t="str">
        <x:v>Agressif</x:v>
      </x:c>
      <x:c r="F726" s="25" t="n">
        <x:v>1</x:v>
      </x:c>
      <x:c r="G726" s="25" t="n">
        <x:v>-0.3189817827572262</x:v>
      </x:c>
      <x:c r="H726" s="25" t="n">
        <x:v>-3.061532438931177</x:v>
      </x:c>
      <x:c r="I726" s="25" t="n">
        <x:v>-17489.05318438208</x:v>
      </x:c>
      <x:c r="J726" s="25" t="n">
        <x:v>-1078.4281843820818</x:v>
      </x:c>
      <x:c r="K726" s="25" t="n">
        <x:v>5.1987166653811085</x:v>
      </x:c>
      <x:c r="L726" s="25" t="n">
        <x:v>91.25</x:v>
      </x:c>
      <x:c r="M726" s="34" t="b">
        <x:v>0</x:v>
      </x:c>
      <x:c r="N726" s="25" t="n">
        <x:v>-75.83230902492687</x:v>
      </x:c>
    </x:row>
    <x:row r="727">
      <x:c r="A727" s="25" t="n">
        <x:v>6</x:v>
      </x:c>
      <x:c r="B727" s="25" t="n">
        <x:v>3</x:v>
      </x:c>
      <x:c r="C727" s="25" t="n">
        <x:v>1.5</x:v>
      </x:c>
      <x:c r="D727" s="25" t="n">
        <x:v>40</x:v>
      </x:c>
      <x:c r="E727" s="25" t="str">
        <x:v>Agressif</x:v>
      </x:c>
      <x:c r="F727" s="25" t="n">
        <x:v>1.2</x:v>
      </x:c>
      <x:c r="G727" s="25" t="n">
        <x:v>-0.3189817827572262</x:v>
      </x:c>
      <x:c r="H727" s="25" t="n">
        <x:v>-3.1053706508468517</x:v>
      </x:c>
      <x:c r="I727" s="25" t="n">
        <x:v>-17489.05318438208</x:v>
      </x:c>
      <x:c r="J727" s="25" t="n">
        <x:v>-1078.4281843820818</x:v>
      </x:c>
      <x:c r="K727" s="25" t="n">
        <x:v>6.238459998457328</x:v>
      </x:c>
      <x:c r="L727" s="25" t="n">
        <x:v>94.25</x:v>
      </x:c>
      <x:c r="M727" s="34" t="b">
        <x:v>0</x:v>
      </x:c>
      <x:c r="N727" s="25" t="n">
        <x:v>-76.32826432281874</x:v>
      </x:c>
    </x:row>
    <x:row r="728">
      <x:c r="A728" s="25" t="n">
        <x:v>6</x:v>
      </x:c>
      <x:c r="B728" s="25" t="n">
        <x:v>2</x:v>
      </x:c>
      <x:c r="C728" s="25" t="n">
        <x:v>1.5</x:v>
      </x:c>
      <x:c r="D728" s="25" t="n">
        <x:v>40</x:v>
      </x:c>
      <x:c r="E728" s="25" t="str">
        <x:v>Agressif</x:v>
      </x:c>
      <x:c r="F728" s="25" t="n">
        <x:v>0.8</x:v>
      </x:c>
      <x:c r="G728" s="25" t="n">
        <x:v>-0.34649831122379016</x:v>
      </x:c>
      <x:c r="H728" s="25" t="n">
        <x:v>-3.0456618067865016</x:v>
      </x:c>
      <x:c r="I728" s="25" t="n">
        <x:v>-20377.039809514114</x:v>
      </x:c>
      <x:c r="J728" s="25" t="n">
        <x:v>-3966.414809514116</x:v>
      </x:c>
      <x:c r="K728" s="25" t="n">
        <x:v>4.158973332304886</x:v>
      </x:c>
      <x:c r="L728" s="25" t="n">
        <x:v>93.25</x:v>
      </x:c>
      <x:c r="M728" s="34" t="b">
        <x:v>0</x:v>
      </x:c>
      <x:c r="N728" s="25" t="n">
        <x:v>-76.54895228697099</x:v>
      </x:c>
    </x:row>
    <x:row r="729">
      <x:c r="A729" s="25" t="n">
        <x:v>6</x:v>
      </x:c>
      <x:c r="B729" s="25" t="n">
        <x:v>2</x:v>
      </x:c>
      <x:c r="C729" s="25" t="n">
        <x:v>1.5</x:v>
      </x:c>
      <x:c r="D729" s="25" t="n">
        <x:v>40</x:v>
      </x:c>
      <x:c r="E729" s="25" t="str">
        <x:v>Agressif</x:v>
      </x:c>
      <x:c r="F729" s="25" t="n">
        <x:v>1</x:v>
      </x:c>
      <x:c r="G729" s="25" t="n">
        <x:v>-0.36619024822362123</x:v>
      </x:c>
      <x:c r="H729" s="25" t="n">
        <x:v>-3.2140432544075055</x:v>
      </x:c>
      <x:c r="I729" s="25" t="n">
        <x:v>-21535.092738415235</x:v>
      </x:c>
      <x:c r="J729" s="25" t="n">
        <x:v>-5124.467738415236</x:v>
      </x:c>
      <x:c r="K729" s="25" t="n">
        <x:v>5.1987166653811085</x:v>
      </x:c>
      <x:c r="L729" s="25" t="n">
        <x:v>96.25</x:v>
      </x:c>
      <x:c r="M729" s="34" t="b">
        <x:v>0</x:v>
      </x:c>
      <x:c r="N729" s="25" t="n">
        <x:v>-81.2415450124868</x:v>
      </x:c>
    </x:row>
    <x:row r="730">
      <x:c r="A730" s="26" t="n">
        <x:v>6</x:v>
      </x:c>
      <x:c r="B730" s="26" t="n">
        <x:v>2</x:v>
      </x:c>
      <x:c r="C730" s="26" t="n">
        <x:v>1.5</x:v>
      </x:c>
      <x:c r="D730" s="26" t="n">
        <x:v>40</x:v>
      </x:c>
      <x:c r="E730" s="26" t="str">
        <x:v>Agressif</x:v>
      </x:c>
      <x:c r="F730" s="26" t="n">
        <x:v>1.2</x:v>
      </x:c>
      <x:c r="G730" s="26" t="n">
        <x:v>-0.36619024822362123</x:v>
      </x:c>
      <x:c r="H730" s="26" t="n">
        <x:v>-3.2603115082010214</x:v>
      </x:c>
      <x:c r="I730" s="26" t="n">
        <x:v>-21535.092738415235</x:v>
      </x:c>
      <x:c r="J730" s="26" t="n">
        <x:v>-5124.467738415236</x:v>
      </x:c>
      <x:c r="K730" s="26" t="n">
        <x:v>6.238459998457328</x:v>
      </x:c>
      <x:c r="L730" s="26" t="n">
        <x:v>99.25</x:v>
      </x:c>
      <x:c r="M730" s="35" t="b">
        <x:v>0</x:v>
      </x:c>
      <x:c r="N730" s="26" t="n">
        <x:v>-81.79825135732472</x:v>
      </x:c>
    </x:row>
  </x:sheetData>
  <x:conditionalFormatting sqref="A2:N730">
    <x:cfRule type="expression" dxfId="9" priority="1">
      <x:formula>MOD(ROW(),2)=0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5.890000343322754" hidden="0" customWidth="1"/>
    <x:col min="2" max="2" width="6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10.4399995803833" hidden="0" customWidth="1"/>
  </x:cols>
  <x:sheetData>
    <x:row r="1" ht="15" hidden="0" customHeight="1">
      <x:c r="A1" s="22" t="str">
        <x:v>Concurrent</x:v>
      </x:c>
      <x:c r="B1" s="22" t="str">
        <x:v>Univers</x:v>
      </x:c>
      <x:c r="C1" s="22" t="str">
        <x:v>Offre_prix_current</x:v>
      </x:c>
      <x:c r="D1" s="22" t="str">
        <x:v>Evaluation_risque</x:v>
      </x:c>
      <x:c r="E1" s="22" t="str">
        <x:v>Leverage</x:v>
      </x:c>
      <x:c r="F1" s="22" t="str">
        <x:v>Performance_payout</x:v>
      </x:c>
      <x:c r="G1" s="22" t="str">
        <x:v>Signal_WARIBA</x:v>
      </x:c>
      <x:c r="H1" s="22" t="str">
        <x:v>Source_officielle</x:v>
      </x:c>
      <x:c r="I1" s="22" t="str">
        <x:v>Date_controle</x:v>
      </x:c>
    </x:row>
    <x:row r="2" ht="15" hidden="0" customHeight="1">
      <x:c r="A2" s="25" t="str">
        <x:v>FTMO</x:v>
      </x:c>
      <x:c r="B2" s="25" t="str">
        <x:v>CFD</x:v>
      </x:c>
      <x:c r="C2" s="25" t="str">
        <x:v>1-Step EUR 79/199/319/499/999 pour 10/25/50/100/200K</x:v>
      </x:c>
      <x:c r="D2" s="25" t="str">
        <x:v>Target 10%; daily 3%; max 10% EOD trailing; Best Day 50%</x:v>
      </x:c>
      <x:c r="E2" s="25" t="str">
        <x:v>Voir objectifs par produit; non consolidé dans la page prix</x:v>
      </x:c>
      <x:c r="F2" s="25" t="str">
        <x:v>Split 90%; payout à partir du jour 14; fee 1-Step non remboursable</x:v>
      </x:c>
      <x:c r="G2" s="25" t="str">
        <x:v>Le trader accepte 10% si le max loss est lisible; cadence calendaire moins forte que 5 jours</x:v>
      </x:c>
      <x:c r="H2" s="25" t="str">
        <x:v>https://ftmo.com/en/1-step-challenge/</x:v>
      </x:c>
      <x:c r="I2" s="25" t="str">
        <x:v>2026-08-26</x:v>
      </x:c>
    </x:row>
    <x:row r="3" ht="15" hidden="0" customHeight="1">
      <x:c r="A3" s="25" t="str">
        <x:v>ForTraders</x:v>
      </x:c>
      <x:c r="B3" s="25" t="str">
        <x:v>CFD</x:v>
      </x:c>
      <x:c r="C3" s="25" t="str">
        <x:v>Pay After Pass liste USD 29+189 (25K); 39+329 (50K); 49+489 (100K); promo d'entrée $9 observée</x:v>
      </x:c>
      <x:c r="D3" s="25" t="str">
        <x:v>Target 2%; daily 3% hard; max 6% trailing equity; buffer 3%; Best Day 20%</x:v>
      </x:c>
      <x:c r="E3" s="25" t="str">
        <x:v>Challenge FX 1:125 / indices 1:20 / commodities 1:40; Master 1:40 / 1:10 / 1:10; Instant 1:30 / 1:10 / 1:10</x:v>
      </x:c>
      <x:c r="F3" s="25" t="str">
        <x:v>Split 80%; on-demand; cap $15K; activation sous 5 jours</x:v>
      </x:c>
      <x:c r="G3" s="25" t="str">
        <x:v>Target 2% exige activation élevée, buffer et contrôle de risque strict</x:v>
      </x:c>
      <x:c r="H3" s="25" t="str">
        <x:v>https://help.fortraders.com/en/articles/15359294-pay-after-pass-account-forex</x:v>
      </x:c>
      <x:c r="I3" s="25" t="str">
        <x:v>2026-08-26</x:v>
      </x:c>
    </x:row>
    <x:row r="4" ht="15" hidden="0" customHeight="1">
      <x:c r="A4" s="25" t="str">
        <x:v>FundingPips</x:v>
      </x:c>
      <x:c r="B4" s="25" t="str">
        <x:v>CFD</x:v>
      </x:c>
      <x:c r="C4" s="25" t="str">
        <x:v>Page d'accueil dynamique USD 29/55/109/219/399 pour 5/10/25/50/100K sur configuration affichée</x:v>
      </x:c>
      <x:c r="D4" s="25" t="str">
        <x:v>Configuration affichée target 6%+6%; daily 3%; max 6%</x:v>
      </x:c>
      <x:c r="E4" s="25" t="str">
        <x:v>Master FX 1:50; indices/metals 1:20; energies 1:10; crypto 1:2</x:v>
      </x:c>
      <x:c r="F4" s="25" t="str">
        <x:v>Weekly 60%, biweekly 80%, on-demand 90% avec 35% consistency; monthly 100% selon modèle</x:v>
      </x:c>
      <x:c r="G4" s="25" t="str">
        <x:v>Le split et la cadence doivent être lus ensemble, jamais isolément</x:v>
      </x:c>
      <x:c r="H4" s="25" t="str">
        <x:v>https://fundingpips.com/trading-objectives</x:v>
      </x:c>
      <x:c r="I4" s="25" t="str">
        <x:v>2026-08-26</x:v>
      </x:c>
    </x:row>
    <x:row r="5" ht="15" hidden="0" customHeight="1">
      <x:c r="A5" s="25" t="str">
        <x:v>FundedNext</x:v>
      </x:c>
      <x:c r="B5" s="25" t="str">
        <x:v>CFD</x:v>
      </x:c>
      <x:c r="C5" s="25" t="str">
        <x:v>Stellar 1-Step liste USD 65.99/129.99/219.99/329.99/569.99 pour 6/15/25/50/100K; promos variables</x:v>
      </x:c>
      <x:c r="D5" s="25" t="str">
        <x:v>Target 10%; daily 3%; max 6% static; minimum 2 jours</x:v>
      </x:c>
      <x:c r="E5" s="25" t="str">
        <x:v>Challenge FX jusqu'à 1:100; Instant FX 1:30 / commodities 1:7.5 / indices 1:5 / crypto 1:1</x:v>
      </x:c>
      <x:c r="F5" s="25" t="str">
        <x:v>Split initial 80% puis 90-95%; premier cycle standard 5 jours ouvrés</x:v>
      </x:c>
      <x:c r="G5" s="25" t="str">
        <x:v>Preuve forte qu'un cycle court peut coexister avec target 10% et drawdown 6%</x:v>
      </x:c>
      <x:c r="H5" s="25" t="str">
        <x:v>https://offer.fundednext.com/stellar50</x:v>
      </x:c>
      <x:c r="I5" s="25" t="str">
        <x:v>2026-08-26</x:v>
      </x:c>
    </x:row>
    <x:row r="6" ht="15" hidden="0" customHeight="1">
      <x:c r="A6" s="25" t="str">
        <x:v>Alpha Capital</x:v>
      </x:c>
      <x:c r="B6" s="25" t="str">
        <x:v>CFD</x:v>
      </x:c>
      <x:c r="C6" s="25" t="str">
        <x:v>Alpha One USD 5K 37/50/57; 10K 67/97/107; 25K 157/197/217; 50K 237/297/347; 100K 397/497/587 selon target 6/10/12; Direct 67/97/197/257/457</x:v>
      </x:c>
      <x:c r="D6" s="25" t="str">
        <x:v>Alpha One target 6/10/12; daily 3/4/5; max trailing 4/6/8; Direct max 5% et Best Day 15%</x:v>
      </x:c>
      <x:c r="E6" s="25" t="str">
        <x:v>FX 1:30; indices 1:10; metals 1:9; oil 1:10</x:v>
      </x:c>
      <x:c r="F6" s="25" t="str">
        <x:v>One 80% option 90%; Direct 90%, buffer 3%, 7 jours</x:v>
      </x:c>
      <x:c r="G6" s="25" t="str">
        <x:v>Matrice prix-risque explicite: une bonne référence de merchandising</x:v>
      </x:c>
      <x:c r="H6" s="25" t="str">
        <x:v>https://alphacapitalgroup.uk/es/resources/alpha-capital-2026-plan-pricing-update</x:v>
      </x:c>
      <x:c r="I6" s="25" t="str">
        <x:v>2026-08-26</x:v>
      </x:c>
    </x:row>
    <x:row r="7" ht="15" hidden="0" customHeight="1">
      <x:c r="A7" s="25" t="str">
        <x:v>E8 Markets</x:v>
      </x:c>
      <x:c r="B7" s="25" t="str">
        <x:v>CFD</x:v>
      </x:c>
      <x:c r="C7" s="25" t="str">
        <x:v>E8 One USD 48/88/188/288/488 pour 5/10/25/50/100K; Signature 110/150/260 pour 25/50/100K</x:v>
      </x:c>
      <x:c r="D7" s="25" t="str">
        <x:v>Signature target 6%; EOD DD 4% (3% à 100K); soft daily pause 2%; Best Day 35%</x:v>
      </x:c>
      <x:c r="E7" s="25" t="str">
        <x:v>FX 1:30; indices/metals/energies 1:15; crypto 1:1</x:v>
      </x:c>
      <x:c r="F7" s="25" t="str">
        <x:v>5 jours profitables entre payouts; jour 0.3%; split 80%; buffer égal au DD; caps progressifs</x:v>
      </x:c>
      <x:c r="G7" s="25" t="str">
        <x:v>Best Day 35% et caps progressifs sont directement comparables au candidat WARIBA</x:v>
      </x:c>
      <x:c r="H7" s="25" t="str">
        <x:v>https://help.e8markets.com/en/articles/11755943-e8-signature-forex</x:v>
      </x:c>
      <x:c r="I7" s="25" t="str">
        <x:v>2026-08-26</x:v>
      </x:c>
    </x:row>
    <x:row r="8" ht="15" hidden="0" customHeight="1">
      <x:c r="A8" s="25" t="str">
        <x:v>GOAT Funded Trader</x:v>
      </x:c>
      <x:c r="B8" s="25" t="str">
        <x:v>CFD</x:v>
      </x:c>
      <x:c r="C8" s="25" t="str">
        <x:v>Pay Later $5 upfront; solde publié USD 78/118/168/238/368/598 pour 5/10/15/25/50/100K</x:v>
      </x:c>
      <x:c r="D8" s="25" t="str">
        <x:v>1-Step target 10%; daily 3%; max 6% static; minimum 3 jours</x:v>
      </x:c>
      <x:c r="E8" s="25" t="str">
        <x:v>Eval FX 1:100, indices/commodities 1:20, crypto 1:2; funded 1:50 / 1:10 / 1:2</x:v>
      </x:c>
      <x:c r="F8" s="25" t="str">
        <x:v>4 jours valides à +0.5%; split 80%; biweekly; cap premiers payouts min(6%, $10K)</x:v>
      </x:c>
      <x:c r="G8" s="25" t="str">
        <x:v>Sénégal et Togo indiqués restreints: signal géographique et compliance</x:v>
      </x:c>
      <x:c r="H8" s="25" t="str">
        <x:v>https://help.goatfundedtrader.com/en/articles/10630134-1-step-model</x:v>
      </x:c>
      <x:c r="I8" s="25" t="str">
        <x:v>2026-08-26</x:v>
      </x:c>
    </x:row>
    <x:row r="9" ht="15" hidden="0" customHeight="1">
      <x:c r="A9" s="25" t="str">
        <x:v>BrightFunded</x:v>
      </x:c>
      <x:c r="B9" s="25" t="str">
        <x:v>CFD</x:v>
      </x:c>
      <x:c r="C9" s="25" t="str">
        <x:v>1-Step liste/promo EUR 49/34.3; 97/67.9; 197/137.9; 297/207.9; 497/347.9 pour 5/10/25/50/100K</x:v>
      </x:c>
      <x:c r="D9" s="25" t="str">
        <x:v>Target 10%; daily 3%; max 6%; minimum 5 jours</x:v>
      </x:c>
      <x:c r="E9" s="25" t="str">
        <x:v>FX 1:100; gold/commodities 1:40; indices 1:20; crypto 1:5</x:v>
      </x:c>
      <x:c r="F9" s="25" t="str">
        <x:v>Split jusqu'à 90%; récompense eval 15%; première cadence publiée 30 jours sur offre free</x:v>
      </x:c>
      <x:c r="G9" s="25" t="str">
        <x:v>Prix promotionnels très agressifs; ne pas les copier sans réserve</x:v>
      </x:c>
      <x:c r="H9" s="25" t="str">
        <x:v>https://brightfunded.com/es/1-step</x:v>
      </x:c>
      <x:c r="I9" s="25" t="str">
        <x:v>2026-08-26</x:v>
      </x:c>
    </x:row>
    <x:row r="10" ht="15" hidden="0" customHeight="1">
      <x:c r="A10" s="25" t="str">
        <x:v>The5ers</x:v>
      </x:c>
      <x:c r="B10" s="25" t="str">
        <x:v>CFD</x:v>
      </x:c>
      <x:c r="C10" s="25" t="str">
        <x:v>Hyper Growth 5K USD 74; High Stakes 100K New $149 / Classic $179</x:v>
      </x:c>
      <x:c r="D10" s="25" t="str">
        <x:v>Hyper Growth target 10%; daily 3%; stopout 6%; High Stakes 10+5 ou 8+5, max 10%</x:v>
      </x:c>
      <x:c r="E10" s="25" t="str">
        <x:v>Hyper Growth 1:30; High Stakes communiqué jusqu'à 1:100</x:v>
      </x:c>
      <x:c r="F10" s="25" t="str">
        <x:v>Hyper Growth split 75% au départ puis scale; High Stakes retrait 14 jours, 80-100%, cap 100K $2K sur nouveau plan</x:v>
      </x:c>
      <x:c r="G10" s="25" t="str">
        <x:v>Scaling et petits caps réduisent le risque malgré la promesse marketing</x:v>
      </x:c>
      <x:c r="H10" s="25" t="str">
        <x:v>https://the5ers.com/en/hyper-growth/</x:v>
      </x:c>
      <x:c r="I10" s="25" t="str">
        <x:v>2026-08-26</x:v>
      </x:c>
    </x:row>
    <x:row r="11" ht="15" hidden="0" customHeight="1">
      <x:c r="A11" s="25" t="str">
        <x:v>Topstep</x:v>
      </x:c>
      <x:c r="B11" s="25" t="str">
        <x:v>Futures</x:v>
      </x:c>
      <x:c r="C11" s="25" t="str">
        <x:v>USD 49/99/199 par mois Standard ou 95/149/229 sans activation pour 50/100/150K; activation Standard $149</x:v>
      </x:c>
      <x:c r="D11" s="25" t="str">
        <x:v>Target 6% nominal; MLL $2K/$3K/$4.5K EOD trailing; consistency 50%</x:v>
      </x:c>
      <x:c r="E11" s="25" t="str">
        <x:v>5/10/15 minis ou 50/100/150 micros</x:v>
      </x:c>
      <x:c r="F11" s="25" t="str">
        <x:v>5 journées à +$150; payout jusqu'à 50% du solde et cap $5K selon path; split 90%; 33.3% des participants funded ont reçu un payout en 2025</x:v>
      </x:c>
      <x:c r="G11" s="25" t="str">
        <x:v>Ancre officielle la plus utile pour pass et payout incidence</x:v>
      </x:c>
      <x:c r="H11" s="25" t="str">
        <x:v>https://www.topstep.com/risk-disclosure</x:v>
      </x:c>
      <x:c r="I11" s="25" t="str">
        <x:v>2026-08-26</x:v>
      </x:c>
    </x:row>
    <x:row r="12" ht="15" hidden="0" customHeight="1">
      <x:c r="A12" s="25" t="str">
        <x:v>Apex Trader Funding</x:v>
      </x:c>
      <x:c r="B12" s="25" t="str">
        <x:v>Futures</x:v>
      </x:c>
      <x:c r="C12" s="25" t="str">
        <x:v>Prix current indiqué uniquement au sélecteur checkout; pages publiques historiques non retenues comme prix current</x:v>
      </x:c>
      <x:c r="D12" s="25" t="str">
        <x:v>Target 6% nominal; EOD ou intraday trailing; pas de min jours eval pour intraday</x:v>
      </x:c>
      <x:c r="E12" s="25" t="str">
        <x:v>Limites contrats: 25/50/100/150K = 4/6/8/12 en eval</x:v>
      </x:c>
      <x:c r="F12" s="25" t="str">
        <x:v>5 jours qualifiants; consistency 50%; safety net DD+$100; split 100%; max 6 payouts avec caps progressifs</x:v>
      </x:c>
      <x:c r="G12" s="25" t="str">
        <x:v>Confirme le trio 5 jours + buffer + caps</x:v>
      </x:c>
      <x:c r="H12" s="25" t="str">
        <x:v>https://apextraderfunding.com/help-center/eod-trailing-drawdown-accounts/eod-payouts/</x:v>
      </x:c>
      <x:c r="I12" s="25" t="str">
        <x:v>2026-08-26</x:v>
      </x:c>
    </x:row>
    <x:row r="13" ht="15" hidden="0" customHeight="1">
      <x:c r="A13" s="25" t="str">
        <x:v>Tradeify</x:v>
      </x:c>
      <x:c r="B13" s="25" t="str">
        <x:v>Futures</x:v>
      </x:c>
      <x:c r="C13" s="25" t="str">
        <x:v>One-time Growth USD 99/145/255/369; Select 109/165/265/369; Lightning 345/492/660/796 pour 25/50/100/150K</x:v>
      </x:c>
      <x:c r="D13" s="25" t="str">
        <x:v>Select min 3 jours et consistency 40%; Growth soft DLL; Lightning direct</x:v>
      </x:c>
      <x:c r="E13" s="25" t="str">
        <x:v>Limites contrats par taille, EOD trailing; leverage non exprimé en ratio</x:v>
      </x:c>
      <x:c r="F13" s="25" t="str">
        <x:v>Growth 5 jours +35%; caps $1K-$5K; split 90%. Select Flex 5 jours, pas de consistency funded</x:v>
      </x:c>
      <x:c r="G13" s="25" t="str">
        <x:v>Soft daily loss et 5 jours sont déjà commercialement acceptés</x:v>
      </x:c>
      <x:c r="H13" s="25" t="str">
        <x:v>https://help.tradeify.co/en/articles/14369021-tradeify-pricing-reference</x:v>
      </x:c>
      <x:c r="I13" s="25" t="str">
        <x:v>2026-08-26</x:v>
      </x:c>
    </x:row>
    <x:row r="14" ht="15" hidden="0" customHeight="1">
      <x:c r="A14" s="25" t="str">
        <x:v>MyFundedFutures</x:v>
      </x:c>
      <x:c r="B14" s="25" t="str">
        <x:v>Futures</x:v>
      </x:c>
      <x:c r="C14" s="25" t="str">
        <x:v>Prix current non publié dans les pages officielles accessibles; checkout requis</x:v>
      </x:c>
      <x:c r="D14" s="25" t="str">
        <x:v>Flex 50K target $3K, MLL $2K EOD, min 2 jours, consistency eval 50%; soft DLL optionnel</x:v>
      </x:c>
      <x:c r="E14" s="25" t="str">
        <x:v>3 minis/30 micros à 50K puis scaling en sim</x:v>
      </x:c>
      <x:c r="F14" s="25" t="str">
        <x:v>Flex 5 jours à +$150, 50% des profits, cap $2K, split 80%; Rapid daily avec buffers</x:v>
      </x:c>
      <x:c r="G14" s="25" t="str">
        <x:v>Cas très proche du soft pause WARIBA; 5 jours sans consistency payout</x:v>
      </x:c>
      <x:c r="H14" s="25" t="str">
        <x:v>https://help.myfundedfutures.com/en/articles/15072271-flex-plan-50-000-a-comprehensive-guide</x:v>
      </x:c>
      <x:c r="I14" s="25" t="str">
        <x:v>2026-08-26</x:v>
      </x:c>
    </x:row>
    <x:row r="15" ht="15" hidden="0" customHeight="1">
      <x:c r="A15" s="26" t="str">
        <x:v>Take Profit Trader</x:v>
      </x:c>
      <x:c r="B15" s="26" t="str">
        <x:v>Futures</x:v>
      </x:c>
      <x:c r="C15" s="26" t="str">
        <x:v>Mensuel USD 150/170/245/330/360 pour 25/50/75/100/150K; activation PRO $130 hors promo</x:v>
      </x:c>
      <x:c r="D15" s="26" t="str">
        <x:v>Target 6%; EOD trailing $1.5K/$2K/$2.5K/$3K/$4.5K; min 3 jours; consistency eval 50%; pas de daily loss</x:v>
      </x:c>
      <x:c r="E15" s="26" t="str">
        <x:v>3/6/9/12/15 contrats</x:v>
      </x:c>
      <x:c r="F15" s="26" t="str">
        <x:v>PRO payout jour 1 au-dessus buffer=DD; split 80%; pas de cap ni consistency funded; PRO+ 90% sans buffer</x:v>
      </x:c>
      <x:c r="G15" s="26" t="str">
        <x:v>Benchmark officiel de pass 36.22% en 2025, mais structure futures et promotions limitent la comparabilité</x:v>
      </x:c>
      <x:c r="H15" s="26" t="str">
        <x:v>https://takeprofittrader.com/control-center</x:v>
      </x:c>
      <x:c r="I15" s="26" t="str">
        <x:v>2026-08-26</x:v>
      </x:c>
    </x:row>
  </x:sheetData>
  <x:conditionalFormatting sqref="A2:I15">
    <x:cfRule type="expression" dxfId="10" priority="1">
      <x:formula>MOD(ROW(),2)=0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7.329999923706055" hidden="0" customWidth="1"/>
    <x:col min="4" max="4" width="42" hidden="0" customWidth="1"/>
  </x:cols>
  <x:sheetData>
    <x:row r="1" ht="15" hidden="0" customHeight="1">
      <x:c r="A1" s="22" t="str">
        <x:v>Role</x:v>
      </x:c>
      <x:c r="B1" s="22" t="str">
        <x:v>Angle</x:v>
      </x:c>
      <x:c r="C1" s="22" t="str">
        <x:v>Vote</x:v>
      </x:c>
      <x:c r="D1" s="22" t="str">
        <x:v>Condition_ou_objection</x:v>
      </x:c>
    </x:row>
    <x:row r="2" ht="15" hidden="0" customHeight="1">
      <x:c r="A2" s="25" t="str">
        <x:v>Présidence du conseil</x:v>
      </x:c>
      <x:c r="B2" s="25" t="str">
        <x:v>Gouvernance</x:v>
      </x:c>
      <x:c r="C2" s="25" t="str">
        <x:v>HOLD LOCK</x:v>
      </x:c>
      <x:c r="D2" s="25" t="str">
        <x:v>Autoriser uniquement un pilote révocable; aucun candidat n'est positif en Disaster</x:v>
      </x:c>
    </x:row>
    <x:row r="3" ht="15" hidden="0" customHeight="1">
      <x:c r="A3" s="25" t="str">
        <x:v>CEO</x:v>
      </x:c>
      <x:c r="B3" s="25" t="str">
        <x:v>Portefeuille</x:v>
      </x:c>
      <x:c r="C3" s="25" t="str">
        <x:v>GO PILOTE</x:v>
      </x:c>
      <x:c r="D3" s="25" t="str">
        <x:v>ONE en tête; FLEX contrôlé; INSTANT par cohortes très limitées</x:v>
      </x:c>
    </x:row>
    <x:row r="4" ht="15" hidden="0" customHeight="1">
      <x:c r="A4" s="25" t="str">
        <x:v>CFO</x:v>
      </x:c>
      <x:c r="B4" s="25" t="str">
        <x:v>Contribution</x:v>
      </x:c>
      <x:c r="C4" s="25" t="str">
        <x:v>HOLD LOCK</x:v>
      </x:c>
      <x:c r="D4" s="25" t="str">
        <x:v>Exiger CM Stress &gt;=15% réalisée et rapprochement payout cash</x:v>
      </x:c>
    </x:row>
    <x:row r="5" ht="15" hidden="0" customHeight="1">
      <x:c r="A5" s="25" t="str">
        <x:v>Chief Risk Officer</x:v>
      </x:c>
      <x:c r="B5" s="25" t="str">
        <x:v>Risque de queue</x:v>
      </x:c>
      <x:c r="C5" s="25" t="str">
        <x:v>HOLD LOCK</x:v>
      </x:c>
      <x:c r="D5" s="25" t="str">
        <x:v>Réserve liquide 2.5x du P90 30 jours et circuit breaker</x:v>
      </x:c>
    </x:row>
    <x:row r="6" ht="15" hidden="0" customHeight="1">
      <x:c r="A6" s="25" t="str">
        <x:v>Trésorerie</x:v>
      </x:c>
      <x:c r="B6" s="25" t="str">
        <x:v>Liquidité</x:v>
      </x:c>
      <x:c r="C6" s="25" t="str">
        <x:v>GO SOUS CONDITION</x:v>
      </x:c>
      <x:c r="D6" s="25" t="str">
        <x:v>Préfinancer 25.0M XOF par 1 000 achats Stress selon mix candidat</x:v>
      </x:c>
    </x:row>
    <x:row r="7" ht="15" hidden="0" customHeight="1">
      <x:c r="A7" s="25" t="str">
        <x:v>FP&amp;A</x:v>
      </x:c>
      <x:c r="B7" s="25" t="str">
        <x:v>Planification</x:v>
      </x:c>
      <x:c r="C7" s="25" t="str">
        <x:v>GO PILOTE</x:v>
      </x:c>
      <x:c r="D7" s="25" t="str">
        <x:v>Budgets par produit/pays avec CAC caps</x:v>
      </x:c>
    </x:row>
    <x:row r="8" ht="15" hidden="0" customHeight="1">
      <x:c r="A8" s="25" t="str">
        <x:v>Actuaire</x:v>
      </x:c>
      <x:c r="B8" s="25" t="str">
        <x:v>Fréquence-sévérité</x:v>
      </x:c>
      <x:c r="C8" s="25" t="str">
        <x:v>HOLD LOCK</x:v>
      </x:c>
      <x:c r="D8" s="25" t="str">
        <x:v>Calibrer incidence, cycles et montants sur données réelles</x:v>
      </x:c>
    </x:row>
    <x:row r="9" ht="15" hidden="0" customHeight="1">
      <x:c r="A9" s="25" t="str">
        <x:v>Quant Research</x:v>
      </x:c>
      <x:c r="B9" s="25" t="str">
        <x:v>Pass rates</x:v>
      </x:c>
      <x:c r="C9" s="25" t="str">
        <x:v>GO PILOTE</x:v>
      </x:c>
      <x:c r="D9" s="25" t="str">
        <x:v>Instrumentation complète des transitions et cohortes</x:v>
      </x:c>
    </x:row>
    <x:row r="10" ht="15" hidden="0" customHeight="1">
      <x:c r="A10" s="25" t="str">
        <x:v>Pricing Lead</x:v>
      </x:c>
      <x:c r="B10" s="25" t="str">
        <x:v>Prix</x:v>
      </x:c>
      <x:c r="C10" s="25" t="str">
        <x:v>GO PILOTE</x:v>
      </x:c>
      <x:c r="D10" s="25" t="str">
        <x:v>Conserver le prix total FLEX mais déplacer davantage à l'upfront</x:v>
      </x:c>
    </x:row>
    <x:row r="11" ht="15" hidden="0" customHeight="1">
      <x:c r="A11" s="25" t="str">
        <x:v>Product Director</x:v>
      </x:c>
      <x:c r="B11" s="25" t="str">
        <x:v>Architecture</x:v>
      </x:c>
      <x:c r="C11" s="25" t="str">
        <x:v>GO SOUS CONDITION</x:v>
      </x:c>
      <x:c r="D11" s="25" t="str">
        <x:v>Documenter explicitement la divergence target ONE 8 / FLEX 4</x:v>
      </x:c>
    </x:row>
    <x:row r="12" ht="15" hidden="0" customHeight="1">
      <x:c r="A12" s="25" t="str">
        <x:v>Product Owner ONE</x:v>
      </x:c>
      <x:c r="B12" s="25" t="str">
        <x:v>Offre</x:v>
      </x:c>
      <x:c r="C12" s="25" t="str">
        <x:v>GO PILOTE</x:v>
      </x:c>
      <x:c r="D12" s="25" t="str">
        <x:v>Target 8, soft daily 3, max loss 8 EOD</x:v>
      </x:c>
    </x:row>
    <x:row r="13" ht="15" hidden="0" customHeight="1">
      <x:c r="A13" s="25" t="str">
        <x:v>Product Owner FLEX</x:v>
      </x:c>
      <x:c r="B13" s="25" t="str">
        <x:v>Offre</x:v>
      </x:c>
      <x:c r="C13" s="25" t="str">
        <x:v>GO PILOTE</x:v>
      </x:c>
      <x:c r="D13" s="25" t="str">
        <x:v>Target 4, buffer 3, activation mesurée; pas de target 2</x:v>
      </x:c>
    </x:row>
    <x:row r="14" ht="15" hidden="0" customHeight="1">
      <x:c r="A14" s="25" t="str">
        <x:v>Product Owner INSTANT</x:v>
      </x:c>
      <x:c r="B14" s="25" t="str">
        <x:v>Offre</x:v>
      </x:c>
      <x:c r="C14" s="25" t="str">
        <x:v>HOLD SCALE</x:v>
      </x:c>
      <x:c r="D14" s="25" t="str">
        <x:v>25K en beta plafonnée; 5K non viable en paid Stress, 50K/100K exigent réserve dédiée</x:v>
      </x:c>
    </x:row>
    <x:row r="15" ht="15" hidden="0" customHeight="1">
      <x:c r="A15" s="25" t="str">
        <x:v>Head of Trading Risk</x:v>
      </x:c>
      <x:c r="B15" s="25" t="str">
        <x:v>Exposition</x:v>
      </x:c>
      <x:c r="C15" s="25" t="str">
        <x:v>GO SOUS CONDITION</x:v>
      </x:c>
      <x:c r="D15" s="25" t="str">
        <x:v>Leverage par actif équilibré; order-size blocking serveur</x:v>
      </x:c>
    </x:row>
    <x:row r="16" ht="15" hidden="0" customHeight="1">
      <x:c r="A16" s="25" t="str">
        <x:v>Market Risk</x:v>
      </x:c>
      <x:c r="B16" s="25" t="str">
        <x:v>Leverage</x:v>
      </x:c>
      <x:c r="C16" s="25" t="str">
        <x:v>HOLD AGRESSIF</x:v>
      </x:c>
      <x:c r="D16" s="25" t="str">
        <x:v>Refuser variante 1:100 et métaux 1:40 au lancement</x:v>
      </x:c>
    </x:row>
    <x:row r="17" ht="15" hidden="0" customHeight="1">
      <x:c r="A17" s="25" t="str">
        <x:v>Payout Risk</x:v>
      </x:c>
      <x:c r="B17" s="25" t="str">
        <x:v>Obligation</x:v>
      </x:c>
      <x:c r="C17" s="25" t="str">
        <x:v>GO SOUS CONDITION</x:v>
      </x:c>
      <x:c r="D17" s="25" t="str">
        <x:v>Caps progressifs, 5 Performance Days et arrêt automatique</x:v>
      </x:c>
    </x:row>
    <x:row r="18" ht="15" hidden="0" customHeight="1">
      <x:c r="A18" s="25" t="str">
        <x:v>Growth Lead</x:v>
      </x:c>
      <x:c r="B18" s="25" t="str">
        <x:v>Acquisition</x:v>
      </x:c>
      <x:c r="C18" s="25" t="str">
        <x:v>GO PILOTE</x:v>
      </x:c>
      <x:c r="D18" s="25" t="str">
        <x:v>Mix 30% ONE / 60% FLEX / 10% INSTANT maximum</x:v>
      </x:c>
    </x:row>
    <x:row r="19" ht="15" hidden="0" customHeight="1">
      <x:c r="A19" s="25" t="str">
        <x:v>Performance Marketing</x:v>
      </x:c>
      <x:c r="B19" s="25" t="str">
        <x:v>Meta CAC</x:v>
      </x:c>
      <x:c r="C19" s="25" t="str">
        <x:v>GO SOUS CONDITION</x:v>
      </x:c>
      <x:c r="D19" s="25" t="str">
        <x:v>Couper automatiquement au CAC break-even par cellule</x:v>
      </x:c>
    </x:row>
    <x:row r="20" ht="15" hidden="0" customHeight="1">
      <x:c r="A20" s="25" t="str">
        <x:v>CRM/Lifecycle</x:v>
      </x:c>
      <x:c r="B20" s="25" t="str">
        <x:v>Rétention</x:v>
      </x:c>
      <x:c r="C20" s="25" t="str">
        <x:v>GO PILOTE</x:v>
      </x:c>
      <x:c r="D20" s="25" t="str">
        <x:v>Mesurer activation FLEX et repeat purchase sans les inclure en V1</x:v>
      </x:c>
    </x:row>
    <x:row r="21" ht="15" hidden="0" customHeight="1">
      <x:c r="A21" s="25" t="str">
        <x:v>Country Lead Côte d’Ivoire</x:v>
      </x:c>
      <x:c r="B21" s="25" t="str">
        <x:v>Marché</x:v>
      </x:c>
      <x:c r="C21" s="25" t="str">
        <x:v>GO PILOTE</x:v>
      </x:c>
      <x:c r="D21" s="25" t="str">
        <x:v>Audience la plus large; checkout et support francophone</x:v>
      </x:c>
    </x:row>
    <x:row r="22" ht="15" hidden="0" customHeight="1">
      <x:c r="A22" s="25" t="str">
        <x:v>Country Lead Cameroun</x:v>
      </x:c>
      <x:c r="B22" s="25" t="str">
        <x:v>Marché</x:v>
      </x:c>
      <x:c r="C22" s="25" t="str">
        <x:v>GO PILOTE</x:v>
      </x:c>
      <x:c r="D22" s="25" t="str">
        <x:v>Traiter séparément CEMAC, fiscalité et payout</x:v>
      </x:c>
    </x:row>
    <x:row r="23" ht="15" hidden="0" customHeight="1">
      <x:c r="A23" s="25" t="str">
        <x:v>Country Lead Sénégal</x:v>
      </x:c>
      <x:c r="B23" s="25" t="str">
        <x:v>Marché</x:v>
      </x:c>
      <x:c r="C23" s="25" t="str">
        <x:v>GO PILOTE</x:v>
      </x:c>
      <x:c r="D23" s="25" t="str">
        <x:v>CAC plus élevé; avantage Wave potentiellement fort</x:v>
      </x:c>
    </x:row>
    <x:row r="24" ht="15" hidden="0" customHeight="1">
      <x:c r="A24" s="25" t="str">
        <x:v>Country Lead Bénin</x:v>
      </x:c>
      <x:c r="B24" s="25" t="str">
        <x:v>Marché</x:v>
      </x:c>
      <x:c r="C24" s="25" t="str">
        <x:v>GO PILOTE</x:v>
      </x:c>
      <x:c r="D24" s="25" t="str">
        <x:v>Bon CAC hypothétique; PSP et disponibilité Wave non prouvés</x:v>
      </x:c>
    </x:row>
    <x:row r="25" ht="15" hidden="0" customHeight="1">
      <x:c r="A25" s="25" t="str">
        <x:v>Country Lead Burkina Faso</x:v>
      </x:c>
      <x:c r="B25" s="25" t="str">
        <x:v>Marché</x:v>
      </x:c>
      <x:c r="C25" s="25" t="str">
        <x:v>GO SOUS CONDITION</x:v>
      </x:c>
      <x:c r="D25" s="25" t="str">
        <x:v>PSP agréé et tests opérationnels</x:v>
      </x:c>
    </x:row>
    <x:row r="26" ht="15" hidden="0" customHeight="1">
      <x:c r="A26" s="25" t="str">
        <x:v>Country Lead Togo</x:v>
      </x:c>
      <x:c r="B26" s="25" t="str">
        <x:v>Marché</x:v>
      </x:c>
      <x:c r="C26" s="25" t="str">
        <x:v>HOLD PAID SCALE</x:v>
      </x:c>
      <x:c r="D26" s="25" t="str">
        <x:v>Audience Meta anormale et faible; organique/partenaires d'abord</x:v>
      </x:c>
    </x:row>
    <x:row r="27" ht="15" hidden="0" customHeight="1">
      <x:c r="A27" s="25" t="str">
        <x:v>Payments Lead</x:v>
      </x:c>
      <x:c r="B27" s="25" t="str">
        <x:v>Encaissement</x:v>
      </x:c>
      <x:c r="C27" s="25" t="str">
        <x:v>GO SOUS CONDITION</x:v>
      </x:c>
      <x:c r="D27" s="25" t="str">
        <x:v>Multi-rail, idempotence, rapprochement et remboursements</x:v>
      </x:c>
    </x:row>
    <x:row r="28" ht="15" hidden="0" customHeight="1">
      <x:c r="A28" s="25" t="str">
        <x:v>Mobile Money Lead</x:v>
      </x:c>
      <x:c r="B28" s="25" t="str">
        <x:v>Wave</x:v>
      </x:c>
      <x:c r="C28" s="25" t="str">
        <x:v>HOLD PROMESSE</x:v>
      </x:c>
      <x:c r="D28" s="25" t="str">
        <x:v>Valider contrat, pays, limites, fees et droit de payer des rewards</x:v>
      </x:c>
    </x:row>
    <x:row r="29" ht="15" hidden="0" customHeight="1">
      <x:c r="A29" s="25" t="str">
        <x:v>Fraud Lead</x:v>
      </x:c>
      <x:c r="B29" s="25" t="str">
        <x:v>Abus</x:v>
      </x:c>
      <x:c r="C29" s="25" t="str">
        <x:v>GO SOUS CONDITION</x:v>
      </x:c>
      <x:c r="D29" s="25" t="str">
        <x:v>3DS/device binding/velocity; taux de fraude suivi par rail</x:v>
      </x:c>
    </x:row>
    <x:row r="30" ht="15" hidden="0" customHeight="1">
      <x:c r="A30" s="25" t="str">
        <x:v>Chargeback Lead</x:v>
      </x:c>
      <x:c r="B30" s="25" t="str">
        <x:v>Disputes</x:v>
      </x:c>
      <x:c r="C30" s="25" t="str">
        <x:v>HOLD LOCK</x:v>
      </x:c>
      <x:c r="D30" s="25" t="str">
        <x:v>Seuil interne bien inférieur au seuil VAMP; evidence pack automatique</x:v>
      </x:c>
    </x:row>
    <x:row r="31" ht="15" hidden="0" customHeight="1">
      <x:c r="A31" s="25" t="str">
        <x:v>AML/KYC Officer</x:v>
      </x:c>
      <x:c r="B31" s="25" t="str">
        <x:v>Financial eligibility</x:v>
      </x:c>
      <x:c r="C31" s="25" t="str">
        <x:v>GO SOUS CONDITION</x:v>
      </x:c>
      <x:c r="D31" s="25" t="str">
        <x:v>KYC avant premier payout financièrement éligible</x:v>
      </x:c>
    </x:row>
    <x:row r="32" ht="15" hidden="0" customHeight="1">
      <x:c r="A32" s="25" t="str">
        <x:v>Compliance UMOA</x:v>
      </x:c>
      <x:c r="B32" s="25" t="str">
        <x:v>Réglementaire</x:v>
      </x:c>
      <x:c r="C32" s="25" t="str">
        <x:v>HOLD LOCK</x:v>
      </x:c>
      <x:c r="D32" s="25" t="str">
        <x:v>Avis écrit sur qualification du service et PSP agréés BCEAO</x:v>
      </x:c>
    </x:row>
    <x:row r="33" ht="15" hidden="0" customHeight="1">
      <x:c r="A33" s="25" t="str">
        <x:v>Compliance CEMAC</x:v>
      </x:c>
      <x:c r="B33" s="25" t="str">
        <x:v>Réglementaire</x:v>
      </x:c>
      <x:c r="C33" s="25" t="str">
        <x:v>HOLD LOCK</x:v>
      </x:c>
      <x:c r="D33" s="25" t="str">
        <x:v>Avis Cameroun distinct; pas d'extrapolation UMOA</x:v>
      </x:c>
    </x:row>
    <x:row r="34" ht="15" hidden="0" customHeight="1">
      <x:c r="A34" s="25" t="str">
        <x:v>Legal Consumer</x:v>
      </x:c>
      <x:c r="B34" s="25" t="str">
        <x:v>Conditions commerciales</x:v>
      </x:c>
      <x:c r="C34" s="25" t="str">
        <x:v>HOLD LOCK</x:v>
      </x:c>
      <x:c r="D34" s="25" t="str">
        <x:v>Rules, caps, simulated performance et voies de recours en français simple</x:v>
      </x:c>
    </x:row>
    <x:row r="35" ht="15" hidden="0" customHeight="1">
      <x:c r="A35" s="25" t="str">
        <x:v>Tax Lead</x:v>
      </x:c>
      <x:c r="B35" s="25" t="str">
        <x:v>Fiscalité</x:v>
      </x:c>
      <x:c r="C35" s="25" t="str">
        <x:v>HOLD LOCK</x:v>
      </x:c>
      <x:c r="D35" s="25" t="str">
        <x:v>TVA/impôts/retenues et documentation payouts par pays</x:v>
      </x:c>
    </x:row>
    <x:row r="36" ht="15" hidden="0" customHeight="1">
      <x:c r="A36" s="25" t="str">
        <x:v>Data Protection</x:v>
      </x:c>
      <x:c r="B36" s="25" t="str">
        <x:v>Données</x:v>
      </x:c>
      <x:c r="C36" s="25" t="str">
        <x:v>HOLD LOCK</x:v>
      </x:c>
      <x:c r="D36" s="25" t="str">
        <x:v>Base légale KYC, transferts et conservation par pays</x:v>
      </x:c>
    </x:row>
    <x:row r="37" ht="15" hidden="0" customHeight="1">
      <x:c r="A37" s="25" t="str">
        <x:v>Information Security</x:v>
      </x:c>
      <x:c r="B37" s="25" t="str">
        <x:v>Sécurité</x:v>
      </x:c>
      <x:c r="C37" s="25" t="str">
        <x:v>GO SOUS CONDITION</x:v>
      </x:c>
      <x:c r="D37" s="25" t="str">
        <x:v>Clés payout côté serveur, IP allowlist, double contrôle</x:v>
      </x:c>
    </x:row>
    <x:row r="38" ht="15" hidden="0" customHeight="1">
      <x:c r="A38" s="25" t="str">
        <x:v>Platform Engineering</x:v>
      </x:c>
      <x:c r="B38" s="25" t="str">
        <x:v>Disponibilité</x:v>
      </x:c>
      <x:c r="C38" s="25" t="str">
        <x:v>GO PILOTE</x:v>
      </x:c>
      <x:c r="D38" s="25" t="str">
        <x:v>Ledger payout idempotent et règles server-authoritative</x:v>
      </x:c>
    </x:row>
    <x:row r="39" ht="15" hidden="0" customHeight="1">
      <x:c r="A39" s="25" t="str">
        <x:v>Market Data Lead</x:v>
      </x:c>
      <x:c r="B39" s="25" t="str">
        <x:v>Infrastructure</x:v>
      </x:c>
      <x:c r="C39" s="25" t="str">
        <x:v>HOLD LOCK</x:v>
      </x:c>
      <x:c r="D39" s="25" t="str">
        <x:v>Contrat de redistribution et prix enterprise non chiffrés</x:v>
      </x:c>
    </x:row>
    <x:row r="40" ht="15" hidden="0" customHeight="1">
      <x:c r="A40" s="25" t="str">
        <x:v>Support Lead</x:v>
      </x:c>
      <x:c r="B40" s="25" t="str">
        <x:v>Opérations</x:v>
      </x:c>
      <x:c r="C40" s="25" t="str">
        <x:v>GO PILOTE</x:v>
      </x:c>
      <x:c r="D40" s="25" t="str">
        <x:v>Scripts simples en français, SLA payout, capacité fraude</x:v>
      </x:c>
    </x:row>
    <x:row r="41" ht="15" hidden="0" customHeight="1">
      <x:c r="A41" s="25" t="str">
        <x:v>Finance Operations</x:v>
      </x:c>
      <x:c r="B41" s="25" t="str">
        <x:v>Rapprochement</x:v>
      </x:c>
      <x:c r="C41" s="25" t="str">
        <x:v>GO SOUS CONDITION</x:v>
      </x:c>
      <x:c r="D41" s="25" t="str">
        <x:v>Triple rapprochement commande-compte-payout</x:v>
      </x:c>
    </x:row>
    <x:row r="42" ht="15" hidden="0" customHeight="1">
      <x:c r="A42" s="25" t="str">
        <x:v>Analytics Lead</x:v>
      </x:c>
      <x:c r="B42" s="25" t="str">
        <x:v>Mesure</x:v>
      </x:c>
      <x:c r="C42" s="25" t="str">
        <x:v>GO PILOTE</x:v>
      </x:c>
      <x:c r="D42" s="25" t="str">
        <x:v>Cohorte produit x taille x pays x canal x ruleset</x:v>
      </x:c>
    </x:row>
    <x:row r="43" ht="15" hidden="0" customHeight="1">
      <x:c r="A43" s="25" t="str">
        <x:v>UX Writing</x:v>
      </x:c>
      <x:c r="B43" s="25" t="str">
        <x:v>Clarté</x:v>
      </x:c>
      <x:c r="C43" s="25" t="str">
        <x:v>GO PILOTE</x:v>
      </x:c>
      <x:c r="D43" s="25" t="str">
        <x:v>Soft daily loss expliqué comme pause, pas breach</x:v>
      </x:c>
    </x:row>
    <x:row r="44" ht="15" hidden="0" customHeight="1">
      <x:c r="A44" s="25" t="str">
        <x:v>Customer Advocate</x:v>
      </x:c>
      <x:c r="B44" s="25" t="str">
        <x:v>Attractivité</x:v>
      </x:c>
      <x:c r="C44" s="25" t="str">
        <x:v>GO SOUS CONDITION</x:v>
      </x:c>
      <x:c r="D44" s="25" t="str">
        <x:v>Cap premier payout &gt;=4x prix total de succès</x:v>
      </x:c>
    </x:row>
    <x:row r="45" ht="15" hidden="0" customHeight="1">
      <x:c r="A45" s="25" t="str">
        <x:v>Responsible Marketing</x:v>
      </x:c>
      <x:c r="B45" s="25" t="str">
        <x:v>Promesses</x:v>
      </x:c>
      <x:c r="C45" s="25" t="str">
        <x:v>HOLD LOCK</x:v>
      </x:c>
      <x:c r="D45" s="25" t="str">
        <x:v>Interdire funded réel garanti, rendement ou délai garanti</x:v>
      </x:c>
    </x:row>
    <x:row r="46" ht="15" hidden="0" customHeight="1">
      <x:c r="A46" s="26" t="str">
        <x:v>Internal Audit</x:v>
      </x:c>
      <x:c r="B46" s="26" t="str">
        <x:v>Contrôle</x:v>
      </x:c>
      <x:c r="C46" s="26" t="str">
        <x:v>HOLD LOCK</x:v>
      </x:c>
      <x:c r="D46" s="26" t="str">
        <x:v>Rejouer le modèle sur exports source et approuver les overrides</x:v>
      </x:c>
    </x:row>
  </x:sheetData>
  <x:conditionalFormatting sqref="A2:D46">
    <x:cfRule type="expression" dxfId="11" priority="1">
      <x:formula>MOD(ROW(),2)=0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2.66999816894531" hidden="0" customWidth="1"/>
    <x:col min="2" max="2" width="58" hidden="0" customWidth="1"/>
    <x:col min="3" max="3" width="35" hidden="0" customWidth="1"/>
    <x:col min="4" max="4" width="15.4399995803833" hidden="0" customWidth="1"/>
  </x:cols>
  <x:sheetData>
    <x:row r="1">
      <x:c r="A1" s="37" t="str">
        <x:v>Sources, contrôles et limites</x:v>
      </x:c>
      <x:c r="B1" s="37"/>
      <x:c r="C1" s="37"/>
      <x:c r="D1" s="37"/>
    </x:row>
    <x:row r="2">
      <x:c r="A2" s="38"/>
      <x:c r="B2" s="38"/>
      <x:c r="C2" s="38"/>
      <x:c r="D2" s="38"/>
    </x:row>
    <x:row r="3">
      <x:c r="A3" s="39" t="str">
        <x:v>Contrôle</x:v>
      </x:c>
      <x:c r="B3" s="39" t="str">
        <x:v>Résultat</x:v>
      </x:c>
      <x:c r="C3" s="39" t="str">
        <x:v>Attendu</x:v>
      </x:c>
      <x:c r="D3" s="38"/>
    </x:row>
    <x:row r="4">
      <x:c r="A4" s="38" t="str">
        <x:v>Probabilités dans [0,1]</x:v>
      </x:c>
      <x:c r="B4" s="40" t="b">
        <x:v>1</x:v>
      </x:c>
      <x:c r="C4" s="40" t="b">
        <x:v>1</x:v>
      </x:c>
      <x:c r="D4" s="38"/>
    </x:row>
    <x:row r="5">
      <x:c r="A5" s="38" t="str">
        <x:v>Contributions arithmétiques réconciliées</x:v>
      </x:c>
      <x:c r="B5" s="40" t="b">
        <x:v>1</x:v>
      </x:c>
      <x:c r="C5" s="40" t="b">
        <x:v>1</x:v>
      </x:c>
      <x:c r="D5" s="38"/>
    </x:row>
    <x:row r="6">
      <x:c r="A6" s="38" t="str">
        <x:v>Reserve 2,5x réconciliée</x:v>
      </x:c>
      <x:c r="B6" s="40" t="b">
        <x:v>1</x:v>
      </x:c>
      <x:c r="C6" s="40" t="b">
        <x:v>1</x:v>
      </x:c>
      <x:c r="D6" s="38"/>
    </x:row>
    <x:row r="7">
      <x:c r="A7" s="38" t="str">
        <x:v>Aucun prix nul</x:v>
      </x:c>
      <x:c r="B7" s="40" t="b">
        <x:v>1</x:v>
      </x:c>
      <x:c r="C7" s="40" t="b">
        <x:v>1</x:v>
      </x:c>
      <x:c r="D7" s="38"/>
    </x:row>
    <x:row r="8">
      <x:c r="A8" s="38" t="str">
        <x:v>Stress portfolio CM positif</x:v>
      </x:c>
      <x:c r="B8" s="40" t="b">
        <x:v>1</x:v>
      </x:c>
      <x:c r="C8" s="40" t="b">
        <x:v>1</x:v>
      </x:c>
      <x:c r="D8" s="38"/>
    </x:row>
    <x:row r="9">
      <x:c r="A9" s="38" t="str">
        <x:v>Disaster portfolio CM positif</x:v>
      </x:c>
      <x:c r="B9" s="40" t="b">
        <x:v>0</x:v>
      </x:c>
      <x:c r="C9" s="40" t="b">
        <x:v>1</x:v>
      </x:c>
      <x:c r="D9" s="38"/>
    </x:row>
    <x:row r="10">
      <x:c r="A10" s="38"/>
      <x:c r="B10" s="38"/>
      <x:c r="C10" s="38"/>
      <x:c r="D10" s="38"/>
    </x:row>
    <x:row r="11">
      <x:c r="A11" s="39" t="str">
        <x:v>Source</x:v>
      </x:c>
      <x:c r="B11" s="39" t="str">
        <x:v>URL / fichier</x:v>
      </x:c>
      <x:c r="C11" s="39" t="str">
        <x:v>Usage</x:v>
      </x:c>
      <x:c r="D11" s="39" t="str">
        <x:v>Fraîcheur</x:v>
      </x:c>
    </x:row>
    <x:row r="12">
      <x:c r="A12" s="38" t="str">
        <x:v>Rapport source</x:v>
      </x:c>
      <x:c r="B12" s="38" t="str">
        <x:v>/Users/rodrigueadebigni/.codex/visualizations/2026/08/26/01a04064-f9e8-7e12-bdbd-829834567671/report-source.md</x:v>
      </x:c>
      <x:c r="C12" s="38" t="str">
        <x:v>Méthode, claims, risques</x:v>
      </x:c>
      <x:c r="D12" s="38" t="str">
        <x:v>2026-08-26</x:v>
      </x:c>
    </x:row>
    <x:row r="13">
      <x:c r="A13" s="38" t="str">
        <x:v>Concurrents</x:v>
      </x:c>
      <x:c r="B13" s="38" t="str">
        <x:v>/Users/rodrigueadebigni/.codex/visualizations/2026/08/26/01a04064-f9e8-7e12-bdbd-829834567671/competitors.csv</x:v>
      </x:c>
      <x:c r="C13" s="38" t="str">
        <x:v>14 firmes officielles</x:v>
      </x:c>
      <x:c r="D13" s="38" t="str">
        <x:v>2026-08-26</x:v>
      </x:c>
    </x:row>
    <x:row r="14">
      <x:c r="A14" s="38" t="str">
        <x:v>DataReportal</x:v>
      </x:c>
      <x:c r="B14" s="38" t="str">
        <x:v>https://datareportal.com/reports/digital-2026-cote-divoire</x:v>
      </x:c>
      <x:c r="C14" s="38" t="str">
        <x:v>Audience Meta CI</x:v>
      </x:c>
      <x:c r="D14" s="38" t="str">
        <x:v>fin 2025</x:v>
      </x:c>
    </x:row>
    <x:row r="15">
      <x:c r="A15" s="38" t="str">
        <x:v>Topstep</x:v>
      </x:c>
      <x:c r="B15" s="38" t="str">
        <x:v>https://www.topstep.com/risk-disclosure</x:v>
      </x:c>
      <x:c r="C15" s="38" t="str">
        <x:v>Pass/payout anchor</x:v>
      </x:c>
      <x:c r="D15" s="38" t="str">
        <x:v>2025</x:v>
      </x:c>
    </x:row>
    <x:row r="16">
      <x:c r="A16" s="38" t="str">
        <x:v>BCEAO</x:v>
      </x:c>
      <x:c r="B16" s="38" t="str">
        <x:v>https://downloads.bceao.int/index.php/fr/communique-presse/liste-des-etablissements-de-paiement-agrees-dans-lumoa-au-28-fevrier-2026</x:v>
      </x:c>
      <x:c r="C16" s="38" t="str">
        <x:v>PSP agréés</x:v>
      </x:c>
      <x:c r="D16" s="38" t="str">
        <x:v>2026-02-28</x:v>
      </x:c>
    </x:row>
    <x:row r="17">
      <x:c r="A17" s="38" t="str">
        <x:v>Wave</x:v>
      </x:c>
      <x:c r="B17" s="38" t="str">
        <x:v>https://docs.wave.com/business</x:v>
      </x:c>
      <x:c r="C17" s="38" t="str">
        <x:v>Checkout/payout API</x:v>
      </x:c>
      <x:c r="D17" s="38" t="str">
        <x:v>contrôlé 2026-08-26</x:v>
      </x:c>
    </x:row>
    <x:row r="18">
      <x:c r="A18" s="38" t="str">
        <x:v>Visa</x:v>
      </x:c>
      <x:c r="B18" s="38" t="str">
        <x:v>https://corporate.visa.com/content/dam/VCOM/corporate/visa-perspectives/security-and-trust/documents/visa-acquirer-monitoring-program-fact-sheet-2025.pdf</x:v>
      </x:c>
      <x:c r="C18" s="38" t="str">
        <x:v>VAMP</x:v>
      </x:c>
      <x:c r="D18" s="38" t="str">
        <x:v>2026</x:v>
      </x:c>
    </x:row>
    <x:row r="19">
      <x:c r="A19" s="38" t="str">
        <x:v>Constitution WARIBA</x:v>
      </x:c>
      <x:c r="B19" s="38" t="str">
        <x:v>/Users/rodrigueadebigni/.codex/.chatgpt-projects/g-p-6a7ba4d548bc81919fc44caafd182cdb/WARIBA_PRODUCT_OS_CONSTITUTION.md</x:v>
      </x:c>
      <x:c r="C19" s="38" t="str">
        <x:v>Conflit de governance</x:v>
      </x:c>
      <x:c r="D19" s="38" t="str">
        <x:v>2026-08-22</x:v>
      </x:c>
    </x:row>
    <x:row r="20">
      <x:c r="A20" s="38" t="str">
        <x:v>Avertissement</x:v>
      </x:c>
      <x:c r="B20" s="38" t="str"/>
      <x:c r="C20" s="38" t="str">
        <x:v>Hypothèses éditables; aucune promesse de gain</x:v>
      </x:c>
      <x:c r="D20" s="38" t="str">
        <x:v>obligatoire</x:v>
      </x:c>
    </x:row>
    <x:row r="21">
      <x:c r="A21" s="38"/>
      <x:c r="B21" s="38"/>
      <x:c r="C21" s="38"/>
      <x:c r="D21" s="38"/>
    </x:row>
    <x:row r="22">
      <x:c r="A22" s="38"/>
      <x:c r="B22" s="38"/>
      <x:c r="C22" s="38"/>
      <x:c r="D22" s="38"/>
    </x:row>
  </x:sheetData>
  <x:mergeCells>
    <x:mergeCell ref="A1:D1"/>
  </x:mergeCells>
  <x:pageMargins left="0.7" right="0.7" top="0.75" bottom="0.75" header="0.3" footer="0.3"/>
</x:worksheet>
</file>