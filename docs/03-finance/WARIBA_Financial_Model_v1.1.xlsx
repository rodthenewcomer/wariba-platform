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c603c9e7534d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1d0fe26ecdf4906"/>
    <x:sheet xmlns:r="http://schemas.openxmlformats.org/officeDocument/2006/relationships" name="Hypothèses" sheetId="2" r:id="R18d47bfa157646d6"/>
    <x:sheet xmlns:r="http://schemas.openxmlformats.org/officeDocument/2006/relationships" name="Règles &amp; Offre" sheetId="3" r:id="R68f98bd444704aa3"/>
    <x:sheet xmlns:r="http://schemas.openxmlformats.org/officeDocument/2006/relationships" name="Économie Unitaire" sheetId="4" r:id="R20470612eccf4fc3"/>
    <x:sheet xmlns:r="http://schemas.openxmlformats.org/officeDocument/2006/relationships" name="Cohorte 1000" sheetId="5" r:id="R247c82d64fef4d87"/>
    <x:sheet xmlns:r="http://schemas.openxmlformats.org/officeDocument/2006/relationships" name="Prévision 24M" sheetId="6" r:id="Rde3b714c1d0a463d"/>
    <x:sheet xmlns:r="http://schemas.openxmlformats.org/officeDocument/2006/relationships" name="Comparaison Scénarios" sheetId="7" r:id="R772143afa3074573"/>
    <x:sheet xmlns:r="http://schemas.openxmlformats.org/officeDocument/2006/relationships" name="Sensibilités" sheetId="8" r:id="R83d4fef4e8804842"/>
    <x:sheet xmlns:r="http://schemas.openxmlformats.org/officeDocument/2006/relationships" name="Decision Gates" sheetId="9" r:id="R83f7da26fad147d3"/>
    <x:sheet xmlns:r="http://schemas.openxmlformats.org/officeDocument/2006/relationships" name="Dashboard" sheetId="10" r:id="Rb58a5cabf9754d93"/>
    <x:sheet xmlns:r="http://schemas.openxmlformats.org/officeDocument/2006/relationships" name="Assumption Log" sheetId="11" r:id="Ra8ccd67b15f243ce"/>
    <x:sheet xmlns:r="http://schemas.openxmlformats.org/officeDocument/2006/relationships" name="Offre v1.1" sheetId="12" r:id="Ree4abe04eba940ae"/>
    <x:sheet xmlns:r="http://schemas.openxmlformats.org/officeDocument/2006/relationships" name="Scénarios v1.1" sheetId="13" r:id="R8983f69d8b4841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164" formatCode="0.0%;[Red](0.0%);-"/>
    <x:numFmt numFmtId="165" formatCode="#,##0;[Red](#,##0);-"/>
    <x:numFmt numFmtId="166" formatCode="0.0x;[Red](0.0x);-"/>
    <x:numFmt numFmtId="167" formatCode="0.00%;[Red](0.00%);-"/>
    <x:numFmt numFmtId="168" formatCode="0 &quot;mois&quot;"/>
    <x:numFmt numFmtId="169" formatCode="#,##0.0;[Red](#,##0.0);-"/>
    <x:numFmt numFmtId="200" formatCode="0.0%"/>
    <x:numFmt numFmtId="201" formatCode="#,##0 &quot;FCFA&quot;"/>
    <x:numFmt numFmtId="202" formatCode="#,##0 &quot;USD&quot;"/>
    <x:numFmt numFmtId="203" formatCode="0%"/>
    <x:numFmt numFmtId="204" formatCode="0.0"/>
    <x:numFmt numFmtId="205" formatCode="#,##0 &quot;FCFA&quot;;[Red](#,##0 &quot;FCFA&quot;)"/>
    <x:numFmt numFmtId="206" formatCode="0"/>
  </x:numFmts>
  <x:fonts count="39">
    <x:font>
      <x:sz val="11"/>
      <x:name val="Carlito"/>
    </x:font>
    <x:font>
      <x:b/>
      <x:sz val="16"/>
      <x:color rgb="FFFFFFFF"/>
      <x:name val="Manrope"/>
    </x:font>
    <x:font>
      <x:i/>
      <x:sz val="10"/>
      <x:color rgb="FF0B0D12"/>
      <x:name val="Manrope"/>
    </x:font>
    <x:font>
      <x:b/>
      <x:sz val="11"/>
      <x:color rgb="FFFFFFFF"/>
      <x:name val="Manrope"/>
    </x:font>
    <x:font>
      <x:b/>
      <x:sz val="9"/>
      <x:color rgb="FFFFFFFF"/>
      <x:name val="Manrope"/>
    </x:font>
    <x:font>
      <x:sz val="11"/>
      <x:color rgb="FF0000FF"/>
      <x:name val="Manrope"/>
    </x:font>
    <x:font>
      <x:sz val="11"/>
      <x:color rgb="FF008000"/>
      <x:name val="Manrope"/>
    </x:font>
    <x:font>
      <x:sz val="11"/>
      <x:color rgb="FF000000"/>
      <x:name val="Manrope"/>
    </x:font>
    <x:font>
      <x:b/>
      <x:sz val="11"/>
      <x:color rgb="FF0B0D12"/>
      <x:name val="Manrope"/>
    </x:font>
    <x:font>
      <x:b/>
      <x:sz val="11"/>
      <x:name val="Manrope"/>
    </x:font>
    <x:font>
      <x:b/>
      <x:sz val="11"/>
      <x:color rgb="FF000000"/>
      <x:name val="Manrope"/>
    </x:font>
    <x:font>
      <x:b/>
      <x:sz val="15"/>
      <x:color rgb="FF2446D8"/>
      <x:name val="Manrope"/>
    </x:font>
    <x:font>
      <x:b/>
      <x:sz val="10"/>
      <x:color rgb="FFFFFFFF"/>
      <x:name val="Manrope"/>
    </x:font>
    <x:font>
      <x:sz val="10"/>
      <x:name val="Manrope"/>
    </x:font>
    <x:font>
      <x:sz val="10"/>
      <x:color rgb="FF0000FF"/>
      <x:name val="Manrope"/>
    </x:font>
    <x:font>
      <x:sz val="10"/>
      <x:color rgb="FF008000"/>
      <x:name val="Manrope"/>
    </x:font>
    <x:font>
      <x:b/>
      <x:sz val="10"/>
      <x:color rgb="FF0B0D12"/>
      <x:name val="Manrope"/>
    </x:font>
    <x:font>
      <x:sz val="10"/>
      <x:color rgb="FF000000"/>
      <x:name val="Manrope"/>
    </x:font>
    <x:font>
      <x:b/>
      <x:sz val="10"/>
      <x:name val="Manrope"/>
    </x:font>
    <x:font>
      <x:b/>
      <x:sz val="10"/>
      <x:color rgb="FF000000"/>
      <x:name val="Manrope"/>
    </x:font>
    <x:font>
      <x:b/>
      <x:sz val="10"/>
      <x:color rgb="FF2446D8"/>
      <x:name val="Manrope"/>
    </x:font>
    <x:font>
      <x:b/>
    </x:font>
    <x:font>
      <x:b/>
      <x:sz val="16"/>
      <x:color rgb="FFF7F3EB"/>
      <x:name val="Carlito"/>
    </x:font>
    <x:font>
      <x:sz val="11"/>
      <x:color rgb="FFE3E6EB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b/>
      <x:sz val="11"/>
      <x:color rgb="FF0B0D12"/>
      <x:name val="Carlito"/>
    </x:font>
    <x:font>
      <x:b/>
      <x:sz val="16"/>
      <x:color rgb="FFF7F3EB"/>
      <x:name val="Manrope"/>
    </x:font>
    <x:font>
      <x:b/>
      <x:sz val="16"/>
      <x:color rgb="FF0B0D12"/>
      <x:name val="Manrope"/>
    </x:font>
    <x:font>
      <x:b/>
      <x:sz val="16"/>
      <x:color rgb="FF0B0D12"/>
      <x:name val="Carlito"/>
    </x:font>
    <x:font>
      <x:sz val="11"/>
      <x:color rgb="FF0B0D12"/>
      <x:name val="Carlito"/>
    </x:font>
    <x:font>
      <x:sz val="10"/>
      <x:color rgb="FF0B0D12"/>
      <x:name val="Manrope"/>
    </x:font>
    <x:font>
      <x:i/>
      <x:sz val="10"/>
      <x:color rgb="FFE3E6EB"/>
      <x:name val="Manrope"/>
    </x:font>
    <x:font>
      <x:sz val="11"/>
      <x:color rgb="FF008000"/>
      <x:name val="Carlito"/>
    </x:font>
    <x:font>
      <x:sz val="10"/>
      <x:color rgb="FF0B0D12"/>
      <x:name val="Manrope"/>
    </x:font>
    <x:font>
      <x:sz val="11"/>
      <x:color rgb="FF0B0D12"/>
      <x:name val="Carlito"/>
    </x:font>
    <x:font>
      <x:b/>
      <x:sz val="10"/>
      <x:color rgb="FF5A6474"/>
      <x:name val="Manrope"/>
    </x:font>
    <x:font>
      <x:sz val="10"/>
      <x:color rgb="FF5A6474"/>
      <x:name val="Manrope"/>
    </x:font>
    <x:font>
      <x:sz val="10"/>
      <x:color rgb="FFFFFFFF"/>
      <x:name val="Manrope"/>
    </x:font>
  </x:fonts>
  <x:fills count="27">
    <x:fill>
      <x:patternFill patternType="none"/>
    </x:fill>
    <x:fill>
      <x:patternFill patternType="gray125"/>
    </x:fill>
    <x:fill>
      <x:patternFill patternType="solid">
        <x:fgColor rgb="FF0B0D12"/>
      </x:patternFill>
    </x:fill>
    <x:fill>
      <x:patternFill patternType="solid">
        <x:fgColor rgb="FFF7F3EB"/>
      </x:patternFill>
    </x:fill>
    <x:fill>
      <x:patternFill patternType="solid">
        <x:fgColor rgb="FF2446D8"/>
      </x:patternFill>
    </x:fill>
    <x:fill>
      <x:patternFill patternType="solid">
        <x:fgColor rgb="FF121620"/>
      </x:patternFill>
    </x:fill>
    <x:fill>
      <x:patternFill patternType="solid">
        <x:fgColor rgb="FFFFF2A8"/>
      </x:patternFill>
    </x:fill>
    <x:fill>
      <x:patternFill patternType="solid">
        <x:fgColor rgb="FFEEE7DB"/>
      </x:patternFill>
    </x:fill>
    <x:fill>
      <x:patternFill patternType="solid">
        <x:fgColor rgb="FFFFF1D5"/>
      </x:patternFill>
    </x:fill>
    <x:fill>
      <x:patternFill patternType="solid">
        <x:fgColor rgb="FF0B0D12"/>
      </x:patternFill>
    </x:fill>
    <x:fill>
      <x:patternFill patternType="solid">
        <x:fgColor rgb="FF121620"/>
      </x:patternFill>
    </x:fill>
    <x:fill>
      <x:patternFill patternType="solid">
        <x:fgColor rgb="FF3157F5"/>
      </x:patternFill>
    </x:fill>
    <x:fill>
      <x:patternFill patternType="solid">
        <x:fgColor rgb="FFEEE7DB"/>
      </x:patternFill>
    </x:fill>
    <x:fill>
      <x:patternFill patternType="solid">
        <x:fgColor rgb="FFFFFFFF"/>
      </x:patternFill>
    </x:fill>
    <x:fill>
      <x:patternFill patternType="solid">
        <x:fgColor rgb="FF0B0D12"/>
      </x:patternFill>
    </x:fill>
    <x:fill>
      <x:patternFill patternType="solid">
        <x:fgColor rgb="FF121620"/>
      </x:patternFill>
    </x:fill>
    <x:fill>
      <x:patternFill patternType="solid">
        <x:fgColor rgb="FFEEE7DB"/>
      </x:patternFill>
    </x:fill>
    <x:fill>
      <x:patternFill patternType="solid">
        <x:fgColor rgb="FF3157F5"/>
      </x:patternFill>
    </x:fill>
    <x:fill>
      <x:patternFill patternType="solid">
        <x:fgColor rgb="FFFFFFFF"/>
      </x:patternFill>
    </x:fill>
    <x:fill>
      <x:patternFill patternType="solid">
        <x:fgColor rgb="FF0B0D12"/>
      </x:patternFill>
    </x:fill>
    <x:fill>
      <x:patternFill patternType="solid">
        <x:fgColor rgb="FF121620"/>
      </x:patternFill>
    </x:fill>
    <x:fill>
      <x:patternFill patternType="solid">
        <x:fgColor rgb="FFEEE7DB"/>
      </x:patternFill>
    </x:fill>
    <x:fill>
      <x:patternFill patternType="solid">
        <x:fgColor rgb="FF3157F5"/>
      </x:patternFill>
    </x:fill>
    <x:fill>
      <x:patternFill patternType="solid">
        <x:fgColor rgb="FFE9E4DA"/>
      </x:patternFill>
    </x:fill>
    <x:fill>
      <x:patternFill patternType="solid">
        <x:fgColor rgb="FFE9E4DA"/>
      </x:patternFill>
    </x:fill>
    <x:fill>
      <x:patternFill patternType="solid">
        <x:fgColor rgb="FFE9E4DA"/>
      </x:patternFill>
    </x:fill>
    <x:fill>
      <x:patternFill patternType="solid">
        <x:fgColor rgb="FFFFFFFF"/>
      </x:patternFill>
    </x:fill>
  </x:fills>
  <x:borders count="7">
    <x:border/>
    <x:border/>
    <x:border>
      <x:bottom style="thin">
        <x:color rgb="FF7B8290"/>
      </x:bottom>
    </x:border>
    <x:border>
      <x:bottom style="thin">
        <x:color rgb="FF7B8290"/>
      </x:bottom>
    </x:border>
    <x:border>
      <x:top style="thin">
        <x:color rgb="FF0B0D12"/>
      </x:top>
    </x:border>
    <x:border>
      <x:top style="thin">
        <x:color rgb="FF0B0D12"/>
      </x:top>
    </x:border>
    <x:border/>
  </x:borders>
  <x:cellStyleXfs count="1">
    <x:xf numFmtId="0" fontId="0" fillId="0" borderId="1"/>
  </x:cellStyleXfs>
  <x:cellXfs count="680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horizontal="left"/>
    </x:xf>
    <x:xf numFmtId="0" fontId="3" fillId="4" borderId="0" xfId="0" applyAlignment="1">
      <x:alignment horizontal="left" vertical="center"/>
    </x:xf>
    <x:xf numFmtId="0" fontId="0" fillId="4" borderId="1" xfId="0"/>
    <x:xf numFmtId="0" fontId="3" fillId="4" borderId="1" xfId="0"/>
    <x:xf numFmtId="0" fontId="3" fillId="4" borderId="1" xfId="0" applyAlignment="1">
      <x:alignment horizontal="left"/>
    </x:xf>
    <x:xf numFmtId="0" fontId="3" fillId="4" borderId="1" xfId="0" applyAlignment="1">
      <x:alignment horizontal="left" vertical="center"/>
    </x:xf>
    <x:xf numFmtId="0" fontId="0" fillId="5" borderId="0" xfId="0"/>
    <x:xf numFmtId="0" fontId="4" fillId="5" borderId="0" xfId="0"/>
    <x:xf numFmtId="0" fontId="4" fillId="5" borderId="2" xfId="0"/>
    <x:xf numFmtId="0" fontId="4" fillId="5" borderId="2" xfId="0" applyAlignment="1">
      <x:alignment wrapText="1"/>
    </x:xf>
    <x:xf numFmtId="0" fontId="4" fillId="5" borderId="2" xfId="0" applyAlignment="1">
      <x:alignment horizontal="center" wrapText="1"/>
    </x:xf>
    <x:xf numFmtId="0" fontId="4" fillId="5" borderId="2" xfId="0" applyAlignment="1">
      <x:alignment horizontal="center" vertical="center" wrapText="1"/>
    </x:xf>
    <x:xf numFmtId="0" fontId="0" fillId="5" borderId="1" xfId="0"/>
    <x:xf numFmtId="0" fontId="4" fillId="5" borderId="1" xfId="0"/>
    <x:xf numFmtId="0" fontId="4" fillId="5" borderId="3" xfId="0"/>
    <x:xf numFmtId="0" fontId="4" fillId="5" borderId="3" xfId="0" applyAlignment="1">
      <x:alignment wrapText="1"/>
    </x:xf>
    <x:xf numFmtId="0" fontId="4" fillId="5" borderId="3" xfId="0" applyAlignment="1">
      <x:alignment horizontal="center" wrapText="1"/>
    </x:xf>
    <x:xf numFmtId="0" fontId="4" fillId="5" borderId="3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5" fillId="0" borderId="0" xfId="0"/>
    <x:xf numFmtId="0" fontId="5" fillId="0" borderId="1" xfId="0"/>
    <x:xf numFmtId="0" fontId="5" fillId="6" borderId="0" xfId="0"/>
    <x:xf numFmtId="0" fontId="5" fillId="6" borderId="1" xfId="0"/>
    <x:xf numFmtId="0" fontId="6" fillId="0" borderId="0" xfId="0"/>
    <x:xf numFmtId="0" fontId="6" fillId="0" borderId="1" xfId="0"/>
    <x:xf numFmtId="164" fontId="6" fillId="0" borderId="0" xfId="0"/>
    <x:xf numFmtId="164" fontId="6" fillId="0" borderId="1" xfId="0"/>
    <x:xf numFmtId="164" fontId="5" fillId="0" borderId="0" xfId="0"/>
    <x:xf numFmtId="164" fontId="5" fillId="0" borderId="1" xfId="0"/>
    <x:xf numFmtId="165" fontId="6" fillId="0" borderId="0" xfId="0"/>
    <x:xf numFmtId="165" fontId="6" fillId="0" borderId="1" xfId="0"/>
    <x:xf numFmtId="165" fontId="5" fillId="0" borderId="0" xfId="0"/>
    <x:xf numFmtId="165" fontId="5" fillId="0" borderId="1" xfId="0"/>
    <x:xf numFmtId="0" fontId="0" fillId="6" borderId="0" xfId="0"/>
    <x:xf numFmtId="164" fontId="6" fillId="6" borderId="0" xfId="0"/>
    <x:xf numFmtId="164" fontId="5" fillId="6" borderId="0" xfId="0"/>
    <x:xf numFmtId="0" fontId="0" fillId="6" borderId="1" xfId="0"/>
    <x:xf numFmtId="164" fontId="6" fillId="6" borderId="1" xfId="0"/>
    <x:xf numFmtId="164" fontId="5" fillId="6" borderId="1" xfId="0"/>
    <x:xf numFmtId="166" fontId="5" fillId="0" borderId="0" xfId="0"/>
    <x:xf numFmtId="166" fontId="5" fillId="0" borderId="1" xfId="0"/>
    <x:xf numFmtId="165" fontId="5" fillId="6" borderId="0" xfId="0"/>
    <x:xf numFmtId="165" fontId="5" fillId="6" borderId="1" xfId="0"/>
    <x:xf numFmtId="164" fontId="0" fillId="0" borderId="0" xfId="0"/>
    <x:xf numFmtId="164" fontId="0" fillId="0" borderId="1" xfId="0"/>
    <x:xf numFmtId="167" fontId="0" fillId="0" borderId="0" xfId="0"/>
    <x:xf numFmtId="167" fontId="0" fillId="0" borderId="1" xfId="0"/>
    <x:xf numFmtId="165" fontId="0" fillId="0" borderId="0" xfId="0"/>
    <x:xf numFmtId="165" fontId="0" fillId="0" borderId="1" xfId="0"/>
    <x:xf numFmtId="0" fontId="7" fillId="0" borderId="0" xfId="0"/>
    <x:xf numFmtId="0" fontId="7" fillId="0" borderId="1" xfId="0"/>
    <x:xf numFmtId="165" fontId="7" fillId="0" borderId="0" xfId="0"/>
    <x:xf numFmtId="165" fontId="7" fillId="0" borderId="1" xfId="0"/>
    <x:xf numFmtId="164" fontId="7" fillId="0" borderId="0" xfId="0"/>
    <x:xf numFmtId="164" fontId="7" fillId="0" borderId="1" xfId="0"/>
    <x:xf numFmtId="0" fontId="0" fillId="0" borderId="4" xfId="0"/>
    <x:xf numFmtId="165" fontId="7" fillId="0" borderId="4" xfId="0"/>
    <x:xf numFmtId="164" fontId="7" fillId="0" borderId="4" xfId="0"/>
    <x:xf numFmtId="0" fontId="0" fillId="0" borderId="5" xfId="0"/>
    <x:xf numFmtId="165" fontId="7" fillId="0" borderId="5" xfId="0"/>
    <x:xf numFmtId="164" fontId="7" fillId="0" borderId="5" xfId="0"/>
    <x:xf numFmtId="0" fontId="8" fillId="0" borderId="4" xfId="0"/>
    <x:xf numFmtId="165" fontId="8" fillId="0" borderId="4" xfId="0"/>
    <x:xf numFmtId="164" fontId="8" fillId="0" borderId="4" xfId="0"/>
    <x:xf numFmtId="0" fontId="8" fillId="0" borderId="5" xfId="0"/>
    <x:xf numFmtId="165" fontId="8" fillId="0" borderId="5" xfId="0"/>
    <x:xf numFmtId="164" fontId="8" fillId="0" borderId="5" xfId="0"/>
    <x:xf numFmtId="168" fontId="0" fillId="0" borderId="0" xfId="0"/>
    <x:xf numFmtId="168" fontId="0" fillId="0" borderId="1" xfId="0"/>
    <x:xf numFmtId="169" fontId="7" fillId="0" borderId="0" xfId="0"/>
    <x:xf numFmtId="169" fontId="7" fillId="0" borderId="1" xfId="0"/>
    <x:xf numFmtId="0" fontId="9" fillId="0" borderId="0" xfId="0"/>
    <x:xf numFmtId="165" fontId="10" fillId="0" borderId="0" xfId="0"/>
    <x:xf numFmtId="164" fontId="10" fillId="0" borderId="0" xfId="0"/>
    <x:xf numFmtId="169" fontId="10" fillId="0" borderId="0" xfId="0"/>
    <x:xf numFmtId="0" fontId="9" fillId="0" borderId="1" xfId="0"/>
    <x:xf numFmtId="165" fontId="10" fillId="0" borderId="1" xfId="0"/>
    <x:xf numFmtId="164" fontId="10" fillId="0" borderId="1" xfId="0"/>
    <x:xf numFmtId="169" fontId="10" fillId="0" borderId="1" xfId="0"/>
    <x:xf numFmtId="169" fontId="6" fillId="0" borderId="0" xfId="0"/>
    <x:xf numFmtId="169" fontId="6" fillId="0" borderId="1" xfId="0"/>
    <x:xf numFmtId="166" fontId="6" fillId="0" borderId="0" xfId="0"/>
    <x:xf numFmtId="166" fontId="6" fillId="0" borderId="1" xfId="0"/>
    <x:xf numFmtId="165" fontId="6" fillId="0" borderId="4" xfId="0"/>
    <x:xf numFmtId="165" fontId="6" fillId="0" borderId="5" xfId="0"/>
    <x:xf numFmtId="166" fontId="6" fillId="0" borderId="4" xfId="0"/>
    <x:xf numFmtId="166" fontId="6" fillId="0" borderId="5" xfId="0"/>
    <x:xf numFmtId="166" fontId="8" fillId="0" borderId="4" xfId="0"/>
    <x:xf numFmtId="166" fontId="8" fillId="0" borderId="5" xfId="0"/>
    <x:xf numFmtId="0" fontId="6" fillId="0" borderId="4" xfId="0"/>
    <x:xf numFmtId="0" fontId="6" fillId="0" borderId="5" xfId="0"/>
    <x:xf numFmtId="0" fontId="0" fillId="7" borderId="0" xfId="0"/>
    <x:xf numFmtId="0" fontId="8" fillId="7" borderId="0" xfId="0"/>
    <x:xf numFmtId="0" fontId="0" fillId="7" borderId="1" xfId="0"/>
    <x:xf numFmtId="0" fontId="8" fillId="7" borderId="1" xfId="0"/>
    <x:xf numFmtId="164" fontId="8" fillId="7" borderId="0" xfId="0"/>
    <x:xf numFmtId="164" fontId="8" fillId="7" borderId="1" xfId="0"/>
    <x:xf numFmtId="164" fontId="4" fillId="5" borderId="2" xfId="0" applyAlignment="1">
      <x:alignment horizontal="center" vertical="center" wrapText="1"/>
    </x:xf>
    <x:xf numFmtId="164" fontId="4" fillId="5" borderId="3" xfId="0" applyAlignment="1">
      <x:alignment horizontal="center" vertical="center" wrapText="1"/>
    </x:xf>
    <x:xf numFmtId="0" fontId="0" fillId="8" borderId="0" xfId="0"/>
    <x:xf numFmtId="0" fontId="0" fillId="8" borderId="1" xfId="0"/>
    <x:xf numFmtId="0" fontId="4" fillId="5" borderId="0" xfId="0" applyAlignment="1">
      <x:alignment horizontal="center"/>
    </x:xf>
    <x:xf numFmtId="0" fontId="4" fillId="5" borderId="1" xfId="0" applyAlignment="1">
      <x:alignment horizontal="center"/>
    </x:xf>
    <x:xf numFmtId="0" fontId="11" fillId="3" borderId="0" xfId="0"/>
    <x:xf numFmtId="0" fontId="11" fillId="3" borderId="0" xfId="0" applyAlignment="1">
      <x:alignment horizontal="center"/>
    </x:xf>
    <x:xf numFmtId="0" fontId="11" fillId="3" borderId="0" xfId="0" applyAlignment="1">
      <x:alignment horizontal="center" vertical="center"/>
    </x:xf>
    <x:xf numFmtId="0" fontId="11" fillId="3" borderId="1" xfId="0"/>
    <x:xf numFmtId="0" fontId="11" fillId="3" borderId="1" xfId="0" applyAlignment="1">
      <x:alignment horizontal="center"/>
    </x:xf>
    <x:xf numFmtId="0" fontId="11" fillId="3" borderId="1" xfId="0" applyAlignment="1">
      <x:alignment horizontal="center" vertical="center"/>
    </x:xf>
    <x:xf numFmtId="49" fontId="11" fillId="3" borderId="0" xfId="0" applyAlignment="1">
      <x:alignment horizontal="center" vertical="center"/>
    </x:xf>
    <x:xf numFmtId="49" fontId="11" fillId="3" borderId="1" xfId="0" applyAlignment="1">
      <x:alignment horizontal="center" vertical="center"/>
    </x:xf>
    <x:xf numFmtId="165" fontId="11" fillId="3" borderId="0" xfId="0" applyAlignment="1">
      <x:alignment horizontal="center" vertical="center"/>
    </x:xf>
    <x:xf numFmtId="165" fontId="11" fillId="3" borderId="1" xfId="0" applyAlignment="1">
      <x:alignment horizontal="center" vertical="center"/>
    </x:xf>
    <x:xf numFmtId="164" fontId="11" fillId="3" borderId="0" xfId="0" applyAlignment="1">
      <x:alignment horizontal="center" vertical="center"/>
    </x:xf>
    <x:xf numFmtId="164" fontId="11" fillId="3" borderId="1" xfId="0" applyAlignment="1">
      <x:alignment horizontal="center" vertical="center"/>
    </x:xf>
    <x:xf numFmtId="169" fontId="11" fillId="3" borderId="0" xfId="0" applyAlignment="1">
      <x:alignment horizontal="center" vertical="center"/>
    </x:xf>
    <x:xf numFmtId="169" fontId="11" fillId="3" borderId="1" xfId="0" applyAlignment="1">
      <x:alignment horizontal="center" vertical="center"/>
    </x:xf>
    <x:xf numFmtId="166" fontId="11" fillId="3" borderId="0" xfId="0" applyAlignment="1">
      <x:alignment horizontal="center" vertical="center"/>
    </x:xf>
    <x:xf numFmtId="166" fontId="11" fillId="3" borderId="1" xfId="0" applyAlignment="1">
      <x:alignment horizontal="center" vertical="center"/>
    </x:xf>
    <x:xf numFmtId="0" fontId="7" fillId="0" borderId="0" xfId="0" applyAlignment="1">
      <x:alignment wrapText="1"/>
    </x:xf>
    <x:xf numFmtId="169" fontId="7" fillId="0" borderId="0" xfId="0" applyAlignment="1">
      <x:alignment wrapText="1"/>
    </x:xf>
    <x:xf numFmtId="0" fontId="7" fillId="0" borderId="1" xfId="0" applyAlignment="1">
      <x:alignment wrapText="1"/>
    </x:xf>
    <x:xf numFmtId="169" fontId="7" fillId="0" borderId="1" xfId="0" applyAlignment="1">
      <x:alignment wrapText="1"/>
    </x:xf>
    <x:xf numFmtId="166" fontId="0" fillId="0" borderId="0" xfId="0"/>
    <x:xf numFmtId="166" fontId="0" fillId="0" borderId="1" xfId="0"/>
    <x:xf numFmtId="0" fontId="12" fillId="2" borderId="0" xfId="0" applyAlignment="1">
      <x:alignment horizontal="left" vertical="center"/>
    </x:xf>
    <x:xf numFmtId="0" fontId="13" fillId="0" borderId="0" xfId="0"/>
    <x:xf numFmtId="0" fontId="12" fillId="4" borderId="0" xfId="0" applyAlignment="1">
      <x:alignment horizontal="left" vertical="center"/>
    </x:xf>
    <x:xf numFmtId="0" fontId="12" fillId="5" borderId="2" xfId="0" applyAlignment="1">
      <x:alignment horizontal="center" vertical="center" wrapText="1"/>
    </x:xf>
    <x:xf numFmtId="0" fontId="13" fillId="0" borderId="0" xfId="0" applyAlignment="1">
      <x:alignment wrapText="1"/>
    </x:xf>
    <x:xf numFmtId="0" fontId="12" fillId="2" borderId="1" xfId="0" applyAlignment="1">
      <x:alignment horizontal="left" vertical="center"/>
    </x:xf>
    <x:xf numFmtId="0" fontId="13" fillId="0" borderId="1" xfId="0"/>
    <x:xf numFmtId="0" fontId="12" fillId="4" borderId="1" xfId="0" applyAlignment="1">
      <x:alignment horizontal="left" vertical="center"/>
    </x:xf>
    <x:xf numFmtId="0" fontId="12" fillId="5" borderId="3" xfId="0" applyAlignment="1">
      <x:alignment horizontal="center" vertical="center" wrapText="1"/>
    </x:xf>
    <x:xf numFmtId="0" fontId="13" fillId="0" borderId="1" xfId="0" applyAlignment="1">
      <x:alignment wrapText="1"/>
    </x:xf>
    <x:xf numFmtId="0" fontId="13" fillId="0" borderId="0" xfId="0" applyAlignment="1">
      <x:alignment vertical="center"/>
    </x:xf>
    <x:xf numFmtId="0" fontId="13" fillId="0" borderId="0" xfId="0" applyAlignment="1">
      <x:alignment vertical="center" wrapText="1"/>
    </x:xf>
    <x:xf numFmtId="0" fontId="13" fillId="0" borderId="1" xfId="0" applyAlignment="1">
      <x:alignment vertical="center"/>
    </x:xf>
    <x:xf numFmtId="0" fontId="13" fillId="0" borderId="1" xfId="0" applyAlignment="1">
      <x:alignment vertical="center" wrapText="1"/>
    </x:xf>
    <x:xf numFmtId="0" fontId="12" fillId="2" borderId="0" xfId="0" applyAlignment="1">
      <x:alignment horizontal="left" vertical="center"/>
    </x:xf>
    <x:xf numFmtId="0" fontId="13" fillId="0" borderId="0" xfId="0" applyAlignment="1">
      <x:alignment vertical="center"/>
    </x:xf>
    <x:xf numFmtId="0" fontId="2" fillId="3" borderId="0" xfId="0" applyAlignment="1">
      <x:alignment vertical="center"/>
    </x:xf>
    <x:xf numFmtId="0" fontId="12" fillId="4" borderId="0" xfId="0" applyAlignment="1">
      <x:alignment horizontal="left" vertical="center"/>
    </x:xf>
    <x:xf numFmtId="0" fontId="12" fillId="5" borderId="2" xfId="0" applyAlignment="1">
      <x:alignment horizontal="center" vertical="center"/>
    </x:xf>
    <x:xf numFmtId="0" fontId="12" fillId="2" borderId="1" xfId="0" applyAlignment="1">
      <x:alignment horizontal="left" vertical="center"/>
    </x:xf>
    <x:xf numFmtId="0" fontId="13" fillId="0" borderId="1" xfId="0" applyAlignment="1">
      <x:alignment vertical="center"/>
    </x:xf>
    <x:xf numFmtId="0" fontId="2" fillId="3" borderId="1" xfId="0" applyAlignment="1">
      <x:alignment vertical="center"/>
    </x:xf>
    <x:xf numFmtId="0" fontId="12" fillId="4" borderId="1" xfId="0" applyAlignment="1">
      <x:alignment horizontal="left" vertical="center"/>
    </x:xf>
    <x:xf numFmtId="0" fontId="12" fillId="5" borderId="3" xfId="0" applyAlignment="1">
      <x:alignment horizontal="center" vertical="center"/>
    </x:xf>
    <x:xf numFmtId="0" fontId="14" fillId="6" borderId="0" xfId="0"/>
    <x:xf numFmtId="164" fontId="15" fillId="0" borderId="0" xfId="0"/>
    <x:xf numFmtId="164" fontId="14" fillId="0" borderId="0" xfId="0"/>
    <x:xf numFmtId="0" fontId="13" fillId="6" borderId="0" xfId="0"/>
    <x:xf numFmtId="164" fontId="15" fillId="6" borderId="0" xfId="0"/>
    <x:xf numFmtId="164" fontId="14" fillId="6" borderId="0" xfId="0"/>
    <x:xf numFmtId="165" fontId="15" fillId="0" borderId="0" xfId="0"/>
    <x:xf numFmtId="165" fontId="14" fillId="0" borderId="0" xfId="0"/>
    <x:xf numFmtId="165" fontId="14" fillId="6" borderId="0" xfId="0"/>
    <x:xf numFmtId="166" fontId="14" fillId="0" borderId="0" xfId="0"/>
    <x:xf numFmtId="0" fontId="14" fillId="6" borderId="1" xfId="0"/>
    <x:xf numFmtId="164" fontId="15" fillId="0" borderId="1" xfId="0"/>
    <x:xf numFmtId="164" fontId="14" fillId="0" borderId="1" xfId="0"/>
    <x:xf numFmtId="0" fontId="13" fillId="6" borderId="1" xfId="0"/>
    <x:xf numFmtId="164" fontId="15" fillId="6" borderId="1" xfId="0"/>
    <x:xf numFmtId="164" fontId="14" fillId="6" borderId="1" xfId="0"/>
    <x:xf numFmtId="165" fontId="15" fillId="0" borderId="1" xfId="0"/>
    <x:xf numFmtId="165" fontId="14" fillId="0" borderId="1" xfId="0"/>
    <x:xf numFmtId="165" fontId="14" fillId="6" borderId="1" xfId="0"/>
    <x:xf numFmtId="166" fontId="14" fillId="0" borderId="1" xfId="0"/>
    <x:xf numFmtId="0" fontId="14" fillId="6" borderId="0" xfId="0" applyAlignment="1">
      <x:alignment vertical="center"/>
    </x:xf>
    <x:xf numFmtId="164" fontId="15" fillId="0" borderId="0" xfId="0" applyAlignment="1">
      <x:alignment vertical="center"/>
    </x:xf>
    <x:xf numFmtId="164" fontId="14" fillId="0" borderId="0" xfId="0" applyAlignment="1">
      <x:alignment vertical="center"/>
    </x:xf>
    <x:xf numFmtId="0" fontId="13" fillId="6" borderId="0" xfId="0" applyAlignment="1">
      <x:alignment vertical="center"/>
    </x:xf>
    <x:xf numFmtId="164" fontId="15" fillId="6" borderId="0" xfId="0" applyAlignment="1">
      <x:alignment vertical="center"/>
    </x:xf>
    <x:xf numFmtId="164" fontId="14" fillId="6" borderId="0" xfId="0" applyAlignment="1">
      <x:alignment vertical="center"/>
    </x:xf>
    <x:xf numFmtId="165" fontId="15" fillId="0" borderId="0" xfId="0" applyAlignment="1">
      <x:alignment vertical="center"/>
    </x:xf>
    <x:xf numFmtId="165" fontId="14" fillId="0" borderId="0" xfId="0" applyAlignment="1">
      <x:alignment vertical="center"/>
    </x:xf>
    <x:xf numFmtId="165" fontId="14" fillId="6" borderId="0" xfId="0" applyAlignment="1">
      <x:alignment vertical="center"/>
    </x:xf>
    <x:xf numFmtId="166" fontId="14" fillId="0" borderId="0" xfId="0" applyAlignment="1">
      <x:alignment vertical="center"/>
    </x:xf>
    <x:xf numFmtId="0" fontId="14" fillId="6" borderId="1" xfId="0" applyAlignment="1">
      <x:alignment vertical="center"/>
    </x:xf>
    <x:xf numFmtId="164" fontId="15" fillId="0" borderId="1" xfId="0" applyAlignment="1">
      <x:alignment vertical="center"/>
    </x:xf>
    <x:xf numFmtId="164" fontId="14" fillId="0" borderId="1" xfId="0" applyAlignment="1">
      <x:alignment vertical="center"/>
    </x:xf>
    <x:xf numFmtId="0" fontId="13" fillId="6" borderId="1" xfId="0" applyAlignment="1">
      <x:alignment vertical="center"/>
    </x:xf>
    <x:xf numFmtId="164" fontId="15" fillId="6" borderId="1" xfId="0" applyAlignment="1">
      <x:alignment vertical="center"/>
    </x:xf>
    <x:xf numFmtId="164" fontId="14" fillId="6" borderId="1" xfId="0" applyAlignment="1">
      <x:alignment vertical="center"/>
    </x:xf>
    <x:xf numFmtId="165" fontId="15" fillId="0" borderId="1" xfId="0" applyAlignment="1">
      <x:alignment vertical="center"/>
    </x:xf>
    <x:xf numFmtId="165" fontId="14" fillId="0" borderId="1" xfId="0" applyAlignment="1">
      <x:alignment vertical="center"/>
    </x:xf>
    <x:xf numFmtId="165" fontId="14" fillId="6" borderId="1" xfId="0" applyAlignment="1">
      <x:alignment vertical="center"/>
    </x:xf>
    <x:xf numFmtId="166" fontId="14" fillId="0" borderId="1" xfId="0" applyAlignment="1">
      <x:alignment vertical="center"/>
    </x:xf>
    <x:xf numFmtId="0" fontId="14" fillId="6" borderId="0" xfId="0" applyAlignment="1">
      <x:alignment vertical="center"/>
    </x:xf>
    <x:xf numFmtId="164" fontId="15" fillId="0" borderId="0" xfId="0" applyAlignment="1">
      <x:alignment vertical="center"/>
    </x:xf>
    <x:xf numFmtId="164" fontId="14" fillId="0" borderId="0" xfId="0" applyAlignment="1">
      <x:alignment vertical="center"/>
    </x:xf>
    <x:xf numFmtId="0" fontId="13" fillId="6" borderId="0" xfId="0" applyAlignment="1">
      <x:alignment vertical="center"/>
    </x:xf>
    <x:xf numFmtId="164" fontId="15" fillId="6" borderId="0" xfId="0" applyAlignment="1">
      <x:alignment vertical="center"/>
    </x:xf>
    <x:xf numFmtId="164" fontId="14" fillId="6" borderId="0" xfId="0" applyAlignment="1">
      <x:alignment vertical="center"/>
    </x:xf>
    <x:xf numFmtId="165" fontId="15" fillId="0" borderId="0" xfId="0" applyAlignment="1">
      <x:alignment vertical="center"/>
    </x:xf>
    <x:xf numFmtId="165" fontId="14" fillId="0" borderId="0" xfId="0" applyAlignment="1">
      <x:alignment vertical="center"/>
    </x:xf>
    <x:xf numFmtId="165" fontId="14" fillId="6" borderId="0" xfId="0" applyAlignment="1">
      <x:alignment vertical="center"/>
    </x:xf>
    <x:xf numFmtId="166" fontId="14" fillId="0" borderId="0" xfId="0" applyAlignment="1">
      <x:alignment vertical="center"/>
    </x:xf>
    <x:xf numFmtId="0" fontId="14" fillId="6" borderId="1" xfId="0" applyAlignment="1">
      <x:alignment vertical="center"/>
    </x:xf>
    <x:xf numFmtId="164" fontId="15" fillId="0" borderId="1" xfId="0" applyAlignment="1">
      <x:alignment vertical="center"/>
    </x:xf>
    <x:xf numFmtId="164" fontId="14" fillId="0" borderId="1" xfId="0" applyAlignment="1">
      <x:alignment vertical="center"/>
    </x:xf>
    <x:xf numFmtId="0" fontId="13" fillId="6" borderId="1" xfId="0" applyAlignment="1">
      <x:alignment vertical="center"/>
    </x:xf>
    <x:xf numFmtId="164" fontId="15" fillId="6" borderId="1" xfId="0" applyAlignment="1">
      <x:alignment vertical="center"/>
    </x:xf>
    <x:xf numFmtId="164" fontId="14" fillId="6" borderId="1" xfId="0" applyAlignment="1">
      <x:alignment vertical="center"/>
    </x:xf>
    <x:xf numFmtId="165" fontId="15" fillId="0" borderId="1" xfId="0" applyAlignment="1">
      <x:alignment vertical="center"/>
    </x:xf>
    <x:xf numFmtId="165" fontId="14" fillId="0" borderId="1" xfId="0" applyAlignment="1">
      <x:alignment vertical="center"/>
    </x:xf>
    <x:xf numFmtId="165" fontId="14" fillId="6" borderId="1" xfId="0" applyAlignment="1">
      <x:alignment vertical="center"/>
    </x:xf>
    <x:xf numFmtId="166" fontId="14" fillId="0" borderId="1" xfId="0" applyAlignment="1">
      <x:alignment vertical="center"/>
    </x:xf>
    <x:xf numFmtId="164" fontId="13" fillId="0" borderId="0" xfId="0"/>
    <x:xf numFmtId="167" fontId="13" fillId="0" borderId="0" xfId="0"/>
    <x:xf numFmtId="165" fontId="13" fillId="0" borderId="0" xfId="0"/>
    <x:xf numFmtId="164" fontId="13" fillId="0" borderId="1" xfId="0"/>
    <x:xf numFmtId="167" fontId="13" fillId="0" borderId="1" xfId="0"/>
    <x:xf numFmtId="165" fontId="13" fillId="0" borderId="1" xfId="0"/>
    <x:xf numFmtId="164" fontId="13" fillId="0" borderId="0" xfId="0" applyAlignment="1">
      <x:alignment vertical="center"/>
    </x:xf>
    <x:xf numFmtId="167" fontId="13" fillId="0" borderId="0" xfId="0" applyAlignment="1">
      <x:alignment vertical="center"/>
    </x:xf>
    <x:xf numFmtId="165" fontId="13" fillId="0" borderId="0" xfId="0" applyAlignment="1">
      <x:alignment vertical="center"/>
    </x:xf>
    <x:xf numFmtId="164" fontId="13" fillId="0" borderId="1" xfId="0" applyAlignment="1">
      <x:alignment vertical="center"/>
    </x:xf>
    <x:xf numFmtId="167" fontId="13" fillId="0" borderId="1" xfId="0" applyAlignment="1">
      <x:alignment vertical="center"/>
    </x:xf>
    <x:xf numFmtId="165" fontId="13" fillId="0" borderId="1" xfId="0" applyAlignment="1">
      <x:alignment vertical="center"/>
    </x:xf>
    <x:xf numFmtId="164" fontId="13" fillId="0" borderId="0" xfId="0" applyAlignment="1">
      <x:alignment vertical="center"/>
    </x:xf>
    <x:xf numFmtId="167" fontId="13" fillId="0" borderId="0" xfId="0" applyAlignment="1">
      <x:alignment vertical="center"/>
    </x:xf>
    <x:xf numFmtId="165" fontId="13" fillId="0" borderId="0" xfId="0" applyAlignment="1">
      <x:alignment vertical="center"/>
    </x:xf>
    <x:xf numFmtId="164" fontId="13" fillId="0" borderId="1" xfId="0" applyAlignment="1">
      <x:alignment vertical="center"/>
    </x:xf>
    <x:xf numFmtId="167" fontId="13" fillId="0" borderId="1" xfId="0" applyAlignment="1">
      <x:alignment vertical="center"/>
    </x:xf>
    <x:xf numFmtId="165" fontId="13" fillId="0" borderId="1" xfId="0" applyAlignment="1">
      <x:alignment vertical="center"/>
    </x:xf>
    <x:xf numFmtId="0" fontId="15" fillId="0" borderId="0" xfId="0"/>
    <x:xf numFmtId="0" fontId="16" fillId="0" borderId="4" xfId="0"/>
    <x:xf numFmtId="165" fontId="16" fillId="0" borderId="4" xfId="0"/>
    <x:xf numFmtId="164" fontId="16" fillId="0" borderId="4" xfId="0"/>
    <x:xf numFmtId="165" fontId="17" fillId="0" borderId="0" xfId="0"/>
    <x:xf numFmtId="168" fontId="13" fillId="0" borderId="0" xfId="0"/>
    <x:xf numFmtId="0" fontId="18" fillId="0" borderId="0" xfId="0"/>
    <x:xf numFmtId="165" fontId="19" fillId="0" borderId="0" xfId="0"/>
    <x:xf numFmtId="164" fontId="19" fillId="0" borderId="0" xfId="0"/>
    <x:xf numFmtId="169" fontId="19" fillId="0" borderId="0" xfId="0"/>
    <x:xf numFmtId="0" fontId="15" fillId="0" borderId="1" xfId="0"/>
    <x:xf numFmtId="0" fontId="16" fillId="0" borderId="5" xfId="0"/>
    <x:xf numFmtId="165" fontId="16" fillId="0" borderId="5" xfId="0"/>
    <x:xf numFmtId="164" fontId="16" fillId="0" borderId="5" xfId="0"/>
    <x:xf numFmtId="165" fontId="17" fillId="0" borderId="1" xfId="0"/>
    <x:xf numFmtId="168" fontId="13" fillId="0" borderId="1" xfId="0"/>
    <x:xf numFmtId="0" fontId="18" fillId="0" borderId="1" xfId="0"/>
    <x:xf numFmtId="165" fontId="19" fillId="0" borderId="1" xfId="0"/>
    <x:xf numFmtId="164" fontId="19" fillId="0" borderId="1" xfId="0"/>
    <x:xf numFmtId="169" fontId="19" fillId="0" borderId="1" xfId="0"/>
    <x:xf numFmtId="0" fontId="15" fillId="0" borderId="0" xfId="0" applyAlignment="1">
      <x:alignment vertical="center"/>
    </x:xf>
    <x:xf numFmtId="0" fontId="16" fillId="0" borderId="4" xfId="0" applyAlignment="1">
      <x:alignment vertical="center"/>
    </x:xf>
    <x:xf numFmtId="165" fontId="16" fillId="0" borderId="4" xfId="0" applyAlignment="1">
      <x:alignment vertical="center"/>
    </x:xf>
    <x:xf numFmtId="164" fontId="16" fillId="0" borderId="4" xfId="0" applyAlignment="1">
      <x:alignment vertical="center"/>
    </x:xf>
    <x:xf numFmtId="165" fontId="17" fillId="0" borderId="0" xfId="0" applyAlignment="1">
      <x:alignment vertical="center"/>
    </x:xf>
    <x:xf numFmtId="168" fontId="13" fillId="0" borderId="0" xfId="0" applyAlignment="1">
      <x:alignment vertical="center"/>
    </x:xf>
    <x:xf numFmtId="0" fontId="18" fillId="0" borderId="0" xfId="0" applyAlignment="1">
      <x:alignment vertical="center"/>
    </x:xf>
    <x:xf numFmtId="165" fontId="19" fillId="0" borderId="0" xfId="0" applyAlignment="1">
      <x:alignment vertical="center"/>
    </x:xf>
    <x:xf numFmtId="164" fontId="19" fillId="0" borderId="0" xfId="0" applyAlignment="1">
      <x:alignment vertical="center"/>
    </x:xf>
    <x:xf numFmtId="169" fontId="19" fillId="0" borderId="0" xfId="0" applyAlignment="1">
      <x:alignment vertical="center"/>
    </x:xf>
    <x:xf numFmtId="0" fontId="15" fillId="0" borderId="1" xfId="0" applyAlignment="1">
      <x:alignment vertical="center"/>
    </x:xf>
    <x:xf numFmtId="0" fontId="16" fillId="0" borderId="5" xfId="0" applyAlignment="1">
      <x:alignment vertical="center"/>
    </x:xf>
    <x:xf numFmtId="165" fontId="16" fillId="0" borderId="5" xfId="0" applyAlignment="1">
      <x:alignment vertical="center"/>
    </x:xf>
    <x:xf numFmtId="164" fontId="16" fillId="0" borderId="5" xfId="0" applyAlignment="1">
      <x:alignment vertical="center"/>
    </x:xf>
    <x:xf numFmtId="165" fontId="17" fillId="0" borderId="1" xfId="0" applyAlignment="1">
      <x:alignment vertical="center"/>
    </x:xf>
    <x:xf numFmtId="168" fontId="13" fillId="0" borderId="1" xfId="0" applyAlignment="1">
      <x:alignment vertical="center"/>
    </x:xf>
    <x:xf numFmtId="0" fontId="18" fillId="0" borderId="1" xfId="0" applyAlignment="1">
      <x:alignment vertical="center"/>
    </x:xf>
    <x:xf numFmtId="165" fontId="19" fillId="0" borderId="1" xfId="0" applyAlignment="1">
      <x:alignment vertical="center"/>
    </x:xf>
    <x:xf numFmtId="164" fontId="19" fillId="0" borderId="1" xfId="0" applyAlignment="1">
      <x:alignment vertical="center"/>
    </x:xf>
    <x:xf numFmtId="169" fontId="19" fillId="0" borderId="1" xfId="0" applyAlignment="1">
      <x:alignment vertical="center"/>
    </x:xf>
    <x:xf numFmtId="0" fontId="15" fillId="0" borderId="0" xfId="0" applyAlignment="1">
      <x:alignment vertical="center"/>
    </x:xf>
    <x:xf numFmtId="0" fontId="16" fillId="0" borderId="4" xfId="0" applyAlignment="1">
      <x:alignment vertical="center"/>
    </x:xf>
    <x:xf numFmtId="165" fontId="16" fillId="0" borderId="4" xfId="0" applyAlignment="1">
      <x:alignment vertical="center"/>
    </x:xf>
    <x:xf numFmtId="164" fontId="16" fillId="0" borderId="4" xfId="0" applyAlignment="1">
      <x:alignment vertical="center"/>
    </x:xf>
    <x:xf numFmtId="165" fontId="17" fillId="0" borderId="0" xfId="0" applyAlignment="1">
      <x:alignment vertical="center"/>
    </x:xf>
    <x:xf numFmtId="168" fontId="13" fillId="0" borderId="0" xfId="0" applyAlignment="1">
      <x:alignment vertical="center"/>
    </x:xf>
    <x:xf numFmtId="0" fontId="18" fillId="0" borderId="0" xfId="0" applyAlignment="1">
      <x:alignment vertical="center"/>
    </x:xf>
    <x:xf numFmtId="165" fontId="19" fillId="0" borderId="0" xfId="0" applyAlignment="1">
      <x:alignment vertical="center"/>
    </x:xf>
    <x:xf numFmtId="164" fontId="19" fillId="0" borderId="0" xfId="0" applyAlignment="1">
      <x:alignment vertical="center"/>
    </x:xf>
    <x:xf numFmtId="169" fontId="19" fillId="0" borderId="0" xfId="0" applyAlignment="1">
      <x:alignment vertical="center"/>
    </x:xf>
    <x:xf numFmtId="0" fontId="15" fillId="0" borderId="1" xfId="0" applyAlignment="1">
      <x:alignment vertical="center"/>
    </x:xf>
    <x:xf numFmtId="0" fontId="16" fillId="0" borderId="5" xfId="0" applyAlignment="1">
      <x:alignment vertical="center"/>
    </x:xf>
    <x:xf numFmtId="165" fontId="16" fillId="0" borderId="5" xfId="0" applyAlignment="1">
      <x:alignment vertical="center"/>
    </x:xf>
    <x:xf numFmtId="164" fontId="16" fillId="0" borderId="5" xfId="0" applyAlignment="1">
      <x:alignment vertical="center"/>
    </x:xf>
    <x:xf numFmtId="165" fontId="17" fillId="0" borderId="1" xfId="0" applyAlignment="1">
      <x:alignment vertical="center"/>
    </x:xf>
    <x:xf numFmtId="168" fontId="13" fillId="0" borderId="1" xfId="0" applyAlignment="1">
      <x:alignment vertical="center"/>
    </x:xf>
    <x:xf numFmtId="0" fontId="18" fillId="0" borderId="1" xfId="0" applyAlignment="1">
      <x:alignment vertical="center"/>
    </x:xf>
    <x:xf numFmtId="165" fontId="19" fillId="0" borderId="1" xfId="0" applyAlignment="1">
      <x:alignment vertical="center"/>
    </x:xf>
    <x:xf numFmtId="164" fontId="19" fillId="0" borderId="1" xfId="0" applyAlignment="1">
      <x:alignment vertical="center"/>
    </x:xf>
    <x:xf numFmtId="169" fontId="19" fillId="0" borderId="1" xfId="0" applyAlignment="1">
      <x:alignment vertical="center"/>
    </x:xf>
    <x:xf numFmtId="169" fontId="15" fillId="0" borderId="0" xfId="0"/>
    <x:xf numFmtId="169" fontId="17" fillId="0" borderId="0" xfId="0"/>
    <x:xf numFmtId="169" fontId="15" fillId="0" borderId="1" xfId="0"/>
    <x:xf numFmtId="169" fontId="17" fillId="0" borderId="1" xfId="0"/>
    <x:xf numFmtId="169" fontId="15" fillId="0" borderId="0" xfId="0" applyAlignment="1">
      <x:alignment vertical="center"/>
    </x:xf>
    <x:xf numFmtId="169" fontId="17" fillId="0" borderId="0" xfId="0" applyAlignment="1">
      <x:alignment vertical="center"/>
    </x:xf>
    <x:xf numFmtId="169" fontId="15" fillId="0" borderId="1" xfId="0" applyAlignment="1">
      <x:alignment vertical="center"/>
    </x:xf>
    <x:xf numFmtId="169" fontId="17" fillId="0" borderId="1" xfId="0" applyAlignment="1">
      <x:alignment vertical="center"/>
    </x:xf>
    <x:xf numFmtId="169" fontId="15" fillId="0" borderId="0" xfId="0" applyAlignment="1">
      <x:alignment vertical="center"/>
    </x:xf>
    <x:xf numFmtId="169" fontId="17" fillId="0" borderId="0" xfId="0" applyAlignment="1">
      <x:alignment vertical="center"/>
    </x:xf>
    <x:xf numFmtId="169" fontId="15" fillId="0" borderId="1" xfId="0" applyAlignment="1">
      <x:alignment vertical="center"/>
    </x:xf>
    <x:xf numFmtId="169" fontId="17" fillId="0" borderId="1" xfId="0" applyAlignment="1">
      <x:alignment vertical="center"/>
    </x:xf>
    <x:xf numFmtId="166" fontId="16" fillId="0" borderId="4" xfId="0"/>
    <x:xf numFmtId="166" fontId="16" fillId="0" borderId="5" xfId="0"/>
    <x:xf numFmtId="166" fontId="16" fillId="0" borderId="4" xfId="0" applyAlignment="1">
      <x:alignment vertical="center"/>
    </x:xf>
    <x:xf numFmtId="166" fontId="16" fillId="0" borderId="5" xfId="0" applyAlignment="1">
      <x:alignment vertical="center"/>
    </x:xf>
    <x:xf numFmtId="166" fontId="16" fillId="0" borderId="4" xfId="0" applyAlignment="1">
      <x:alignment vertical="center"/>
    </x:xf>
    <x:xf numFmtId="166" fontId="16" fillId="0" borderId="5" xfId="0" applyAlignment="1">
      <x:alignment vertical="center"/>
    </x:xf>
    <x:xf numFmtId="164" fontId="17" fillId="0" borderId="0" xfId="0"/>
    <x:xf numFmtId="164" fontId="17" fillId="0" borderId="1" xfId="0"/>
    <x:xf numFmtId="164" fontId="17" fillId="0" borderId="0" xfId="0" applyAlignment="1">
      <x:alignment vertical="center"/>
    </x:xf>
    <x:xf numFmtId="164" fontId="17" fillId="0" borderId="1" xfId="0" applyAlignment="1">
      <x:alignment vertical="center"/>
    </x:xf>
    <x:xf numFmtId="164" fontId="17" fillId="0" borderId="0" xfId="0" applyAlignment="1">
      <x:alignment vertical="center"/>
    </x:xf>
    <x:xf numFmtId="164" fontId="17" fillId="0" borderId="1" xfId="0" applyAlignment="1">
      <x:alignment vertical="center"/>
    </x:xf>
    <x:xf numFmtId="164" fontId="12" fillId="5" borderId="2" xfId="0" applyAlignment="1">
      <x:alignment horizontal="center" vertical="center" wrapText="1"/>
    </x:xf>
    <x:xf numFmtId="164" fontId="16" fillId="7" borderId="0" xfId="0"/>
    <x:xf numFmtId="164" fontId="12" fillId="5" borderId="3" xfId="0" applyAlignment="1">
      <x:alignment horizontal="center" vertical="center" wrapText="1"/>
    </x:xf>
    <x:xf numFmtId="164" fontId="16" fillId="7" borderId="1" xfId="0"/>
    <x:xf numFmtId="164" fontId="16" fillId="7" borderId="0" xfId="0" applyAlignment="1">
      <x:alignment vertical="center"/>
    </x:xf>
    <x:xf numFmtId="164" fontId="16" fillId="7" borderId="1" xfId="0" applyAlignment="1">
      <x:alignment vertical="center"/>
    </x:xf>
    <x:xf numFmtId="164" fontId="12" fillId="5" borderId="2" xfId="0" applyAlignment="1">
      <x:alignment horizontal="center" vertical="center"/>
    </x:xf>
    <x:xf numFmtId="164" fontId="16" fillId="7" borderId="0" xfId="0" applyAlignment="1">
      <x:alignment vertical="center"/>
    </x:xf>
    <x:xf numFmtId="164" fontId="12" fillId="5" borderId="3" xfId="0" applyAlignment="1">
      <x:alignment horizontal="center" vertical="center"/>
    </x:xf>
    <x:xf numFmtId="164" fontId="16" fillId="7" borderId="1" xfId="0" applyAlignment="1">
      <x:alignment vertical="center"/>
    </x:xf>
    <x:xf numFmtId="0" fontId="17" fillId="0" borderId="0" xfId="0"/>
    <x:xf numFmtId="166" fontId="15" fillId="0" borderId="0" xfId="0"/>
    <x:xf numFmtId="0" fontId="13" fillId="8" borderId="0" xfId="0"/>
    <x:xf numFmtId="0" fontId="17" fillId="0" borderId="1" xfId="0"/>
    <x:xf numFmtId="166" fontId="15" fillId="0" borderId="1" xfId="0"/>
    <x:xf numFmtId="0" fontId="13" fillId="8" borderId="1" xfId="0"/>
    <x:xf numFmtId="0" fontId="17" fillId="0" borderId="0" xfId="0" applyAlignment="1">
      <x:alignment vertical="center"/>
    </x:xf>
    <x:xf numFmtId="166" fontId="15" fillId="0" borderId="0" xfId="0" applyAlignment="1">
      <x:alignment vertical="center"/>
    </x:xf>
    <x:xf numFmtId="0" fontId="13" fillId="8" borderId="0" xfId="0" applyAlignment="1">
      <x:alignment vertical="center"/>
    </x:xf>
    <x:xf numFmtId="0" fontId="17" fillId="0" borderId="1" xfId="0" applyAlignment="1">
      <x:alignment vertical="center"/>
    </x:xf>
    <x:xf numFmtId="166" fontId="15" fillId="0" borderId="1" xfId="0" applyAlignment="1">
      <x:alignment vertical="center"/>
    </x:xf>
    <x:xf numFmtId="0" fontId="13" fillId="8" borderId="1" xfId="0" applyAlignment="1">
      <x:alignment vertical="center"/>
    </x:xf>
    <x:xf numFmtId="0" fontId="17" fillId="0" borderId="0" xfId="0" applyAlignment="1">
      <x:alignment vertical="center"/>
    </x:xf>
    <x:xf numFmtId="166" fontId="15" fillId="0" borderId="0" xfId="0" applyAlignment="1">
      <x:alignment vertical="center"/>
    </x:xf>
    <x:xf numFmtId="0" fontId="13" fillId="8" borderId="0" xfId="0" applyAlignment="1">
      <x:alignment vertical="center"/>
    </x:xf>
    <x:xf numFmtId="0" fontId="17" fillId="0" borderId="1" xfId="0" applyAlignment="1">
      <x:alignment vertical="center"/>
    </x:xf>
    <x:xf numFmtId="166" fontId="15" fillId="0" borderId="1" xfId="0" applyAlignment="1">
      <x:alignment vertical="center"/>
    </x:xf>
    <x:xf numFmtId="0" fontId="13" fillId="8" borderId="1" xfId="0" applyAlignment="1">
      <x:alignment vertical="center"/>
    </x:xf>
    <x:xf numFmtId="0" fontId="12" fillId="5" borderId="0" xfId="0" applyAlignment="1">
      <x:alignment horizontal="center"/>
    </x:xf>
    <x:xf numFmtId="49" fontId="20" fillId="3" borderId="0" xfId="0" applyAlignment="1">
      <x:alignment horizontal="center" vertical="center"/>
    </x:xf>
    <x:xf numFmtId="165" fontId="20" fillId="3" borderId="0" xfId="0" applyAlignment="1">
      <x:alignment horizontal="center" vertical="center"/>
    </x:xf>
    <x:xf numFmtId="164" fontId="20" fillId="3" borderId="0" xfId="0" applyAlignment="1">
      <x:alignment horizontal="center" vertical="center"/>
    </x:xf>
    <x:xf numFmtId="166" fontId="13" fillId="0" borderId="0" xfId="0"/>
    <x:xf numFmtId="169" fontId="20" fillId="3" borderId="0" xfId="0" applyAlignment="1">
      <x:alignment horizontal="center" vertical="center"/>
    </x:xf>
    <x:xf numFmtId="166" fontId="20" fillId="3" borderId="0" xfId="0" applyAlignment="1">
      <x:alignment horizontal="center" vertical="center"/>
    </x:xf>
    <x:xf numFmtId="0" fontId="17" fillId="0" borderId="0" xfId="0" applyAlignment="1">
      <x:alignment wrapText="1"/>
    </x:xf>
    <x:xf numFmtId="169" fontId="17" fillId="0" borderId="0" xfId="0" applyAlignment="1">
      <x:alignment wrapText="1"/>
    </x:xf>
    <x:xf numFmtId="0" fontId="12" fillId="5" borderId="1" xfId="0" applyAlignment="1">
      <x:alignment horizontal="center"/>
    </x:xf>
    <x:xf numFmtId="49" fontId="20" fillId="3" borderId="1" xfId="0" applyAlignment="1">
      <x:alignment horizontal="center" vertical="center"/>
    </x:xf>
    <x:xf numFmtId="165" fontId="20" fillId="3" borderId="1" xfId="0" applyAlignment="1">
      <x:alignment horizontal="center" vertical="center"/>
    </x:xf>
    <x:xf numFmtId="164" fontId="20" fillId="3" borderId="1" xfId="0" applyAlignment="1">
      <x:alignment horizontal="center" vertical="center"/>
    </x:xf>
    <x:xf numFmtId="166" fontId="13" fillId="0" borderId="1" xfId="0"/>
    <x:xf numFmtId="169" fontId="20" fillId="3" borderId="1" xfId="0" applyAlignment="1">
      <x:alignment horizontal="center" vertical="center"/>
    </x:xf>
    <x:xf numFmtId="166" fontId="20" fillId="3" borderId="1" xfId="0" applyAlignment="1">
      <x:alignment horizontal="center" vertical="center"/>
    </x:xf>
    <x:xf numFmtId="0" fontId="17" fillId="0" borderId="1" xfId="0" applyAlignment="1">
      <x:alignment wrapText="1"/>
    </x:xf>
    <x:xf numFmtId="169" fontId="17" fillId="0" borderId="1" xfId="0" applyAlignment="1">
      <x:alignment wrapText="1"/>
    </x:xf>
    <x:xf numFmtId="0" fontId="12" fillId="5" borderId="0" xfId="0" applyAlignment="1">
      <x:alignment horizontal="center" vertical="center"/>
    </x:xf>
    <x:xf numFmtId="166" fontId="13" fillId="0" borderId="0" xfId="0" applyAlignment="1">
      <x:alignment vertical="center"/>
    </x:xf>
    <x:xf numFmtId="0" fontId="17" fillId="0" borderId="0" xfId="0" applyAlignment="1">
      <x:alignment vertical="center" wrapText="1"/>
    </x:xf>
    <x:xf numFmtId="169" fontId="17" fillId="0" borderId="0" xfId="0" applyAlignment="1">
      <x:alignment vertical="center" wrapText="1"/>
    </x:xf>
    <x:xf numFmtId="0" fontId="12" fillId="5" borderId="1" xfId="0" applyAlignment="1">
      <x:alignment horizontal="center" vertical="center"/>
    </x:xf>
    <x:xf numFmtId="166" fontId="13" fillId="0" borderId="1" xfId="0" applyAlignment="1">
      <x:alignment vertical="center"/>
    </x:xf>
    <x:xf numFmtId="0" fontId="17" fillId="0" borderId="1" xfId="0" applyAlignment="1">
      <x:alignment vertical="center" wrapText="1"/>
    </x:xf>
    <x:xf numFmtId="169" fontId="17" fillId="0" borderId="1" xfId="0" applyAlignment="1">
      <x:alignment vertical="center" wrapText="1"/>
    </x:xf>
    <x:xf numFmtId="0" fontId="12" fillId="5" borderId="0" xfId="0" applyAlignment="1">
      <x:alignment horizontal="center" vertical="center"/>
    </x:xf>
    <x:xf numFmtId="49" fontId="20" fillId="3" borderId="0" xfId="0" applyAlignment="1">
      <x:alignment horizontal="center" vertical="center"/>
    </x:xf>
    <x:xf numFmtId="165" fontId="20" fillId="3" borderId="0" xfId="0" applyAlignment="1">
      <x:alignment horizontal="center" vertical="center"/>
    </x:xf>
    <x:xf numFmtId="164" fontId="20" fillId="3" borderId="0" xfId="0" applyAlignment="1">
      <x:alignment horizontal="center" vertical="center"/>
    </x:xf>
    <x:xf numFmtId="166" fontId="13" fillId="0" borderId="0" xfId="0" applyAlignment="1">
      <x:alignment vertical="center"/>
    </x:xf>
    <x:xf numFmtId="169" fontId="20" fillId="3" borderId="0" xfId="0" applyAlignment="1">
      <x:alignment horizontal="center" vertical="center"/>
    </x:xf>
    <x:xf numFmtId="166" fontId="20" fillId="3" borderId="0" xfId="0" applyAlignment="1">
      <x:alignment horizontal="center" vertical="center"/>
    </x:xf>
    <x:xf numFmtId="0" fontId="12" fillId="5" borderId="1" xfId="0" applyAlignment="1">
      <x:alignment horizontal="center" vertical="center"/>
    </x:xf>
    <x:xf numFmtId="49" fontId="20" fillId="3" borderId="1" xfId="0" applyAlignment="1">
      <x:alignment horizontal="center" vertical="center"/>
    </x:xf>
    <x:xf numFmtId="165" fontId="20" fillId="3" borderId="1" xfId="0" applyAlignment="1">
      <x:alignment horizontal="center" vertical="center"/>
    </x:xf>
    <x:xf numFmtId="164" fontId="20" fillId="3" borderId="1" xfId="0" applyAlignment="1">
      <x:alignment horizontal="center" vertical="center"/>
    </x:xf>
    <x:xf numFmtId="166" fontId="13" fillId="0" borderId="1" xfId="0" applyAlignment="1">
      <x:alignment vertical="center"/>
    </x:xf>
    <x:xf numFmtId="169" fontId="20" fillId="3" borderId="1" xfId="0" applyAlignment="1">
      <x:alignment horizontal="center" vertical="center"/>
    </x:xf>
    <x:xf numFmtId="166" fontId="20" fillId="3" borderId="1" xfId="0" applyAlignment="1">
      <x:alignment horizontal="center" vertical="center"/>
    </x:xf>
    <x:xf numFmtId="0" fontId="1" fillId="2" borderId="0" xfId="0" applyAlignment="1">
      <x:alignment horizontal="left" vertical="center"/>
    </x:xf>
    <x:xf numFmtId="0" fontId="1" fillId="2" borderId="1" xfId="0" applyAlignment="1">
      <x:alignment horizontal="left" vertical="center"/>
    </x:xf>
    <x:xf numFmtId="0" fontId="1" fillId="2" borderId="0" xfId="0" applyAlignment="1">
      <x:alignment horizontal="left" vertical="center" wrapText="1"/>
    </x:xf>
    <x:xf numFmtId="0" fontId="12" fillId="4" borderId="0" xfId="0" applyAlignment="1">
      <x:alignment horizontal="left" vertical="center" wrapText="1"/>
    </x:xf>
    <x:xf numFmtId="0" fontId="1" fillId="2" borderId="1" xfId="0" applyAlignment="1">
      <x:alignment horizontal="left" vertical="center" wrapText="1"/>
    </x:xf>
    <x:xf numFmtId="0" fontId="12" fillId="4" borderId="1" xfId="0" applyAlignment="1">
      <x:alignment horizontal="left" vertical="center" wrapText="1"/>
    </x:xf>
    <x:xf numFmtId="0" fontId="14" fillId="6" borderId="0" xfId="0" applyAlignment="1">
      <x:alignment vertical="center" wrapText="1"/>
    </x:xf>
    <x:xf numFmtId="164" fontId="15" fillId="0" borderId="0" xfId="0" applyAlignment="1">
      <x:alignment vertical="center" wrapText="1"/>
    </x:xf>
    <x:xf numFmtId="164" fontId="14" fillId="0" borderId="0" xfId="0" applyAlignment="1">
      <x:alignment vertical="center" wrapText="1"/>
    </x:xf>
    <x:xf numFmtId="0" fontId="13" fillId="6" borderId="0" xfId="0" applyAlignment="1">
      <x:alignment vertical="center" wrapText="1"/>
    </x:xf>
    <x:xf numFmtId="164" fontId="15" fillId="6" borderId="0" xfId="0" applyAlignment="1">
      <x:alignment vertical="center" wrapText="1"/>
    </x:xf>
    <x:xf numFmtId="164" fontId="14" fillId="6" borderId="0" xfId="0" applyAlignment="1">
      <x:alignment vertical="center" wrapText="1"/>
    </x:xf>
    <x:xf numFmtId="165" fontId="15" fillId="0" borderId="0" xfId="0" applyAlignment="1">
      <x:alignment vertical="center" wrapText="1"/>
    </x:xf>
    <x:xf numFmtId="165" fontId="14" fillId="0" borderId="0" xfId="0" applyAlignment="1">
      <x:alignment vertical="center" wrapText="1"/>
    </x:xf>
    <x:xf numFmtId="165" fontId="14" fillId="6" borderId="0" xfId="0" applyAlignment="1">
      <x:alignment vertical="center" wrapText="1"/>
    </x:xf>
    <x:xf numFmtId="166" fontId="14" fillId="0" borderId="0" xfId="0" applyAlignment="1">
      <x:alignment vertical="center" wrapText="1"/>
    </x:xf>
    <x:xf numFmtId="0" fontId="14" fillId="6" borderId="1" xfId="0" applyAlignment="1">
      <x:alignment vertical="center" wrapText="1"/>
    </x:xf>
    <x:xf numFmtId="164" fontId="15" fillId="0" borderId="1" xfId="0" applyAlignment="1">
      <x:alignment vertical="center" wrapText="1"/>
    </x:xf>
    <x:xf numFmtId="164" fontId="14" fillId="0" borderId="1" xfId="0" applyAlignment="1">
      <x:alignment vertical="center" wrapText="1"/>
    </x:xf>
    <x:xf numFmtId="0" fontId="13" fillId="6" borderId="1" xfId="0" applyAlignment="1">
      <x:alignment vertical="center" wrapText="1"/>
    </x:xf>
    <x:xf numFmtId="164" fontId="15" fillId="6" borderId="1" xfId="0" applyAlignment="1">
      <x:alignment vertical="center" wrapText="1"/>
    </x:xf>
    <x:xf numFmtId="164" fontId="14" fillId="6" borderId="1" xfId="0" applyAlignment="1">
      <x:alignment vertical="center" wrapText="1"/>
    </x:xf>
    <x:xf numFmtId="165" fontId="15" fillId="0" borderId="1" xfId="0" applyAlignment="1">
      <x:alignment vertical="center" wrapText="1"/>
    </x:xf>
    <x:xf numFmtId="165" fontId="14" fillId="0" borderId="1" xfId="0" applyAlignment="1">
      <x:alignment vertical="center" wrapText="1"/>
    </x:xf>
    <x:xf numFmtId="165" fontId="14" fillId="6" borderId="1" xfId="0" applyAlignment="1">
      <x:alignment vertical="center" wrapText="1"/>
    </x:xf>
    <x:xf numFmtId="166" fontId="14" fillId="0" borderId="1" xfId="0" applyAlignment="1">
      <x:alignment vertical="center" wrapText="1"/>
    </x:xf>
    <x:xf numFmtId="164" fontId="13" fillId="0" borderId="0" xfId="0" applyAlignment="1">
      <x:alignment vertical="center" wrapText="1"/>
    </x:xf>
    <x:xf numFmtId="167" fontId="13" fillId="0" borderId="0" xfId="0" applyAlignment="1">
      <x:alignment vertical="center" wrapText="1"/>
    </x:xf>
    <x:xf numFmtId="165" fontId="13" fillId="0" borderId="0" xfId="0" applyAlignment="1">
      <x:alignment vertical="center" wrapText="1"/>
    </x:xf>
    <x:xf numFmtId="164" fontId="13" fillId="0" borderId="1" xfId="0" applyAlignment="1">
      <x:alignment vertical="center" wrapText="1"/>
    </x:xf>
    <x:xf numFmtId="167" fontId="13" fillId="0" borderId="1" xfId="0" applyAlignment="1">
      <x:alignment vertical="center" wrapText="1"/>
    </x:xf>
    <x:xf numFmtId="165" fontId="13" fillId="0" borderId="1" xfId="0" applyAlignment="1">
      <x:alignment vertical="center" wrapText="1"/>
    </x:xf>
    <x:xf numFmtId="169" fontId="15" fillId="0" borderId="0" xfId="0" applyAlignment="1">
      <x:alignment vertical="center" wrapText="1"/>
    </x:xf>
    <x:xf numFmtId="166" fontId="15" fillId="0" borderId="0" xfId="0" applyAlignment="1">
      <x:alignment vertical="center" wrapText="1"/>
    </x:xf>
    <x:xf numFmtId="0" fontId="13" fillId="8" borderId="0" xfId="0" applyAlignment="1">
      <x:alignment vertical="center" wrapText="1"/>
    </x:xf>
    <x:xf numFmtId="169" fontId="15" fillId="0" borderId="1" xfId="0" applyAlignment="1">
      <x:alignment vertical="center" wrapText="1"/>
    </x:xf>
    <x:xf numFmtId="166" fontId="15" fillId="0" borderId="1" xfId="0" applyAlignment="1">
      <x:alignment vertical="center" wrapText="1"/>
    </x:xf>
    <x:xf numFmtId="0" fontId="13" fillId="8" borderId="1" xfId="0" applyAlignment="1">
      <x:alignment vertical="center" wrapText="1"/>
    </x:xf>
    <x:xf numFmtId="0" fontId="13" fillId="5" borderId="0" xfId="0" applyAlignment="1">
      <x:alignment vertical="center"/>
    </x:xf>
    <x:xf numFmtId="0" fontId="4" fillId="5" borderId="2" xfId="0" applyAlignment="1">
      <x:alignment horizontal="center" vertical="center"/>
    </x:xf>
    <x:xf numFmtId="0" fontId="4" fillId="5" borderId="0" xfId="0" applyAlignment="1">
      <x:alignment vertical="center"/>
    </x:xf>
    <x:xf numFmtId="0" fontId="4" fillId="5" borderId="2" xfId="0" applyAlignment="1">
      <x:alignment vertical="center"/>
    </x:xf>
    <x:xf numFmtId="0" fontId="4" fillId="5" borderId="2" xfId="0" applyAlignment="1">
      <x:alignment vertical="center" wrapText="1"/>
    </x:xf>
    <x:xf numFmtId="0" fontId="13" fillId="5" borderId="1" xfId="0" applyAlignment="1">
      <x:alignment vertical="center"/>
    </x:xf>
    <x:xf numFmtId="0" fontId="4" fillId="5" borderId="3" xfId="0" applyAlignment="1">
      <x:alignment horizontal="center" vertical="center"/>
    </x:xf>
    <x:xf numFmtId="0" fontId="4" fillId="5" borderId="1" xfId="0" applyAlignment="1">
      <x:alignment vertical="center"/>
    </x:xf>
    <x:xf numFmtId="0" fontId="4" fillId="5" borderId="3" xfId="0" applyAlignment="1">
      <x:alignment vertical="center"/>
    </x:xf>
    <x:xf numFmtId="0" fontId="4" fillId="5" borderId="3" xfId="0" applyAlignment="1">
      <x:alignment vertical="center" wrapText="1"/>
    </x:xf>
    <x:xf numFmtId="164" fontId="15" fillId="0" borderId="0" xfId="0" applyAlignment="1">
      <x:alignment vertical="center" wrapText="1"/>
    </x:xf>
    <x:xf numFmtId="164" fontId="14" fillId="0" borderId="0" xfId="0" applyAlignment="1">
      <x:alignment vertical="center" wrapText="1"/>
    </x:xf>
    <x:xf numFmtId="164" fontId="15" fillId="6" borderId="0" xfId="0" applyAlignment="1">
      <x:alignment vertical="center" wrapText="1"/>
    </x:xf>
    <x:xf numFmtId="164" fontId="14" fillId="6" borderId="0" xfId="0" applyAlignment="1">
      <x:alignment vertical="center" wrapText="1"/>
    </x:xf>
    <x:xf numFmtId="165" fontId="15" fillId="0" borderId="0" xfId="0" applyAlignment="1">
      <x:alignment vertical="center" wrapText="1"/>
    </x:xf>
    <x:xf numFmtId="165" fontId="14" fillId="0" borderId="0" xfId="0" applyAlignment="1">
      <x:alignment vertical="center" wrapText="1"/>
    </x:xf>
    <x:xf numFmtId="165" fontId="14" fillId="6" borderId="0" xfId="0" applyAlignment="1">
      <x:alignment vertical="center" wrapText="1"/>
    </x:xf>
    <x:xf numFmtId="166" fontId="14" fillId="0" borderId="0" xfId="0" applyAlignment="1">
      <x:alignment vertical="center" wrapText="1"/>
    </x:xf>
    <x:xf numFmtId="165" fontId="14" fillId="0" borderId="0" xfId="0" applyAlignment="1">
      <x:alignment vertical="center"/>
    </x:xf>
    <x:xf numFmtId="0" fontId="21" fillId="0" borderId="0" xfId="0" applyAlignment="1">
      <x:alignment vertical="center"/>
    </x:xf>
    <x:xf numFmtId="165" fontId="13" fillId="0" borderId="0" xfId="0" applyAlignment="1">
      <x:alignment vertical="center"/>
    </x:xf>
    <x:xf numFmtId="164" fontId="13" fillId="0" borderId="0" xfId="0" applyAlignment="1">
      <x:alignment vertical="center" wrapText="1"/>
    </x:xf>
    <x:xf numFmtId="167" fontId="13" fillId="0" borderId="0" xfId="0" applyAlignment="1">
      <x:alignment vertical="center" wrapText="1"/>
    </x:xf>
    <x:xf numFmtId="165" fontId="13" fillId="0" borderId="0" xfId="0" applyAlignment="1">
      <x:alignment vertical="center" wrapText="1"/>
    </x:xf>
    <x:xf numFmtId="165" fontId="15" fillId="0" borderId="0" xfId="0" applyAlignment="1">
      <x:alignment vertical="center"/>
    </x:xf>
    <x:xf numFmtId="164" fontId="15" fillId="0" borderId="0" xfId="0" applyAlignment="1">
      <x:alignment vertical="center"/>
    </x:xf>
    <x:xf numFmtId="165" fontId="16" fillId="0" borderId="4" xfId="0" applyAlignment="1">
      <x:alignment vertical="center"/>
    </x:xf>
    <x:xf numFmtId="164" fontId="16" fillId="0" borderId="4" xfId="0" applyAlignment="1">
      <x:alignment vertical="center"/>
    </x:xf>
    <x:xf numFmtId="164" fontId="13" fillId="0" borderId="0" xfId="0" applyAlignment="1">
      <x:alignment vertical="center"/>
    </x:xf>
    <x:xf numFmtId="165" fontId="17" fillId="0" borderId="0" xfId="0" applyAlignment="1">
      <x:alignment vertical="center"/>
    </x:xf>
    <x:xf numFmtId="168" fontId="13" fillId="0" borderId="0" xfId="0" applyAlignment="1">
      <x:alignment vertical="center"/>
    </x:xf>
    <x:xf numFmtId="165" fontId="19" fillId="0" borderId="0" xfId="0" applyAlignment="1">
      <x:alignment vertical="center"/>
    </x:xf>
    <x:xf numFmtId="164" fontId="19" fillId="0" borderId="0" xfId="0" applyAlignment="1">
      <x:alignment vertical="center"/>
    </x:xf>
    <x:xf numFmtId="169" fontId="19" fillId="0" borderId="0" xfId="0" applyAlignment="1">
      <x:alignment vertical="center"/>
    </x:xf>
    <x:xf numFmtId="169" fontId="15" fillId="0" borderId="0" xfId="0" applyAlignment="1">
      <x:alignment vertical="center"/>
    </x:xf>
    <x:xf numFmtId="169" fontId="17" fillId="0" borderId="0" xfId="0" applyAlignment="1">
      <x:alignment vertical="center"/>
    </x:xf>
    <x:xf numFmtId="166" fontId="16" fillId="0" borderId="4" xfId="0" applyAlignment="1">
      <x:alignment vertical="center"/>
    </x:xf>
    <x:xf numFmtId="164" fontId="17" fillId="0" borderId="0" xfId="0" applyAlignment="1">
      <x:alignment vertical="center"/>
    </x:xf>
    <x:xf numFmtId="164" fontId="12" fillId="5" borderId="2" xfId="0" applyAlignment="1">
      <x:alignment horizontal="center" vertical="center"/>
    </x:xf>
    <x:xf numFmtId="164" fontId="16" fillId="7" borderId="0" xfId="0" applyAlignment="1">
      <x:alignment vertical="center"/>
    </x:xf>
    <x:xf numFmtId="169" fontId="15" fillId="0" borderId="0" xfId="0" applyAlignment="1">
      <x:alignment vertical="center" wrapText="1"/>
    </x:xf>
    <x:xf numFmtId="166" fontId="15" fillId="0" borderId="0" xfId="0" applyAlignment="1">
      <x:alignment vertical="center" wrapText="1"/>
    </x:xf>
    <x:xf numFmtId="49" fontId="20" fillId="3" borderId="1" xfId="0" applyAlignment="1">
      <x:alignment horizontal="center" vertical="center"/>
    </x:xf>
    <x:xf numFmtId="165" fontId="20" fillId="3" borderId="1" xfId="0" applyAlignment="1">
      <x:alignment horizontal="center" vertical="center"/>
    </x:xf>
    <x:xf numFmtId="164" fontId="20" fillId="3" borderId="1" xfId="0" applyAlignment="1">
      <x:alignment horizontal="center" vertical="center"/>
    </x:xf>
    <x:xf numFmtId="166" fontId="13" fillId="0" borderId="0" xfId="0" applyAlignment="1">
      <x:alignment vertical="center"/>
    </x:xf>
    <x:xf numFmtId="169" fontId="20" fillId="3" borderId="1" xfId="0" applyAlignment="1">
      <x:alignment horizontal="center" vertical="center"/>
    </x:xf>
    <x:xf numFmtId="166" fontId="20" fillId="3" borderId="1" xfId="0" applyAlignment="1">
      <x:alignment horizontal="center" vertical="center"/>
    </x:xf>
    <x:xf numFmtId="0" fontId="0" fillId="0" borderId="3" xfId="0"/>
    <x:xf numFmtId="169" fontId="17" fillId="0" borderId="0" xfId="0" applyAlignment="1">
      <x:alignment vertical="center" wrapText="1"/>
    </x:xf>
    <x:xf numFmtId="0" fontId="13" fillId="0" borderId="0" xfId="0" applyNumberFormat="1" applyFont="1" applyFill="1" applyBorder="1" applyAlignment="1">
      <x:alignment vertical="center" wrapText="1"/>
    </x:xf>
    <x:xf numFmtId="166" fontId="15" fillId="0" borderId="0" xfId="0" applyNumberFormat="1" applyFont="1" applyFill="1" applyBorder="1" applyAlignment="1">
      <x:alignment vertical="center" wrapText="1"/>
    </x:xf>
    <x:xf numFmtId="0" fontId="17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13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22" fillId="9" borderId="0" xfId="0" applyNumberFormat="1" applyFont="1" applyFill="1" applyBorder="1"/>
    <x:xf numFmtId="0" fontId="22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23" fillId="10" borderId="0" xfId="0" applyNumberFormat="1" applyFont="1" applyFill="1" applyBorder="1"/>
    <x:xf numFmtId="0" fontId="23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24" fillId="11" borderId="0" xfId="0" applyNumberFormat="1" applyFont="1" applyFill="1" applyBorder="1"/>
    <x:xf numFmtId="0" fontId="24" fillId="11" borderId="0" xfId="0" applyNumberFormat="1" applyFont="1" applyFill="1" applyBorder="1" applyAlignment="1">
      <x:alignment wrapText="1"/>
    </x:xf>
    <x:xf numFmtId="0" fontId="24" fillId="11" borderId="0" xfId="0" applyNumberFormat="1" applyFont="1" applyFill="1" applyBorder="1" applyAlignment="1">
      <x:alignment vertical="center" wrapText="1"/>
    </x:xf>
    <x:xf numFmtId="202" fontId="25" fillId="0" borderId="0" xfId="0" applyNumberFormat="1" applyFont="1" applyFill="1" applyBorder="1"/>
    <x:xf numFmtId="201" fontId="25" fillId="0" borderId="0" xfId="0" applyNumberFormat="1" applyFont="1" applyFill="1" applyBorder="1"/>
    <x:xf numFmtId="0" fontId="25" fillId="0" borderId="0" xfId="0" applyNumberFormat="1" applyFont="1" applyFill="1" applyBorder="1"/>
    <x:xf numFmtId="203" fontId="25" fillId="0" borderId="0" xfId="0" applyNumberFormat="1" applyFont="1" applyFill="1" applyBorder="1"/>
    <x:xf numFmtId="202" fontId="25" fillId="0" borderId="0" xfId="0" applyNumberFormat="1" applyFont="1" applyFill="1" applyBorder="1" applyAlignment="1">
      <x:alignment wrapText="1"/>
    </x:xf>
    <x:xf numFmtId="201" fontId="25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25" fillId="0" borderId="0" xfId="0" applyNumberFormat="1" applyFont="1" applyFill="1" applyBorder="1" applyAlignment="1">
      <x:alignment wrapText="1"/>
    </x:xf>
    <x:xf numFmtId="203" fontId="25" fillId="0" borderId="0" xfId="0" applyNumberFormat="1" applyFont="1" applyFill="1" applyBorder="1" applyAlignment="1">
      <x:alignment wrapText="1"/>
    </x:xf>
    <x:xf numFmtId="0" fontId="22" fillId="9" xfId="0" applyNumberFormat="1" applyFont="1" applyFill="1" applyBorder="0" applyAlignment="1">
      <x:alignment vertical="center"/>
    </x:xf>
    <x:xf numFmtId="0" fontId="23" fillId="10" xfId="0" applyNumberFormat="1" applyFont="1" applyFill="1" applyBorder="0" applyAlignment="1">
      <x:alignment wrapText="1"/>
    </x:xf>
    <x:xf numFmtId="0" fontId="0" fillId="0" xfId="0" applyNumberFormat="1" applyFont="1" applyFill="1" applyBorder="0"/>
    <x:xf numFmtId="0" fontId="24" fillId="11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wrapText="1"/>
    </x:xf>
    <x:xf numFmtId="202" fontId="25" fillId="0" xfId="0" applyNumberFormat="1" applyFont="1" applyFill="1" applyBorder="0" applyAlignment="1">
      <x:alignment wrapText="1"/>
    </x:xf>
    <x:xf numFmtId="201" fontId="25" fillId="0" xfId="0" applyNumberFormat="1" applyFont="1" applyFill="1" applyBorder="0" applyAlignment="1">
      <x:alignment wrapText="1"/>
    </x:xf>
    <x:xf numFmtId="202" fontId="0" fillId="0" xfId="0" applyNumberFormat="1" applyFont="1" applyFill="1" applyBorder="0" applyAlignment="1">
      <x:alignment wrapText="1"/>
    </x:xf>
    <x:xf numFmtId="0" fontId="25" fillId="0" xfId="0" applyNumberFormat="1" applyFont="1" applyFill="1" applyBorder="0" applyAlignment="1">
      <x:alignment wrapText="1"/>
    </x:xf>
    <x:xf numFmtId="203" fontId="25" fillId="0" xfId="0" applyNumberFormat="1" applyFont="1" applyFill="1" applyBorder="0" applyAlignment="1">
      <x:alignment wrapText="1"/>
    </x:xf>
    <x:xf numFmtId="0" fontId="25" fillId="0" xfId="0" applyNumberFormat="1" applyFont="1" applyFill="1" applyBorder="0"/>
    <x:xf numFmtId="203" fontId="25" fillId="0" xfId="0" applyNumberFormat="1" applyFont="1" applyFill="1" applyBorder="0"/>
    <x:xf numFmtId="0" fontId="0" fillId="0" borderId="6" xfId="0" applyNumberFormat="1" applyFont="1" applyFill="1" applyBorder="1"/>
    <x:xf numFmtId="0" fontId="25" fillId="0" borderId="6" xfId="0" applyNumberFormat="1" applyFont="1" applyFill="1" applyBorder="1"/>
    <x:xf numFmtId="203" fontId="25" fillId="0" borderId="6" xfId="0" applyNumberFormat="1" applyFont="1" applyFill="1" applyBorder="1"/>
    <x:xf numFmtId="200" fontId="25" fillId="0" borderId="0" xfId="0" applyNumberFormat="1" applyFont="1" applyFill="1" applyBorder="1"/>
    <x:xf numFmtId="0" fontId="0" fillId="12" borderId="0" xfId="0" applyNumberFormat="1" applyFont="1" applyFill="1" applyBorder="1"/>
    <x:xf numFmtId="205" fontId="0" fillId="12" borderId="0" xfId="0" applyNumberFormat="1" applyFont="1" applyFill="1" applyBorder="1"/>
    <x:xf numFmtId="0" fontId="26" fillId="12" borderId="0" xfId="0" applyNumberFormat="1" applyFont="1" applyFill="1" applyBorder="1"/>
    <x:xf numFmtId="205" fontId="26" fillId="12" borderId="0" xfId="0" applyNumberFormat="1" applyFont="1" applyFill="1" applyBorder="1"/>
    <x:xf numFmtId="200" fontId="25" fillId="0" xfId="0" applyNumberFormat="1" applyFont="1" applyFill="1" applyBorder="0"/>
    <x:xf numFmtId="201" fontId="0" fillId="0" xfId="0" applyNumberFormat="1" applyFont="1" applyFill="1" applyBorder="0"/>
    <x:xf numFmtId="204" fontId="0" fillId="0" xfId="0" applyNumberFormat="1" applyFont="1" applyFill="1" applyBorder="0"/>
    <x:xf numFmtId="205" fontId="0" fillId="0" xfId="0" applyNumberFormat="1" applyFont="1" applyFill="1" applyBorder="0"/>
    <x:xf numFmtId="0" fontId="26" fillId="12" xfId="0" applyNumberFormat="1" applyFont="1" applyFill="1" applyBorder="0"/>
    <x:xf numFmtId="205" fontId="26" fillId="12" xfId="0" applyNumberFormat="1" applyFont="1" applyFill="1" applyBorder="0"/>
    <x:xf numFmtId="0" fontId="26" fillId="12" borderId="6" xfId="0" applyNumberFormat="1" applyFont="1" applyFill="1" applyBorder="1"/>
    <x:xf numFmtId="205" fontId="26" fillId="12" borderId="6" xfId="0" applyNumberFormat="1" applyFont="1" applyFill="1" applyBorder="1"/>
    <x:xf numFmtId="0" fontId="1" fillId="9" borderId="0" xfId="0" applyNumberFormat="1" applyFont="1" applyFill="1" applyBorder="1" applyAlignment="1">
      <x:alignment horizontal="left" vertical="center" wrapText="1"/>
    </x:xf>
    <x:xf numFmtId="0" fontId="27" fillId="9" borderId="0" xfId="0" applyNumberFormat="1" applyFont="1" applyFill="1" applyBorder="1" applyAlignment="1">
      <x:alignment horizontal="left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3" fillId="11" borderId="0" xfId="0" applyNumberFormat="1" applyFont="1" applyFill="1" applyBorder="1" applyAlignment="1">
      <x:alignment vertical="center" wrapText="1"/>
    </x:xf>
    <x:xf numFmtId="0" fontId="12" fillId="11" borderId="0" xfId="0" applyNumberFormat="1" applyFont="1" applyFill="1" applyBorder="1" applyAlignment="1">
      <x:alignment vertical="center" wrapText="1"/>
    </x:xf>
    <x:xf numFmtId="0" fontId="12" fillId="12" borderId="0" xfId="0" applyNumberFormat="1" applyFont="1" applyFill="1" applyBorder="1" applyAlignment="1">
      <x:alignment horizontal="left" vertical="center" wrapText="1"/>
    </x:xf>
    <x:xf numFmtId="0" fontId="16" fillId="12" borderId="0" xfId="0" applyNumberFormat="1" applyFont="1" applyFill="1" applyBorder="1" applyAlignment="1">
      <x:alignment horizontal="left" vertical="center" wrapText="1"/>
    </x:xf>
    <x:xf numFmtId="0" fontId="13" fillId="12" borderId="0" xfId="0" applyNumberFormat="1" applyFont="1" applyFill="1" applyBorder="1" applyAlignment="1">
      <x:alignment vertical="center" wrapText="1"/>
    </x:xf>
    <x:xf numFmtId="0" fontId="16" fillId="12" borderId="0" xfId="0" applyNumberFormat="1" applyFont="1" applyFill="1" applyBorder="1" applyAlignment="1">
      <x:alignment vertical="center" wrapText="1"/>
    </x:xf>
    <x:xf numFmtId="0" fontId="27" fillId="13" borderId="0" xfId="0" applyNumberFormat="1" applyFont="1" applyFill="1" applyBorder="1" applyAlignment="1">
      <x:alignment horizontal="left" vertical="center" wrapText="1"/>
    </x:xf>
    <x:xf numFmtId="0" fontId="22" fillId="13" borderId="0" xfId="0" applyNumberFormat="1" applyFont="1" applyFill="1" applyBorder="1" applyAlignment="1">
      <x:alignment vertical="center"/>
    </x:xf>
    <x:xf numFmtId="0" fontId="2" fillId="13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13" fillId="13" borderId="0" xfId="0" applyNumberFormat="1" applyFont="1" applyFill="1" applyBorder="1" applyAlignment="1">
      <x:alignment vertical="center" wrapText="1"/>
    </x:xf>
    <x:xf numFmtId="0" fontId="16" fillId="13" borderId="0" xfId="0" applyNumberFormat="1" applyFont="1" applyFill="1" applyBorder="1" applyAlignment="1">
      <x:alignment horizontal="left" vertical="center" wrapText="1"/>
    </x:xf>
    <x:xf numFmtId="0" fontId="26" fillId="13" borderId="0" xfId="0" applyNumberFormat="1" applyFont="1" applyFill="1" applyBorder="1"/>
    <x:xf numFmtId="0" fontId="12" fillId="13" borderId="2" xfId="0" applyNumberFormat="1" applyFont="1" applyFill="1" applyBorder="1" applyAlignment="1">
      <x:alignment horizontal="center" vertical="center" wrapText="1"/>
    </x:xf>
    <x:xf numFmtId="200" fontId="13" fillId="13" borderId="0" xfId="0" applyNumberFormat="1" applyFont="1" applyFill="1" applyBorder="1" applyAlignment="1">
      <x:alignment vertical="center" wrapText="1"/>
    </x:xf>
    <x:xf numFmtId="167" fontId="13" fillId="13" borderId="0" xfId="0" applyNumberFormat="1" applyFont="1" applyFill="1" applyBorder="1" applyAlignment="1">
      <x:alignment vertical="center" wrapText="1"/>
    </x:xf>
    <x:xf numFmtId="165" fontId="13" fillId="13" borderId="0" xfId="0" applyNumberFormat="1" applyFont="1" applyFill="1" applyBorder="1" applyAlignment="1">
      <x:alignment vertical="center" wrapText="1"/>
    </x:xf>
    <x:xf numFmtId="164" fontId="13" fillId="13" borderId="0" xfId="0" applyNumberFormat="1" applyFont="1" applyFill="1" applyBorder="1" applyAlignment="1">
      <x:alignment vertical="center" wrapText="1"/>
    </x:xf>
    <x:xf numFmtId="0" fontId="16" fillId="13" borderId="0" xfId="0" applyNumberFormat="1" applyFont="1" applyFill="1" applyBorder="1" applyAlignment="1">
      <x:alignment vertical="center" wrapText="1"/>
    </x:xf>
    <x:xf numFmtId="0" fontId="12" fillId="13" borderId="0" xfId="0" applyNumberFormat="1" applyFont="1" applyFill="1" applyBorder="1" applyAlignment="1">
      <x:alignment vertical="center" wrapText="1"/>
    </x:xf>
    <x:xf numFmtId="0" fontId="12" fillId="13" borderId="0" xfId="0" applyNumberFormat="1" applyFont="1" applyFill="1" applyBorder="1" applyAlignment="1">
      <x:alignment horizontal="left" vertical="center" wrapText="1"/>
    </x:xf>
    <x:xf numFmtId="0" fontId="28" fillId="13" borderId="0" xfId="0" applyNumberFormat="1" applyFont="1" applyFill="1" applyBorder="1" applyAlignment="1">
      <x:alignment horizontal="left" vertical="center" wrapText="1"/>
    </x:xf>
    <x:xf numFmtId="0" fontId="29" fillId="13" borderId="0" xfId="0" applyNumberFormat="1" applyFont="1" applyFill="1" applyBorder="1" applyAlignment="1">
      <x:alignment vertical="center"/>
    </x:xf>
    <x:xf numFmtId="0" fontId="30" fillId="13" borderId="0" xfId="0" applyNumberFormat="1" applyFont="1" applyFill="1" applyBorder="1"/>
    <x:xf numFmtId="0" fontId="31" fillId="13" borderId="0" xfId="0" applyNumberFormat="1" applyFont="1" applyFill="1" applyBorder="1" applyAlignment="1">
      <x:alignment vertical="center" wrapText="1"/>
    </x:xf>
    <x:xf numFmtId="0" fontId="16" fillId="13" borderId="2" xfId="0" applyNumberFormat="1" applyFont="1" applyFill="1" applyBorder="1" applyAlignment="1">
      <x:alignment horizontal="center" vertical="center" wrapText="1"/>
    </x:xf>
    <x:xf numFmtId="200" fontId="31" fillId="13" borderId="0" xfId="0" applyNumberFormat="1" applyFont="1" applyFill="1" applyBorder="1" applyAlignment="1">
      <x:alignment vertical="center" wrapText="1"/>
    </x:xf>
    <x:xf numFmtId="167" fontId="31" fillId="13" borderId="0" xfId="0" applyNumberFormat="1" applyFont="1" applyFill="1" applyBorder="1" applyAlignment="1">
      <x:alignment vertical="center" wrapText="1"/>
    </x:xf>
    <x:xf numFmtId="165" fontId="31" fillId="13" borderId="0" xfId="0" applyNumberFormat="1" applyFont="1" applyFill="1" applyBorder="1" applyAlignment="1">
      <x:alignment vertical="center" wrapText="1"/>
    </x:xf>
    <x:xf numFmtId="164" fontId="31" fillId="13" borderId="0" xfId="0" applyNumberFormat="1" applyFont="1" applyFill="1" applyBorder="1" applyAlignment="1">
      <x:alignment vertical="center" wrapText="1"/>
    </x:xf>
    <x:xf numFmtId="0" fontId="30" fillId="13" borderId="0" xfId="0" applyNumberFormat="1" applyFont="1" applyFill="1" applyBorder="1" applyAlignment="1">
      <x:alignment vertical="center"/>
    </x:xf>
    <x:xf numFmtId="0" fontId="26" fillId="13" borderId="0" xfId="0" applyNumberFormat="1" applyFont="1" applyFill="1" applyBorder="1" applyAlignment="1">
      <x:alignment vertical="center"/>
    </x:xf>
    <x:xf numFmtId="0" fontId="28" fillId="14" borderId="0" xfId="0" applyNumberFormat="1" applyFont="1" applyFill="1" applyBorder="1" applyAlignment="1">
      <x:alignment horizontal="left" vertical="center" wrapText="1"/>
    </x:xf>
    <x:xf numFmtId="0" fontId="29" fillId="14" borderId="0" xfId="0" applyNumberFormat="1" applyFont="1" applyFill="1" applyBorder="1" applyAlignment="1">
      <x:alignment vertical="center"/>
    </x:xf>
    <x:xf numFmtId="0" fontId="27" fillId="14" borderId="0" xfId="0" applyNumberFormat="1" applyFont="1" applyFill="1" applyBorder="1" applyAlignment="1">
      <x:alignment horizontal="left" vertical="center" wrapText="1"/>
    </x:xf>
    <x:xf numFmtId="0" fontId="22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0" fillId="15" borderId="0" xfId="0" applyNumberFormat="1" applyFont="1" applyFill="1" applyBorder="1" applyAlignment="1">
      <x:alignment vertical="center"/>
    </x:xf>
    <x:xf numFmtId="0" fontId="32" fillId="15" borderId="0" xfId="0" applyNumberFormat="1" applyFont="1" applyFill="1" applyBorder="1" applyAlignment="1">
      <x:alignment vertical="center" wrapText="1"/>
    </x:xf>
    <x:xf numFmtId="0" fontId="23" fillId="15" borderId="0" xfId="0" applyNumberFormat="1" applyFont="1" applyFill="1" applyBorder="1" applyAlignment="1">
      <x:alignment vertical="center"/>
    </x:xf>
    <x:xf numFmtId="0" fontId="23" fillId="15" borderId="0" xfId="0" applyNumberFormat="1" applyFont="1" applyFill="1" applyBorder="1" applyAlignment="1">
      <x:alignment vertical="center" wrapText="1"/>
    </x:xf>
    <x:xf numFmtId="0" fontId="16" fillId="16" borderId="0" xfId="0" applyNumberFormat="1" applyFont="1" applyFill="1" applyBorder="1" applyAlignment="1">
      <x:alignment horizontal="left" vertical="center" wrapText="1"/>
    </x:xf>
    <x:xf numFmtId="0" fontId="26" fillId="16" borderId="0" xfId="0" applyNumberFormat="1" applyFont="1" applyFill="1" applyBorder="1" applyAlignment="1">
      <x:alignment vertical="center"/>
    </x:xf>
    <x:xf numFmtId="0" fontId="16" fillId="16" borderId="0" xfId="0" applyNumberFormat="1" applyFont="1" applyFill="1" applyBorder="1" applyAlignment="1">
      <x:alignment vertical="center" wrapText="1"/>
    </x:xf>
    <x:xf numFmtId="0" fontId="16" fillId="17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6" fillId="17" borderId="0" xfId="0" applyNumberFormat="1" applyFont="1" applyFill="1" applyBorder="1" applyAlignment="1">
      <x:alignment vertical="center" wrapText="1"/>
    </x:xf>
    <x:xf numFmtId="0" fontId="12" fillId="17" borderId="0" xfId="0" applyNumberFormat="1" applyFont="1" applyFill="1" applyBorder="1" applyAlignment="1">
      <x:alignment vertical="center" wrapText="1"/>
    </x:xf>
    <x:xf numFmtId="206" fontId="31" fillId="13" borderId="0" xfId="0" applyNumberFormat="1" applyFont="1" applyFill="1" applyBorder="1" applyAlignment="1">
      <x:alignment vertical="center" wrapText="1"/>
    </x:xf>
    <x:xf numFmtId="201" fontId="33" fillId="0" xfId="0" applyNumberFormat="1" applyFont="1" applyFill="1" applyBorder="0"/>
    <x:xf numFmtId="205" fontId="33" fillId="0" xfId="0" applyNumberFormat="1" applyFont="1" applyFill="1" applyBorder="0"/>
    <x:xf numFmtId="0" fontId="27" fillId="18" borderId="0" xfId="0" applyNumberFormat="1" applyFont="1" applyFill="1" applyBorder="1" applyAlignment="1">
      <x:alignment horizontal="left" vertical="center" wrapText="1"/>
    </x:xf>
    <x:xf numFmtId="0" fontId="22" fillId="18" borderId="0" xfId="0" applyNumberFormat="1" applyFont="1" applyFill="1" applyBorder="1" applyAlignment="1">
      <x:alignment vertical="center"/>
    </x:xf>
    <x:xf numFmtId="0" fontId="32" fillId="18" borderId="0" xfId="0" applyNumberFormat="1" applyFont="1" applyFill="1" applyBorder="1" applyAlignment="1">
      <x:alignment vertical="center" wrapText="1"/>
    </x:xf>
    <x:xf numFmtId="0" fontId="23" fillId="18" borderId="0" xfId="0" applyNumberFormat="1" applyFont="1" applyFill="1" applyBorder="1" applyAlignment="1">
      <x:alignment vertical="center" wrapText="1"/>
    </x:xf>
    <x:xf numFmtId="0" fontId="31" fillId="18" borderId="0" xfId="0" applyNumberFormat="1" applyFont="1" applyFill="1" applyBorder="1" applyAlignment="1">
      <x:alignment vertical="center" wrapText="1"/>
    </x:xf>
    <x:xf numFmtId="0" fontId="16" fillId="18" borderId="0" xfId="0" applyNumberFormat="1" applyFont="1" applyFill="1" applyBorder="1" applyAlignment="1">
      <x:alignment horizontal="left" vertical="center" wrapText="1"/>
    </x:xf>
    <x:xf numFmtId="0" fontId="26" fillId="18" borderId="0" xfId="0" applyNumberFormat="1" applyFont="1" applyFill="1" applyBorder="1" applyAlignment="1">
      <x:alignment vertical="center"/>
    </x:xf>
    <x:xf numFmtId="0" fontId="12" fillId="18" borderId="2" xfId="0" applyNumberFormat="1" applyFont="1" applyFill="1" applyBorder="1" applyAlignment="1">
      <x:alignment horizontal="center" vertical="center" wrapText="1"/>
    </x:xf>
    <x:xf numFmtId="200" fontId="31" fillId="18" borderId="0" xfId="0" applyNumberFormat="1" applyFont="1" applyFill="1" applyBorder="1" applyAlignment="1">
      <x:alignment vertical="center" wrapText="1"/>
    </x:xf>
    <x:xf numFmtId="206" fontId="31" fillId="18" borderId="0" xfId="0" applyNumberFormat="1" applyFont="1" applyFill="1" applyBorder="1" applyAlignment="1">
      <x:alignment vertical="center" wrapText="1"/>
    </x:xf>
    <x:xf numFmtId="167" fontId="31" fillId="18" borderId="0" xfId="0" applyNumberFormat="1" applyFont="1" applyFill="1" applyBorder="1" applyAlignment="1">
      <x:alignment vertical="center" wrapText="1"/>
    </x:xf>
    <x:xf numFmtId="165" fontId="31" fillId="18" borderId="0" xfId="0" applyNumberFormat="1" applyFont="1" applyFill="1" applyBorder="1" applyAlignment="1">
      <x:alignment vertical="center" wrapText="1"/>
    </x:xf>
    <x:xf numFmtId="164" fontId="31" fillId="18" borderId="0" xfId="0" applyNumberFormat="1" applyFont="1" applyFill="1" applyBorder="1" applyAlignment="1">
      <x:alignment vertical="center" wrapText="1"/>
    </x:xf>
    <x:xf numFmtId="0" fontId="16" fillId="18" borderId="0" xfId="0" applyNumberFormat="1" applyFont="1" applyFill="1" applyBorder="1" applyAlignment="1">
      <x:alignment vertical="center" wrapText="1"/>
    </x:xf>
    <x:xf numFmtId="0" fontId="12" fillId="18" borderId="0" xfId="0" applyNumberFormat="1" applyFont="1" applyFill="1" applyBorder="1" applyAlignment="1">
      <x:alignment vertical="center" wrapText="1"/>
    </x:xf>
    <x:xf numFmtId="0" fontId="30" fillId="18" borderId="0" xfId="0" applyNumberFormat="1" applyFont="1" applyFill="1" applyBorder="1" applyAlignment="1">
      <x:alignment vertical="center"/>
    </x:xf>
    <x:xf numFmtId="0" fontId="16" fillId="18" borderId="2" xfId="0" applyNumberFormat="1" applyFont="1" applyFill="1" applyBorder="1" applyAlignment="1">
      <x:alignment horizontal="center" vertical="center" wrapText="1"/>
    </x:xf>
    <x:xf numFmtId="0" fontId="28" fillId="18" borderId="0" xfId="0" applyNumberFormat="1" applyFont="1" applyFill="1" applyBorder="1" applyAlignment="1">
      <x:alignment horizontal="left" vertical="center" wrapText="1"/>
    </x:xf>
    <x:xf numFmtId="0" fontId="29" fillId="18" borderId="0" xfId="0" applyNumberFormat="1" applyFont="1" applyFill="1" applyBorder="1" applyAlignment="1">
      <x:alignment vertical="center"/>
    </x:xf>
    <x:xf numFmtId="0" fontId="2" fillId="18" borderId="0" xfId="0" applyNumberFormat="1" applyFont="1" applyFill="1" applyBorder="1" applyAlignment="1">
      <x:alignment vertical="center" wrapText="1"/>
    </x:xf>
    <x:xf numFmtId="0" fontId="30" fillId="18" borderId="0" xfId="0" applyNumberFormat="1" applyFont="1" applyFill="1" applyBorder="1" applyAlignment="1">
      <x:alignment vertical="center" wrapText="1"/>
    </x:xf>
    <x:xf numFmtId="0" fontId="28" fillId="19" borderId="0" xfId="0" applyNumberFormat="1" applyFont="1" applyFill="1" applyBorder="1" applyAlignment="1">
      <x:alignment horizontal="left" vertical="center" wrapText="1"/>
    </x:xf>
    <x:xf numFmtId="0" fontId="29" fillId="19" borderId="0" xfId="0" applyNumberFormat="1" applyFont="1" applyFill="1" applyBorder="1" applyAlignment="1">
      <x:alignment vertical="center"/>
    </x:xf>
    <x:xf numFmtId="0" fontId="27" fillId="19" borderId="0" xfId="0" applyNumberFormat="1" applyFont="1" applyFill="1" applyBorder="1" applyAlignment="1">
      <x:alignment horizontal="left" vertical="center" wrapText="1"/>
    </x:xf>
    <x:xf numFmtId="0" fontId="22" fillId="19" borderId="0" xfId="0" applyNumberFormat="1" applyFont="1" applyFill="1" applyBorder="1" applyAlignment="1">
      <x:alignment vertical="center"/>
    </x:xf>
    <x:xf numFmtId="0" fontId="2" fillId="20" borderId="0" xfId="0" applyNumberFormat="1" applyFont="1" applyFill="1" applyBorder="1" applyAlignment="1">
      <x:alignment vertical="center" wrapText="1"/>
    </x:xf>
    <x:xf numFmtId="0" fontId="30" fillId="20" borderId="0" xfId="0" applyNumberFormat="1" applyFont="1" applyFill="1" applyBorder="1" applyAlignment="1">
      <x:alignment vertical="center" wrapText="1"/>
    </x:xf>
    <x:xf numFmtId="0" fontId="32" fillId="20" borderId="0" xfId="0" applyNumberFormat="1" applyFont="1" applyFill="1" applyBorder="1" applyAlignment="1">
      <x:alignment vertical="center" wrapText="1"/>
    </x:xf>
    <x:xf numFmtId="0" fontId="23" fillId="20" borderId="0" xfId="0" applyNumberFormat="1" applyFont="1" applyFill="1" applyBorder="1" applyAlignment="1">
      <x:alignment vertical="center" wrapText="1"/>
    </x:xf>
    <x:xf numFmtId="0" fontId="16" fillId="21" borderId="0" xfId="0" applyNumberFormat="1" applyFont="1" applyFill="1" applyBorder="1" applyAlignment="1">
      <x:alignment horizontal="left" vertical="center" wrapText="1"/>
    </x:xf>
    <x:xf numFmtId="0" fontId="26" fillId="21" borderId="0" xfId="0" applyNumberFormat="1" applyFont="1" applyFill="1" applyBorder="1" applyAlignment="1">
      <x:alignment vertical="center"/>
    </x:xf>
    <x:xf numFmtId="0" fontId="16" fillId="21" borderId="0" xfId="0" applyNumberFormat="1" applyFont="1" applyFill="1" applyBorder="1" applyAlignment="1">
      <x:alignment vertical="center" wrapText="1"/>
    </x:xf>
    <x:xf numFmtId="0" fontId="16" fillId="22" borderId="2" xfId="0" applyNumberFormat="1" applyFont="1" applyFill="1" applyBorder="1" applyAlignment="1">
      <x:alignment horizontal="center" vertical="center" wrapText="1"/>
    </x:xf>
    <x:xf numFmtId="0" fontId="12" fillId="22" borderId="2" xfId="0" applyNumberFormat="1" applyFont="1" applyFill="1" applyBorder="1" applyAlignment="1">
      <x:alignment horizontal="center" vertical="center" wrapText="1"/>
    </x:xf>
    <x:xf numFmtId="0" fontId="16" fillId="22" borderId="0" xfId="0" applyNumberFormat="1" applyFont="1" applyFill="1" applyBorder="1" applyAlignment="1">
      <x:alignment vertical="center" wrapText="1"/>
    </x:xf>
    <x:xf numFmtId="0" fontId="12" fillId="22" borderId="0" xfId="0" applyNumberFormat="1" applyFont="1" applyFill="1" applyBorder="1" applyAlignment="1">
      <x:alignment vertical="center" wrapText="1"/>
    </x:xf>
    <x:xf numFmtId="0" fontId="34" fillId="18" borderId="0" xfId="0" applyNumberFormat="1" applyFont="1" applyFill="1" applyBorder="1" applyAlignment="1">
      <x:alignment horizontal="left" vertical="center" wrapText="1"/>
    </x:xf>
    <x:xf numFmtId="0" fontId="35" fillId="18" borderId="0" xfId="0" applyNumberFormat="1" applyFont="1" applyFill="1" applyBorder="1" applyAlignment="1">
      <x:alignment vertical="center"/>
    </x:xf>
    <x:xf numFmtId="0" fontId="34" fillId="18" borderId="2" xfId="0" applyNumberFormat="1" applyFont="1" applyFill="1" applyBorder="1" applyAlignment="1">
      <x:alignment horizontal="center" vertical="center" wrapText="1"/>
    </x:xf>
    <x:xf numFmtId="0" fontId="34" fillId="18" borderId="0" xfId="0" applyNumberFormat="1" applyFont="1" applyFill="1" applyBorder="1" applyAlignment="1">
      <x:alignment vertical="center" wrapText="1"/>
    </x:xf>
    <x:xf numFmtId="0" fontId="35" fillId="18" borderId="0" xfId="0" applyNumberFormat="1" applyFont="1" applyFill="1" applyBorder="1" applyAlignment="1">
      <x:alignment horizontal="left" vertical="center"/>
    </x:xf>
    <x:xf numFmtId="0" fontId="34" fillId="18" borderId="2" xfId="0" applyNumberFormat="1" applyFont="1" applyFill="1" applyBorder="1" applyAlignment="1">
      <x:alignment horizontal="left" vertical="center" wrapText="1"/>
    </x:xf>
    <x:xf numFmtId="0" fontId="12" fillId="23" borderId="2" xfId="0" applyNumberFormat="1" applyFont="1" applyFill="1" applyBorder="1" applyAlignment="1">
      <x:alignment horizontal="center" vertical="center" wrapText="1"/>
    </x:xf>
    <x:xf numFmtId="0" fontId="13" fillId="23" borderId="0" xfId="0" applyNumberFormat="1" applyFont="1" applyFill="1" applyBorder="1" applyAlignment="1">
      <x:alignment vertical="center" wrapText="1"/>
    </x:xf>
    <x:xf numFmtId="165" fontId="14" fillId="23" borderId="0" xfId="0" applyNumberFormat="1" applyFont="1" applyFill="1" applyBorder="1" applyAlignment="1">
      <x:alignment vertical="center" wrapText="1"/>
    </x:xf>
    <x:xf numFmtId="164" fontId="14" fillId="23" borderId="0" xfId="0" applyNumberFormat="1" applyFont="1" applyFill="1" applyBorder="1" applyAlignment="1">
      <x:alignment vertical="center" wrapText="1"/>
    </x:xf>
    <x:xf numFmtId="0" fontId="36" fillId="23" borderId="2" xfId="0" applyNumberFormat="1" applyFont="1" applyFill="1" applyBorder="1" applyAlignment="1">
      <x:alignment horizontal="center" vertical="center" wrapText="1"/>
    </x:xf>
    <x:xf numFmtId="0" fontId="37" fillId="23" borderId="0" xfId="0" applyNumberFormat="1" applyFont="1" applyFill="1" applyBorder="1" applyAlignment="1">
      <x:alignment vertical="center" wrapText="1"/>
    </x:xf>
    <x:xf numFmtId="165" fontId="37" fillId="23" borderId="0" xfId="0" applyNumberFormat="1" applyFont="1" applyFill="1" applyBorder="1" applyAlignment="1">
      <x:alignment vertical="center" wrapText="1"/>
    </x:xf>
    <x:xf numFmtId="164" fontId="37" fillId="2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12" fillId="4" borderId="0" xfId="0" applyNumberFormat="1" applyFont="1" applyFill="1" applyBorder="1" applyAlignment="1">
      <x:alignment horizontal="left" vertical="center" wrapText="1"/>
    </x:xf>
    <x:xf numFmtId="0" fontId="12" fillId="5" borderId="2" xfId="0" applyNumberFormat="1" applyFont="1" applyFill="1" applyBorder="1" applyAlignment="1">
      <x:alignment horizontal="center" vertical="center" wrapText="1"/>
    </x:xf>
    <x:xf numFmtId="165" fontId="15" fillId="0" borderId="0" xfId="0" applyNumberFormat="1" applyFont="1" applyFill="1" applyBorder="1" applyAlignment="1">
      <x:alignment vertical="center" wrapText="1"/>
    </x:xf>
    <x:xf numFmtId="164" fontId="15" fillId="0" borderId="0" xfId="0" applyNumberFormat="1" applyFont="1" applyFill="1" applyBorder="1" applyAlignment="1">
      <x:alignment vertical="center" wrapText="1"/>
    </x:xf>
    <x:xf numFmtId="169" fontId="15" fillId="0" borderId="0" xfId="0" applyNumberFormat="1" applyFont="1" applyFill="1" applyBorder="1" applyAlignment="1">
      <x:alignment vertical="center" wrapText="1"/>
    </x:xf>
    <x:xf numFmtId="0" fontId="13" fillId="8" borderId="0" xfId="0" applyNumberFormat="1" applyFont="1" applyFill="1" applyBorder="1" applyAlignment="1">
      <x:alignment vertical="center" wrapText="1"/>
    </x:xf>
    <x:xf numFmtId="0" fontId="36" fillId="24" borderId="2" xfId="0" applyNumberFormat="1" applyFont="1" applyFill="1" applyBorder="1" applyAlignment="1">
      <x:alignment horizontal="center" vertical="center" wrapText="1"/>
    </x:xf>
    <x:xf numFmtId="0" fontId="37" fillId="24" borderId="0" xfId="0" applyNumberFormat="1" applyFont="1" applyFill="1" applyBorder="1" applyAlignment="1">
      <x:alignment vertical="center" wrapText="1"/>
    </x:xf>
    <x:xf numFmtId="165" fontId="37" fillId="24" borderId="0" xfId="0" applyNumberFormat="1" applyFont="1" applyFill="1" applyBorder="1" applyAlignment="1">
      <x:alignment vertical="center" wrapText="1"/>
    </x:xf>
    <x:xf numFmtId="164" fontId="37" fillId="24" borderId="0" xfId="0" applyNumberFormat="1" applyFont="1" applyFill="1" applyBorder="1" applyAlignment="1">
      <x:alignment vertical="center" wrapText="1"/>
    </x:xf>
    <x:xf numFmtId="0" fontId="36" fillId="25" borderId="2" xfId="0" applyNumberFormat="1" applyFont="1" applyFill="1" applyBorder="1" applyAlignment="1">
      <x:alignment horizontal="center" vertical="center" wrapText="1"/>
    </x:xf>
    <x:xf numFmtId="0" fontId="37" fillId="25" borderId="0" xfId="0" applyNumberFormat="1" applyFont="1" applyFill="1" applyBorder="1" applyAlignment="1">
      <x:alignment vertical="center" wrapText="1"/>
    </x:xf>
    <x:xf numFmtId="165" fontId="37" fillId="25" borderId="0" xfId="0" applyNumberFormat="1" applyFont="1" applyFill="1" applyBorder="1" applyAlignment="1">
      <x:alignment vertical="center" wrapText="1"/>
    </x:xf>
    <x:xf numFmtId="164" fontId="37" fillId="25" borderId="0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horizontal="left" vertical="center" wrapText="1"/>
    </x:xf>
    <x:xf numFmtId="0" fontId="22" fillId="2" borderId="0" xfId="0" applyNumberFormat="1" applyFont="1" applyFill="1" applyBorder="1" applyAlignment="1">
      <x:alignment vertical="center" wrapText="1"/>
    </x:xf>
    <x:xf numFmtId="0" fontId="32" fillId="5" borderId="0" xfId="0" applyNumberFormat="1" applyFont="1" applyFill="1" applyBorder="1" applyAlignment="1">
      <x:alignment vertical="center" wrapText="1"/>
    </x:xf>
    <x:xf numFmtId="0" fontId="23" fillId="5" borderId="0" xfId="0" applyNumberFormat="1" applyFont="1" applyFill="1" applyBorder="1" applyAlignment="1">
      <x:alignment vertical="center" wrapText="1"/>
    </x:xf>
    <x:xf numFmtId="0" fontId="16" fillId="7" borderId="0" xfId="0" applyNumberFormat="1" applyFont="1" applyFill="1" applyBorder="1" applyAlignment="1">
      <x:alignment horizontal="left" vertical="center" wrapText="1"/>
    </x:xf>
    <x:xf numFmtId="0" fontId="26" fillId="7" borderId="0" xfId="0" applyNumberFormat="1" applyFont="1" applyFill="1" applyBorder="1" applyAlignment="1">
      <x:alignment vertical="center" wrapText="1"/>
    </x:xf>
    <x:xf numFmtId="0" fontId="16" fillId="7" borderId="0" xfId="0" applyNumberFormat="1" applyFont="1" applyFill="1" applyBorder="1" applyAlignment="1">
      <x:alignment vertical="center" wrapText="1"/>
    </x:xf>
    <x:xf numFmtId="0" fontId="31" fillId="13" borderId="0" xfId="0" applyNumberFormat="1" applyFont="1" applyFill="1" applyBorder="1" applyAlignment="1">
      <x:alignment horizontal="left" vertical="center" wrapText="1"/>
    </x:xf>
    <x:xf numFmtId="0" fontId="30" fillId="13" borderId="0" xfId="0" applyNumberFormat="1" applyFont="1" applyFill="1" applyBorder="1" applyAlignment="1">
      <x:alignment horizontal="left" vertical="center" wrapText="1"/>
    </x:xf>
    <x:xf numFmtId="0" fontId="31" fillId="13" borderId="2" xfId="0" applyNumberFormat="1" applyFont="1" applyFill="1" applyBorder="1" applyAlignment="1">
      <x:alignment horizontal="left" vertical="center" wrapText="1"/>
    </x:xf>
    <x:xf numFmtId="0" fontId="13" fillId="26" borderId="0" xfId="0" applyNumberFormat="1" applyFont="1" applyFill="1" applyBorder="1" applyAlignment="1">
      <x:alignment vertical="center"/>
    </x:xf>
    <x:xf numFmtId="166" fontId="13" fillId="26" borderId="0" xfId="0" applyNumberFormat="1" applyFont="1" applyFill="1" applyBorder="1" applyAlignment="1">
      <x:alignment vertical="center"/>
    </x:xf>
    <x:xf numFmtId="0" fontId="38" fillId="26" borderId="0" xfId="0" applyNumberFormat="1" applyFont="1" applyFill="1" applyBorder="1" applyAlignment="1">
      <x:alignment vertical="center"/>
    </x:xf>
    <x:xf numFmtId="166" fontId="38" fillId="26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b/>
        <x:color rgb="FFC94D4D"/>
      </x:font>
      <x:fill>
        <x:patternFill>
          <x:bgColor rgb="FFFBE7E7"/>
        </x:patternFill>
      </x:fill>
    </x:dxf>
    <x:dxf>
      <x:font>
        <x:b/>
        <x:color rgb="FFC88B25"/>
      </x:font>
      <x:fill>
        <x:patternFill>
          <x:bgColor rgb="FFFFF1D5"/>
        </x:patternFill>
      </x:fill>
    </x:dxf>
    <x:dxf>
      <x:font>
        <x:b/>
        <x:color rgb="FF258A61"/>
      </x:font>
      <x:fill>
        <x:patternFill>
          <x:bgColor rgb="FFE3F3EC"/>
        </x:patternFill>
      </x:fill>
    </x:dxf>
    <x:dxf>
      <x:font>
        <x:b/>
        <x:color rgb="FFC94D4D"/>
      </x:font>
      <x:fill>
        <x:patternFill>
          <x:bgColor rgb="FFFBE7E7"/>
        </x:patternFill>
      </x:fill>
    </x:dxf>
    <x:dxf>
      <x:font>
        <x:b/>
        <x:color rgb="FF258A61"/>
      </x:font>
      <x:fill>
        <x:patternFill>
          <x:bgColor rgb="FFE3F3EC"/>
        </x:patternFill>
      </x:fill>
    </x:dxf>
    <x:dxf>
      <x:font>
        <x:b/>
        <x:color rgb="FFC88B25"/>
      </x:font>
      <x:fill>
        <x:patternFill>
          <x:bgColor rgb="FFFFF1D5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87036e287d4867" /><Relationship Type="http://schemas.openxmlformats.org/officeDocument/2006/relationships/theme" Target="/xl/theme/theme1.xml" Id="R0793ddfbaa834e97" /><Relationship Type="http://schemas.openxmlformats.org/officeDocument/2006/relationships/sharedStrings" Target="/xl/sharedStrings.xml" Id="Rc81091e9050e4229" /><Relationship Type="http://schemas.openxmlformats.org/officeDocument/2006/relationships/worksheet" Target="/xl/worksheets/sheet1.xml" Id="R81d0fe26ecdf4906" /><Relationship Type="http://schemas.openxmlformats.org/officeDocument/2006/relationships/worksheet" Target="/xl/worksheets/sheet2.xml" Id="R18d47bfa157646d6" /><Relationship Type="http://schemas.openxmlformats.org/officeDocument/2006/relationships/worksheet" Target="/xl/worksheets/sheet3.xml" Id="R68f98bd444704aa3" /><Relationship Type="http://schemas.openxmlformats.org/officeDocument/2006/relationships/worksheet" Target="/xl/worksheets/sheet4.xml" Id="R20470612eccf4fc3" /><Relationship Type="http://schemas.openxmlformats.org/officeDocument/2006/relationships/worksheet" Target="/xl/worksheets/sheet5.xml" Id="R247c82d64fef4d87" /><Relationship Type="http://schemas.openxmlformats.org/officeDocument/2006/relationships/worksheet" Target="/xl/worksheets/sheet6.xml" Id="Rde3b714c1d0a463d" /><Relationship Type="http://schemas.openxmlformats.org/officeDocument/2006/relationships/worksheet" Target="/xl/worksheets/sheet7.xml" Id="R772143afa3074573" /><Relationship Type="http://schemas.openxmlformats.org/officeDocument/2006/relationships/worksheet" Target="/xl/worksheets/sheet8.xml" Id="R83d4fef4e8804842" /><Relationship Type="http://schemas.openxmlformats.org/officeDocument/2006/relationships/worksheet" Target="/xl/worksheets/sheet9.xml" Id="R83f7da26fad147d3" /><Relationship Type="http://schemas.openxmlformats.org/officeDocument/2006/relationships/worksheet" Target="/xl/worksheets/sheet10.xml" Id="Rb58a5cabf9754d93" /><Relationship Type="http://schemas.openxmlformats.org/officeDocument/2006/relationships/worksheet" Target="/xl/worksheets/sheet11.xml" Id="Ra8ccd67b15f243ce" /><Relationship Type="http://schemas.openxmlformats.org/officeDocument/2006/relationships/worksheet" Target="/xl/worksheets/sheet12.xml" Id="Ree4abe04eba940ae" /><Relationship Type="http://schemas.openxmlformats.org/officeDocument/2006/relationships/worksheet" Target="/xl/worksheets/sheet13.xml" Id="R8983f69d8b48410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ec80b5397f44f7" /><Relationship Type="http://schemas.openxmlformats.org/officeDocument/2006/relationships/chart" Target="/xl/drawings/charts/chart2.xml" Id="Rb64f1ebe9c0d45b8" /></Relationships>
</file>

<file path=xl/drawings/charts/chart1.xml><?xml version="1.0" encoding="utf-8"?>
<c:chartSpace xmlns:c="http://schemas.openxmlformats.org/drawingml/2006/chart">
  <c:lang val="en-US"/>
  <c:chart>
    <c:plotArea>
      <c:barChart>
        <c:barDir val="col"/>
        <c:grouping val="clustered"/>
        <c:varyColors val="0"/>
        <c:ser>
          <c:idx val="0"/>
          <c:order val="0"/>
          <c:tx>
            <c:v>Chiffre d’affaires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'Dashboard'!$N$2:$AK$2</c:f>
              <c:strCache>
                <c:ptCount val="0"/>
              </c:strCache>
            </c:strRef>
          </c:cat>
          <c:val>
            <c:numRef>
              <c:f>'Dashboard'!$N$3:$AK$3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Payouts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'Dashboard'!$N$2:$AK$2</c:f>
              <c:strCache>
                <c:ptCount val="0"/>
              </c:strCache>
            </c:strRef>
          </c:cat>
          <c:val>
            <c:numRef>
              <c:f>'Dashboard'!$N$4:$AK$4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plotArea>
      <c:lineChart>
        <c:grouping val="standard"/>
        <c:varyColors val="0"/>
        <c:ser>
          <c:idx val="0"/>
          <c:order val="0"/>
          <c:tx>
            <c:v>Couverture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'Dashboard'!$N$6:$AK$6</c:f>
              <c:strCache>
                <c:ptCount val="0"/>
              </c:strCache>
            </c:strRef>
          </c:cat>
          <c:val>
            <c:numRef>
              <c:f>'Dashboard'!$N$7:$AK$7</c:f>
              <c:numCache>
                <c:formatCode>0.0x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ec80b5397f44f7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64f1ebe9c0d45b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1.xml" Id="R8586a92cff61432d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64" customWidth="1"/>
    <x:col min="3" max="3" width="12" customWidth="1"/>
    <x:col min="4" max="4" width="12" customWidth="1"/>
    <x:col min="5" max="5" width="12" customWidth="1"/>
    <x:col min="6" max="6" width="12" customWidth="1"/>
    <x:col min="7" max="7" width="12" customWidth="1"/>
    <x:col min="8" max="8" width="12" customWidth="1"/>
  </x:cols>
  <x:sheetData>
    <x:row r="1" ht="15" customHeight="1">
      <x:c r="A1" s="404" t="str">
        <x:v>WARIBA — Financial Model v1.1</x:v>
      </x:c>
      <x:c r="B1" s="1" t="n"/>
      <x:c r="C1" s="1" t="n"/>
      <x:c r="D1" s="1" t="n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7" t="inlineStr">
        <x:is>
          <x:t xml:space="preserve">Modèle interne de planification. Il ne constitue ni une prévision garantie, ni un avis juridique, fiscal ou comptable.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57" t="n"/>
      <x:c r="B3" s="157" t="n"/>
      <x:c r="C3" s="157" t="n"/>
      <x:c r="D3" s="157" t="n"/>
      <x:c r="E3" s="157" t="n"/>
      <x:c r="F3" s="157" t="n"/>
      <x:c r="G3" s="157" t="n"/>
      <x:c r="H3" s="157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405" t="inlineStr">
        <x:is>
          <x:t xml:space="preserve">1. Source de vérité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49" t="inlineStr">
        <x:is>
          <x:t xml:space="preserve">Élément</x:t>
        </x:is>
      </x:c>
      <x:c r="B5" s="149" t="inlineStr">
        <x:is>
          <x:t xml:space="preserve">Valeur</x:t>
        </x:is>
      </x:c>
      <x:c r="C5" s="157" t="n"/>
      <x:c r="D5" s="157" t="n"/>
      <x:c r="E5" s="157" t="n"/>
      <x:c r="F5" s="157" t="n"/>
      <x:c r="G5" s="157" t="n"/>
      <x:c r="H5" s="157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57" t="inlineStr">
        <x:is>
          <x:t xml:space="preserve">Marque</x:t>
        </x:is>
      </x:c>
      <x:c r="B6" s="157" t="inlineStr">
        <x:is>
          <x:t xml:space="preserve">WARIBA</x:t>
        </x:is>
      </x:c>
      <x:c r="C6" s="157" t="n"/>
      <x:c r="D6" s="157" t="n"/>
      <x:c r="E6" s="157" t="n"/>
      <x:c r="F6" s="157" t="n"/>
      <x:c r="G6" s="157" t="n"/>
      <x:c r="H6" s="157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57" t="inlineStr">
        <x:is>
          <x:t xml:space="preserve">Domaine</x:t>
        </x:is>
      </x:c>
      <x:c r="B7" s="157" t="inlineStr">
        <x:is>
          <x:t xml:space="preserve">wariba.app</x:t>
        </x:is>
      </x:c>
      <x:c r="C7" s="157" t="n"/>
      <x:c r="D7" s="157" t="n"/>
      <x:c r="E7" s="157" t="n"/>
      <x:c r="F7" s="157" t="n"/>
      <x:c r="G7" s="157" t="n"/>
      <x:c r="H7" s="157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57" t="inlineStr">
        <x:is>
          <x:t xml:space="preserve">Produit</x:t>
        </x:is>
      </x:c>
      <x:c r="B8" s="157" t="inlineStr">
        <x:is>
          <x:t xml:space="preserve">WARIBA ONE → WARIBA Performance → WARIBA Review</x:t>
        </x:is>
      </x:c>
      <x:c r="C8" s="157" t="n"/>
      <x:c r="D8" s="157" t="n"/>
      <x:c r="E8" s="157" t="n"/>
      <x:c r="F8" s="157" t="n"/>
      <x:c r="G8" s="157" t="n"/>
      <x:c r="H8" s="157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57" t="inlineStr">
        <x:is>
          <x:t xml:space="preserve">État du projet</x:t>
        </x:is>
      </x:c>
      <x:c r="B9" s="157" t="str">
        <x:v>Prompts 01–07B audités ; policy WARIBA ONE v1.1.1 publiée pour les nouveaux comptes</x:v>
      </x:c>
      <x:c r="C9" s="157" t="n"/>
      <x:c r="D9" s="157" t="n"/>
      <x:c r="E9" s="157" t="n"/>
      <x:c r="F9" s="157" t="n"/>
      <x:c r="G9" s="157" t="n"/>
      <x:c r="H9" s="157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57" t="inlineStr">
        <x:is>
          <x:t xml:space="preserve">Rulebook</x:t>
        </x:is>
      </x:c>
      <x:c r="B10" s="157" t="str">
        <x:v>WARIBA Program Rulebook v1.1.1</x:v>
      </x:c>
      <x:c r="C10" s="157" t="n"/>
      <x:c r="D10" s="157" t="n"/>
      <x:c r="E10" s="157" t="n"/>
      <x:c r="F10" s="157" t="n"/>
      <x:c r="G10" s="157" t="n"/>
      <x:c r="H10" s="157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57" t="inlineStr">
        <x:is>
          <x:t xml:space="preserve">Statut des prix/caps</x:t>
        </x:is>
      </x:c>
      <x:c r="B11" s="157" t="str">
        <x:v>CANDIDATE_PENDING_ACTUARIAL_VALIDATION</x:v>
      </x:c>
      <x:c r="C11" s="157" t="n"/>
      <x:c r="D11" s="157" t="n"/>
      <x:c r="E11" s="157" t="n"/>
      <x:c r="F11" s="157" t="n"/>
      <x:c r="G11" s="157" t="n"/>
      <x:c r="H11" s="157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57" t="inlineStr">
        <x:is>
          <x:t xml:space="preserve">Usage du modèle</x:t>
        </x:is>
      </x:c>
      <x:c r="B12" s="157" t="inlineStr">
        <x:is>
          <x:t xml:space="preserve">Décider prix, caps, réserve, rythme de vente et gates</x:t>
        </x:is>
      </x:c>
      <x:c r="C12" s="157" t="n"/>
      <x:c r="D12" s="157" t="n"/>
      <x:c r="E12" s="157" t="n"/>
      <x:c r="F12" s="157" t="n"/>
      <x:c r="G12" s="157" t="n"/>
      <x:c r="H12" s="157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57" t="n"/>
      <x:c r="B13" s="157" t="n"/>
      <x:c r="C13" s="157" t="n"/>
      <x:c r="D13" s="157" t="n"/>
      <x:c r="E13" s="157" t="n"/>
      <x:c r="F13" s="157" t="n"/>
      <x:c r="G13" s="157" t="n"/>
      <x:c r="H13" s="157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405" t="inlineStr">
        <x:is>
          <x:t xml:space="preserve">2. Mode d’emploi</x:t>
        </x:is>
      </x:c>
      <x:c r="B14" s="1" t="n"/>
      <x:c r="C14" s="1" t="n"/>
      <x:c r="D14" s="1" t="n"/>
      <x:c r="E14" s="1" t="n"/>
      <x:c r="F14" s="1" t="n"/>
      <x:c r="G14" s="1" t="n"/>
      <x:c r="H14" s="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49" t="inlineStr">
        <x:is>
          <x:t xml:space="preserve">Étape</x:t>
        </x:is>
      </x:c>
      <x:c r="B15" s="149" t="inlineStr">
        <x:is>
          <x:t xml:space="preserve">Action</x:t>
        </x:is>
      </x:c>
      <x:c r="C15" s="157" t="str"/>
      <x:c r="D15" s="157" t="str"/>
      <x:c r="E15" s="157" t="str"/>
      <x:c r="F15" s="157" t="str"/>
      <x:c r="G15" s="157" t="str"/>
      <x:c r="H15" s="157" t="str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57" t="inlineStr">
        <x:is>
          <x:t xml:space="preserve">1</x:t>
        </x:is>
      </x:c>
      <x:c r="B16" s="157" t="inlineStr">
        <x:is>
          <x:t xml:space="preserve">Choisir le scénario actif dans l’onglet Hypothèses.</x:t>
        </x:is>
      </x:c>
      <x:c r="C16" s="157" t="str"/>
      <x:c r="D16" s="157" t="str"/>
      <x:c r="E16" s="157" t="str"/>
      <x:c r="F16" s="157" t="str"/>
      <x:c r="G16" s="157" t="str"/>
      <x:c r="H16" s="157" t="str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57" t="inlineStr">
        <x:is>
          <x:t xml:space="preserve">2</x:t>
        </x:is>
      </x:c>
      <x:c r="B17" s="157" t="inlineStr">
        <x:is>
          <x:t xml:space="preserve">Modifier uniquement les cellules en texte bleu.</x:t>
        </x:is>
      </x:c>
      <x:c r="C17" s="157" t="str"/>
      <x:c r="D17" s="157" t="str"/>
      <x:c r="E17" s="157" t="str"/>
      <x:c r="F17" s="157" t="str"/>
      <x:c r="G17" s="157" t="str"/>
      <x:c r="H17" s="157" t="str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57" t="inlineStr">
        <x:is>
          <x:t xml:space="preserve">3</x:t>
        </x:is>
      </x:c>
      <x:c r="B18" s="157" t="inlineStr">
        <x:is>
          <x:t xml:space="preserve">Remplacer les hypothèses management par les données de bêta.</x:t>
        </x:is>
      </x:c>
      <x:c r="C18" s="157" t="str"/>
      <x:c r="D18" s="157" t="str"/>
      <x:c r="E18" s="157" t="str"/>
      <x:c r="F18" s="157" t="str"/>
      <x:c r="G18" s="157" t="str"/>
      <x:c r="H18" s="157" t="str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57" t="inlineStr">
        <x:is>
          <x:t xml:space="preserve">4</x:t>
        </x:is>
      </x:c>
      <x:c r="B19" s="157" t="inlineStr">
        <x:is>
          <x:t xml:space="preserve">Contrôler le Dashboard, la Cohorte 1000 et les Stress Tests.</x:t>
        </x:is>
      </x:c>
      <x:c r="C19" s="157" t="str"/>
      <x:c r="D19" s="157" t="str"/>
      <x:c r="E19" s="157" t="str"/>
      <x:c r="F19" s="157" t="str"/>
      <x:c r="G19" s="157" t="str"/>
      <x:c r="H19" s="157" t="str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57" t="inlineStr">
        <x:is>
          <x:t xml:space="preserve">5</x:t>
        </x:is>
      </x:c>
      <x:c r="B20" s="157" t="inlineStr">
        <x:is>
          <x:t xml:space="preserve">Ne pas figer les prix ou caps tant que le scénario Stress n’est pas soutenable.</x:t>
        </x:is>
      </x:c>
      <x:c r="C20" s="157" t="str"/>
      <x:c r="D20" s="157" t="str"/>
      <x:c r="E20" s="157" t="str"/>
      <x:c r="F20" s="157" t="str"/>
      <x:c r="G20" s="157" t="str"/>
      <x:c r="H20" s="157" t="str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57" t="inlineStr">
        <x:is>
          <x:t xml:space="preserve">6</x:t>
        </x:is>
      </x:c>
      <x:c r="B21" s="157" t="inlineStr">
        <x:is>
          <x:t xml:space="preserve">Mettre à jour le Decision Log après toute modification commerciale.</x:t>
        </x:is>
      </x:c>
      <x:c r="C21" s="157" t="str"/>
      <x:c r="D21" s="157" t="str"/>
      <x:c r="E21" s="157" t="str"/>
      <x:c r="F21" s="157" t="str"/>
      <x:c r="G21" s="157" t="str"/>
      <x:c r="H21" s="157" t="str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57" t="inlineStr">
        <x:is>
          <x:t xml:space="preserve">7</x:t>
        </x:is>
      </x:c>
      <x:c r="B22" s="157" t="inlineStr">
        <x:is>
          <x:t xml:space="preserve">Conserver une réserve payout séparée de la trésorerie d’exploitation.</x:t>
        </x:is>
      </x:c>
      <x:c r="C22" s="157" t="str"/>
      <x:c r="D22" s="157" t="str"/>
      <x:c r="E22" s="157" t="str"/>
      <x:c r="F22" s="157" t="str"/>
      <x:c r="G22" s="157" t="str"/>
      <x:c r="H22" s="157" t="str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57" t="n"/>
      <x:c r="B23" s="157" t="n"/>
      <x:c r="C23" s="157" t="n"/>
      <x:c r="D23" s="157" t="n"/>
      <x:c r="E23" s="157" t="n"/>
      <x:c r="F23" s="157" t="n"/>
      <x:c r="G23" s="157" t="n"/>
      <x:c r="H23" s="157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405" t="inlineStr">
        <x:is>
          <x:t xml:space="preserve">3. Convention de couleurs</x:t>
        </x:is>
      </x:c>
      <x:c r="B24" s="1" t="n"/>
      <x:c r="C24" s="1" t="n"/>
      <x:c r="D24" s="1" t="n"/>
      <x:c r="E24" s="1" t="n"/>
      <x:c r="F24" s="1" t="n"/>
      <x:c r="G24" s="1" t="n"/>
      <x:c r="H24" s="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49" t="inlineStr">
        <x:is>
          <x:t xml:space="preserve">Couleur</x:t>
        </x:is>
      </x:c>
      <x:c r="B25" s="149" t="inlineStr">
        <x:is>
          <x:t xml:space="preserve">Signification</x:t>
        </x:is>
      </x:c>
      <x:c r="C25" s="149" t="inlineStr">
        <x:is>
          <x:t xml:space="preserve">Exemple</x:t>
        </x:is>
      </x:c>
      <x:c r="D25" s="157" t="n"/>
      <x:c r="E25" s="157" t="n"/>
      <x:c r="F25" s="157" t="n"/>
      <x:c r="G25" s="157" t="n"/>
      <x:c r="H25" s="157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57" t="inlineStr">
        <x:is>
          <x:t xml:space="preserve">Bleu</x:t>
        </x:is>
      </x:c>
      <x:c r="B26" s="157" t="inlineStr">
        <x:is>
          <x:t xml:space="preserve">Entrée modifiable</x:t>
        </x:is>
      </x:c>
      <x:c r="C26" s="157" t="inlineStr">
        <x:is>
          <x:t xml:space="preserve">Taux de réussite</x:t>
        </x:is>
      </x:c>
      <x:c r="D26" s="157" t="n"/>
      <x:c r="E26" s="157" t="n"/>
      <x:c r="F26" s="157" t="n"/>
      <x:c r="G26" s="157" t="n"/>
      <x:c r="H26" s="157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57" t="inlineStr">
        <x:is>
          <x:t xml:space="preserve">Vert</x:t>
        </x:is>
      </x:c>
      <x:c r="B27" s="157" t="inlineStr">
        <x:is>
          <x:t xml:space="preserve">Lien vers un autre onglet</x:t>
        </x:is>
      </x:c>
      <x:c r="C27" s="157" t="inlineStr">
        <x:is>
          <x:t xml:space="preserve">Prix moyen pondéré</x:t>
        </x:is>
      </x:c>
      <x:c r="D27" s="157" t="n"/>
      <x:c r="E27" s="157" t="n"/>
      <x:c r="F27" s="157" t="n"/>
      <x:c r="G27" s="157" t="n"/>
      <x:c r="H27" s="157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57" t="inlineStr">
        <x:is>
          <x:t xml:space="preserve">Noir</x:t>
        </x:is>
      </x:c>
      <x:c r="B28" s="157" t="inlineStr">
        <x:is>
          <x:t xml:space="preserve">Formule locale</x:t>
        </x:is>
      </x:c>
      <x:c r="C28" s="157" t="inlineStr">
        <x:is>
          <x:t xml:space="preserve">Contribution</x:t>
        </x:is>
      </x:c>
      <x:c r="D28" s="157" t="n"/>
      <x:c r="E28" s="157" t="n"/>
      <x:c r="F28" s="157" t="n"/>
      <x:c r="G28" s="157" t="n"/>
      <x:c r="H28" s="157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57" t="inlineStr">
        <x:is>
          <x:t xml:space="preserve">Fond jaune</x:t>
        </x:is>
      </x:c>
      <x:c r="B29" s="157" t="inlineStr">
        <x:is>
          <x:t xml:space="preserve">Hypothèse critique à confirmer</x:t>
        </x:is>
      </x:c>
      <x:c r="C29" s="157" t="inlineStr">
        <x:is>
          <x:t xml:space="preserve">Taxe, PSP, FX</x:t>
        </x:is>
      </x:c>
      <x:c r="D29" s="157" t="n"/>
      <x:c r="E29" s="157" t="n"/>
      <x:c r="F29" s="157" t="n"/>
      <x:c r="G29" s="157" t="n"/>
      <x:c r="H29" s="157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57" t="inlineStr">
        <x:is>
          <x:t xml:space="preserve">Rouge entre parenthèses</x:t>
        </x:is>
      </x:c>
      <x:c r="B30" s="157" t="inlineStr">
        <x:is>
          <x:t xml:space="preserve">Valeur négative</x:t>
        </x:is>
      </x:c>
      <x:c r="C30" s="157" t="inlineStr">
        <x:is>
          <x:t xml:space="preserve">Coût ou sortie de trésorerie</x:t>
        </x:is>
      </x:c>
      <x:c r="D30" s="157" t="n"/>
      <x:c r="E30" s="157" t="n"/>
      <x:c r="F30" s="157" t="n"/>
      <x:c r="G30" s="157" t="n"/>
      <x:c r="H30" s="157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57" t="n"/>
      <x:c r="B31" s="157" t="n"/>
      <x:c r="C31" s="157" t="n"/>
      <x:c r="D31" s="157" t="n"/>
      <x:c r="E31" s="157" t="n"/>
      <x:c r="F31" s="157" t="n"/>
      <x:c r="G31" s="157" t="n"/>
      <x:c r="H31" s="157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405" t="inlineStr">
        <x:is>
          <x:t xml:space="preserve">4. Lecture des résultats</x:t>
        </x:is>
      </x:c>
      <x:c r="B32" s="1" t="n"/>
      <x:c r="C32" s="1" t="n"/>
      <x:c r="D32" s="1" t="n"/>
      <x:c r="E32" s="1" t="n"/>
      <x:c r="F32" s="1" t="n"/>
      <x:c r="G32" s="1" t="n"/>
      <x:c r="H32" s="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49" t="inlineStr">
        <x:is>
          <x:t xml:space="preserve">Indicateur</x:t>
        </x:is>
      </x:c>
      <x:c r="B33" s="149" t="inlineStr">
        <x:is>
          <x:t xml:space="preserve">Interprétation</x:t>
        </x:is>
      </x:c>
      <x:c r="C33" s="157" t="str"/>
      <x:c r="D33" s="157" t="str"/>
      <x:c r="E33" s="157" t="str"/>
      <x:c r="F33" s="157" t="str"/>
      <x:c r="G33" s="157" t="str"/>
      <x:c r="H33" s="157" t="str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57" t="inlineStr">
        <x:is>
          <x:t xml:space="preserve">Contribution par achat</x:t>
        </x:is>
      </x:c>
      <x:c r="B34" s="157" t="inlineStr">
        <x:is>
          <x:t xml:space="preserve">Montant restant après coûts variables et payout attendu, avant OPEX fixe.</x:t>
        </x:is>
      </x:c>
      <x:c r="C34" s="157" t="str"/>
      <x:c r="D34" s="157" t="str"/>
      <x:c r="E34" s="157" t="str"/>
      <x:c r="F34" s="157" t="str"/>
      <x:c r="G34" s="157" t="str"/>
      <x:c r="H34" s="157" t="str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57" t="inlineStr">
        <x:is>
          <x:t xml:space="preserve">Break-even mensuel</x:t>
        </x:is>
      </x:c>
      <x:c r="B35" s="157" t="inlineStr">
        <x:is>
          <x:t xml:space="preserve">Nombre d’achats requis pour couvrir l’OPEX fixe.</x:t>
        </x:is>
      </x:c>
      <x:c r="C35" s="157" t="str"/>
      <x:c r="D35" s="157" t="str"/>
      <x:c r="E35" s="157" t="str"/>
      <x:c r="F35" s="157" t="str"/>
      <x:c r="G35" s="157" t="str"/>
      <x:c r="H35" s="157" t="str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57" t="inlineStr">
        <x:is>
          <x:t xml:space="preserve">Couverture réserve</x:t>
        </x:is>
      </x:c>
      <x:c r="B36" s="157" t="inlineStr">
        <x:is>
          <x:t xml:space="preserve">Réserve disponible ÷ payouts projetés sur les 30 prochains jours.</x:t>
        </x:is>
      </x:c>
      <x:c r="C36" s="157" t="str"/>
      <x:c r="D36" s="157" t="str"/>
      <x:c r="E36" s="157" t="str"/>
      <x:c r="F36" s="157" t="str"/>
      <x:c r="G36" s="157" t="str"/>
      <x:c r="H36" s="157" t="str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57" t="inlineStr">
        <x:is>
          <x:t xml:space="preserve">Réserve / 1 000 achats</x:t>
        </x:is>
      </x:c>
      <x:c r="B37" s="157" t="inlineStr">
        <x:is>
          <x:t xml:space="preserve">Réserve prudentielle à 2,0x pour une cohorte de 1 000 achats.</x:t>
        </x:is>
      </x:c>
      <x:c r="C37" s="157" t="str"/>
      <x:c r="D37" s="157" t="str"/>
      <x:c r="E37" s="157" t="str"/>
      <x:c r="F37" s="157" t="str"/>
      <x:c r="G37" s="157" t="str"/>
      <x:c r="H37" s="157" t="str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25.5" customHeight="1">
      <x:c r="A38" s="157" t="str">
        <x:v>Kill switches commerciaux</x:v>
      </x:c>
      <x:c r="B38" s="488" t="str">
        <x:v>5K/10K/25K/50K/100K actifs en sandbox. Vente publique et caps 50K/100K restent soumis aux gates Stress, réserve, juridique et opérations.</x:v>
      </x:c>
      <x:c r="C38" s="157" t="str"/>
      <x:c r="D38" s="157" t="str"/>
      <x:c r="E38" s="157" t="str"/>
      <x:c r="F38" s="157" t="str"/>
      <x:c r="G38" s="157" t="str"/>
      <x:c r="H38" s="157" t="str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57" t="inlineStr">
        <x:is>
          <x:t xml:space="preserve">Max safe sales</x:t>
        </x:is>
      </x:c>
      <x:c r="B39" s="157" t="inlineStr">
        <x:is>
          <x:t xml:space="preserve">Volume conservateur supportable par la réserve actuelle.</x:t>
        </x:is>
      </x:c>
      <x:c r="C39" s="157" t="str"/>
      <x:c r="D39" s="157" t="str"/>
      <x:c r="E39" s="157" t="str"/>
      <x:c r="F39" s="157" t="str"/>
      <x:c r="G39" s="157" t="str"/>
      <x:c r="H39" s="157" t="str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57" t="n"/>
      <x:c r="B40" s="157" t="n"/>
      <x:c r="C40" s="157" t="n"/>
      <x:c r="D40" s="157" t="n"/>
      <x:c r="E40" s="157" t="n"/>
      <x:c r="F40" s="157" t="n"/>
      <x:c r="G40" s="157" t="n"/>
      <x:c r="H40" s="157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57" t="n"/>
      <x:c r="B41" s="157" t="n"/>
      <x:c r="C41" s="157" t="n"/>
      <x:c r="D41" s="157" t="n"/>
      <x:c r="E41" s="157" t="n"/>
      <x:c r="F41" s="157" t="n"/>
      <x:c r="G41" s="157" t="n"/>
      <x:c r="H41" s="157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57" t="n"/>
      <x:c r="B42" s="157" t="n"/>
      <x:c r="C42" s="157" t="n"/>
      <x:c r="D42" s="157" t="n"/>
      <x:c r="E42" s="157" t="n"/>
      <x:c r="F42" s="157" t="n"/>
      <x:c r="G42" s="157" t="n"/>
      <x:c r="H42" s="157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57" t="n"/>
      <x:c r="B43" s="157" t="n"/>
      <x:c r="C43" s="157" t="n"/>
      <x:c r="D43" s="157" t="n"/>
      <x:c r="E43" s="157" t="n"/>
      <x:c r="F43" s="157" t="n"/>
      <x:c r="G43" s="157" t="n"/>
      <x:c r="H43" s="157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57" t="n"/>
      <x:c r="B44" s="157" t="n"/>
      <x:c r="C44" s="157" t="n"/>
      <x:c r="D44" s="157" t="n"/>
      <x:c r="E44" s="157" t="n"/>
      <x:c r="F44" s="157" t="n"/>
      <x:c r="G44" s="157" t="n"/>
      <x:c r="H44" s="157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57" t="n"/>
      <x:c r="B45" s="157" t="n"/>
      <x:c r="C45" s="157" t="n"/>
      <x:c r="D45" s="157" t="n"/>
      <x:c r="E45" s="157" t="n"/>
      <x:c r="F45" s="157" t="n"/>
      <x:c r="G45" s="157" t="n"/>
      <x:c r="H45" s="157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57" t="n"/>
      <x:c r="B46" s="157" t="n"/>
      <x:c r="C46" s="157" t="n"/>
      <x:c r="D46" s="157" t="n"/>
      <x:c r="E46" s="157" t="n"/>
      <x:c r="F46" s="157" t="n"/>
      <x:c r="G46" s="157" t="n"/>
      <x:c r="H46" s="157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57" t="n"/>
      <x:c r="B47" s="157" t="n"/>
      <x:c r="C47" s="157" t="n"/>
      <x:c r="D47" s="157" t="n"/>
      <x:c r="E47" s="157" t="n"/>
      <x:c r="F47" s="157" t="n"/>
      <x:c r="G47" s="157" t="n"/>
      <x:c r="H47" s="157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57" t="n"/>
      <x:c r="B48" s="157" t="n"/>
      <x:c r="C48" s="157" t="n"/>
      <x:c r="D48" s="157" t="n"/>
      <x:c r="E48" s="157" t="n"/>
      <x:c r="F48" s="157" t="n"/>
      <x:c r="G48" s="157" t="n"/>
      <x:c r="H48" s="157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57" t="n"/>
      <x:c r="B49" s="157" t="n"/>
      <x:c r="C49" s="157" t="n"/>
      <x:c r="D49" s="157" t="n"/>
      <x:c r="E49" s="157" t="n"/>
      <x:c r="F49" s="157" t="n"/>
      <x:c r="G49" s="157" t="n"/>
      <x:c r="H49" s="157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57" t="n"/>
      <x:c r="B50" s="157" t="n"/>
      <x:c r="C50" s="157" t="n"/>
      <x:c r="D50" s="157" t="n"/>
      <x:c r="E50" s="157" t="n"/>
      <x:c r="F50" s="157" t="n"/>
      <x:c r="G50" s="157" t="n"/>
      <x:c r="H50" s="157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4:H4"/>
    <x:mergeCell ref="A24:H24"/>
    <x:mergeCell ref="A2:H2"/>
    <x:mergeCell ref="A14:H14"/>
    <x:mergeCell ref="A1:H1"/>
    <x:mergeCell ref="A32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6" customWidth="1"/>
    <x:col min="2" max="2" width="16" customWidth="1"/>
    <x:col min="3" max="3" width="18" customWidth="1"/>
    <x:col min="4" max="4" width="28" customWidth="1"/>
    <x:col min="5" max="5" width="13" customWidth="1"/>
    <x:col min="6" max="6" width="13" customWidth="1"/>
    <x:col min="7" max="7" width="13" customWidth="1"/>
    <x:col min="8" max="8" width="36" customWidth="1"/>
  </x:cols>
  <x:sheetData>
    <x:row r="1" ht="15" customHeight="1">
      <x:c r="A1" s="404" t="inlineStr">
        <x:is>
          <x:t xml:space="preserve">WARIBA — Hypothèses et scénarios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7" t="inlineStr">
        <x:is>
          <x:t xml:space="preserve">Les valeurs sont des hypothèses de travail. Les cellules bleues doivent être remplacées progressivement par les données de bêta et les devis fournisseurs.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57" t="inlineStr">
        <x:is>
          <x:t xml:space="preserve">Scénario actif</x:t>
        </x:is>
      </x:c>
      <x:c r="B3" s="406" t="inlineStr">
        <x:is>
          <x:t xml:space="preserve">Base</x:t>
        </x:is>
      </x:c>
      <x:c r="C3" s="157" t="n"/>
      <x:c r="D3" s="157" t="n"/>
      <x:c r="E3" s="157" t="n"/>
      <x:c r="F3" s="157" t="n"/>
      <x:c r="G3" s="157" t="n"/>
      <x:c r="H3" s="157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57" t="n"/>
      <x:c r="B4" s="157" t="n"/>
      <x:c r="C4" s="157" t="n"/>
      <x:c r="D4" s="157" t="n"/>
      <x:c r="E4" s="157" t="n"/>
      <x:c r="F4" s="157" t="n"/>
      <x:c r="G4" s="157" t="n"/>
      <x:c r="H4" s="157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405" t="inlineStr">
        <x:is>
          <x:t xml:space="preserve">A. Hypothèses économiques</x:t>
        </x:is>
      </x:c>
      <x:c r="B5" s="1" t="n"/>
      <x:c r="C5" s="1" t="n"/>
      <x:c r="D5" s="1" t="n"/>
      <x:c r="E5" s="1" t="n"/>
      <x:c r="F5" s="1" t="n"/>
      <x:c r="G5" s="1" t="n"/>
      <x:c r="H5" s="1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49" t="inlineStr">
        <x:is>
          <x:t xml:space="preserve">Hypothèse</x:t>
        </x:is>
      </x:c>
      <x:c r="B6" s="149" t="inlineStr">
        <x:is>
          <x:t xml:space="preserve">Valeur active</x:t>
        </x:is>
      </x:c>
      <x:c r="C6" s="149" t="inlineStr">
        <x:is>
          <x:t xml:space="preserve">Unité</x:t>
        </x:is>
      </x:c>
      <x:c r="D6" s="149" t="inlineStr">
        <x:is>
          <x:t xml:space="preserve">Source / statut</x:t>
        </x:is>
      </x:c>
      <x:c r="E6" s="149" t="inlineStr">
        <x:is>
          <x:t xml:space="preserve">Base</x:t>
        </x:is>
      </x:c>
      <x:c r="F6" s="149" t="inlineStr">
        <x:is>
          <x:t xml:space="preserve">Upside</x:t>
        </x:is>
      </x:c>
      <x:c r="G6" s="149" t="inlineStr">
        <x:is>
          <x:t xml:space="preserve">Stress</x:t>
        </x:is>
      </x:c>
      <x:c r="H6" s="149" t="inlineStr">
        <x:is>
          <x:t xml:space="preserve">Commentaire</x:t>
        </x:is>
      </x:c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57" t="inlineStr">
        <x:is>
          <x:t xml:space="preserve">Taux de réussite de l’évaluation</x:t>
        </x:is>
      </x:c>
      <x:c r="B7" s="448" t="n">
        <x:f>IF($B$3="Base",E7,IF($B$3="Upside",F7,G7))</x:f>
        <x:v>0.08</x:v>
      </x:c>
      <x:c r="C7" s="157" t="inlineStr">
        <x:is>
          <x:t xml:space="preserve">% achats</x:t>
        </x:is>
      </x:c>
      <x:c r="D7" s="157" t="inlineStr">
        <x:is>
          <x:t xml:space="preserve">Management — à calibrer</x:t>
        </x:is>
      </x:c>
      <x:c r="E7" s="449" t="n">
        <x:v>0.08</x:v>
      </x:c>
      <x:c r="F7" s="449" t="n">
        <x:v>0.05</x:v>
      </x:c>
      <x:c r="G7" s="449" t="n">
        <x:v>0.14</x:v>
      </x:c>
      <x:c r="H7" s="157" t="inlineStr">
        <x:is>
          <x:t xml:space="preserve">Plus le taux augmente, plus la charge payout future augmente.</x:t>
        </x:is>
      </x:c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57" t="inlineStr">
        <x:is>
          <x:t xml:space="preserve">Accès au payout #1 après passage</x:t>
        </x:is>
      </x:c>
      <x:c r="B8" s="448" t="n">
        <x:f>IF($B$3="Base",E8,IF($B$3="Upside",F8,G8))</x:f>
        <x:v>0.35</x:v>
      </x:c>
      <x:c r="C8" s="157" t="inlineStr">
        <x:is>
          <x:t xml:space="preserve">% passés</x:t>
        </x:is>
      </x:c>
      <x:c r="D8" s="157" t="inlineStr">
        <x:is>
          <x:t xml:space="preserve">Management — à calibrer</x:t>
        </x:is>
      </x:c>
      <x:c r="E8" s="449" t="n">
        <x:v>0.35</x:v>
      </x:c>
      <x:c r="F8" s="449" t="n">
        <x:v>0.25</x:v>
      </x:c>
      <x:c r="G8" s="449" t="n">
        <x:v>0.5</x:v>
      </x:c>
      <x:c r="H8" s="157" t="inlineStr">
        <x:is>
          <x:t xml:space="preserve">Part des comptes Performance atteignant le premier payout.</x:t>
        </x:is>
      </x:c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57" t="inlineStr">
        <x:is>
          <x:t xml:space="preserve">Transition payout #1 → #2</x:t>
        </x:is>
      </x:c>
      <x:c r="B9" s="448" t="n">
        <x:f>IF($B$3="Base",E9,IF($B$3="Upside",F9,G9))</x:f>
        <x:v>0.55</x:v>
      </x:c>
      <x:c r="C9" s="157" t="inlineStr">
        <x:is>
          <x:t xml:space="preserve">%</x:t>
        </x:is>
      </x:c>
      <x:c r="D9" s="157" t="inlineStr">
        <x:is>
          <x:t xml:space="preserve">Management — à calibrer</x:t>
        </x:is>
      </x:c>
      <x:c r="E9" s="449" t="n">
        <x:v>0.55</x:v>
      </x:c>
      <x:c r="F9" s="449" t="n">
        <x:v>0.45</x:v>
      </x:c>
      <x:c r="G9" s="449" t="n">
        <x:v>0.65</x:v>
      </x:c>
      <x:c r="H9" s="157" t="str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57" t="inlineStr">
        <x:is>
          <x:t xml:space="preserve">Transition payout #2 → #3</x:t>
        </x:is>
      </x:c>
      <x:c r="B10" s="448" t="n">
        <x:f>IF($B$3="Base",E10,IF($B$3="Upside",F10,G10))</x:f>
        <x:v>0.5</x:v>
      </x:c>
      <x:c r="C10" s="157" t="inlineStr">
        <x:is>
          <x:t xml:space="preserve">%</x:t>
        </x:is>
      </x:c>
      <x:c r="D10" s="157" t="inlineStr">
        <x:is>
          <x:t xml:space="preserve">Management — à calibrer</x:t>
        </x:is>
      </x:c>
      <x:c r="E10" s="449" t="n">
        <x:v>0.5</x:v>
      </x:c>
      <x:c r="F10" s="449" t="n">
        <x:v>0.4</x:v>
      </x:c>
      <x:c r="G10" s="449" t="n">
        <x:v>0.6</x:v>
      </x:c>
      <x:c r="H10" s="157" t="str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57" t="inlineStr">
        <x:is>
          <x:t xml:space="preserve">Transition payout #3 → #4</x:t>
        </x:is>
      </x:c>
      <x:c r="B11" s="448" t="n">
        <x:f>IF($B$3="Base",E11,IF($B$3="Upside",F11,G11))</x:f>
        <x:v>0.45</x:v>
      </x:c>
      <x:c r="C11" s="157" t="inlineStr">
        <x:is>
          <x:t xml:space="preserve">%</x:t>
        </x:is>
      </x:c>
      <x:c r="D11" s="157" t="inlineStr">
        <x:is>
          <x:t xml:space="preserve">Management — à calibrer</x:t>
        </x:is>
      </x:c>
      <x:c r="E11" s="449" t="n">
        <x:v>0.45</x:v>
      </x:c>
      <x:c r="F11" s="449" t="n">
        <x:v>0.35</x:v>
      </x:c>
      <x:c r="G11" s="449" t="n">
        <x:v>0.55</x:v>
      </x:c>
      <x:c r="H11" s="157" t="str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57" t="inlineStr">
        <x:is>
          <x:t xml:space="preserve">Transition payout #4 → #5</x:t>
        </x:is>
      </x:c>
      <x:c r="B12" s="448" t="n">
        <x:f>IF($B$3="Base",E12,IF($B$3="Upside",F12,G12))</x:f>
        <x:v>0.4</x:v>
      </x:c>
      <x:c r="C12" s="157" t="inlineStr">
        <x:is>
          <x:t xml:space="preserve">%</x:t>
        </x:is>
      </x:c>
      <x:c r="D12" s="157" t="inlineStr">
        <x:is>
          <x:t xml:space="preserve">Management — à calibrer</x:t>
        </x:is>
      </x:c>
      <x:c r="E12" s="449" t="n">
        <x:v>0.4</x:v>
      </x:c>
      <x:c r="F12" s="449" t="n">
        <x:v>0.3</x:v>
      </x:c>
      <x:c r="G12" s="449" t="n">
        <x:v>0.5</x:v>
      </x:c>
      <x:c r="H12" s="157" t="str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57" t="inlineStr">
        <x:is>
          <x:t xml:space="preserve">Utilisation moyenne des caps</x:t>
        </x:is>
      </x:c>
      <x:c r="B13" s="448" t="n">
        <x:f>IF($B$3="Base",E13,IF($B$3="Upside",F13,G13))</x:f>
        <x:v>0.7</x:v>
      </x:c>
      <x:c r="C13" s="157" t="inlineStr">
        <x:is>
          <x:t xml:space="preserve">% cap</x:t>
        </x:is>
      </x:c>
      <x:c r="D13" s="157" t="inlineStr">
        <x:is>
          <x:t xml:space="preserve">Management — à calibrer</x:t>
        </x:is>
      </x:c>
      <x:c r="E13" s="449" t="n">
        <x:v>0.7</x:v>
      </x:c>
      <x:c r="F13" s="449" t="n">
        <x:v>0.55</x:v>
      </x:c>
      <x:c r="G13" s="449" t="n">
        <x:v>0.9</x:v>
      </x:c>
      <x:c r="H13" s="157" t="inlineStr">
        <x:is>
          <x:t xml:space="preserve">Payout Base moyen en % du cap applicable.</x:t>
        </x:is>
      </x:c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57" t="inlineStr">
        <x:is>
          <x:t xml:space="preserve">Remboursements / chargebacks</x:t>
        </x:is>
      </x:c>
      <x:c r="B14" s="448" t="n">
        <x:f>IF($B$3="Base",E14,IF($B$3="Upside",F14,G14))</x:f>
        <x:v>0.015</x:v>
      </x:c>
      <x:c r="C14" s="157" t="inlineStr">
        <x:is>
          <x:t xml:space="preserve">% CA</x:t>
        </x:is>
      </x:c>
      <x:c r="D14" s="157" t="inlineStr">
        <x:is>
          <x:t xml:space="preserve">PSP réel requis</x:t>
        </x:is>
      </x:c>
      <x:c r="E14" s="449" t="n">
        <x:v>0.015</x:v>
      </x:c>
      <x:c r="F14" s="449" t="n">
        <x:v>0.01</x:v>
      </x:c>
      <x:c r="G14" s="449" t="n">
        <x:v>0.03</x:v>
      </x:c>
      <x:c r="H14" s="157" t="str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409" t="inlineStr">
        <x:is>
          <x:t xml:space="preserve">Frais PSP encaissement</x:t>
        </x:is>
      </x:c>
      <x:c r="B15" s="450" t="n">
        <x:f>IF($B$3="Base",E15,IF($B$3="Upside",F15,G15))</x:f>
        <x:v>0.035</x:v>
      </x:c>
      <x:c r="C15" s="409" t="inlineStr">
        <x:is>
          <x:t xml:space="preserve">% encaissement</x:t>
        </x:is>
      </x:c>
      <x:c r="D15" s="409" t="inlineStr">
        <x:is>
          <x:t xml:space="preserve">Devis PSP requis</x:t>
        </x:is>
      </x:c>
      <x:c r="E15" s="451" t="n">
        <x:v>0.035</x:v>
      </x:c>
      <x:c r="F15" s="451" t="n">
        <x:v>0.03</x:v>
      </x:c>
      <x:c r="G15" s="451" t="n">
        <x:v>0.045</x:v>
      </x:c>
      <x:c r="H15" s="409" t="str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57" t="inlineStr">
        <x:is>
          <x:t xml:space="preserve">CAC moyen par nouvel acheteur</x:t>
        </x:is>
      </x:c>
      <x:c r="B16" s="452" t="n">
        <x:f>IF($B$3="Base",E16,IF($B$3="Upside",F16,G16))</x:f>
        <x:v>4500</x:v>
      </x:c>
      <x:c r="C16" s="157" t="inlineStr">
        <x:is>
          <x:t xml:space="preserve">FCFA</x:t>
        </x:is>
      </x:c>
      <x:c r="D16" s="157" t="inlineStr">
        <x:is>
          <x:t xml:space="preserve">Management — à calibrer</x:t>
        </x:is>
      </x:c>
      <x:c r="E16" s="453" t="n">
        <x:v>4500</x:v>
      </x:c>
      <x:c r="F16" s="453" t="n">
        <x:v>3500</x:v>
      </x:c>
      <x:c r="G16" s="453" t="n">
        <x:v>7000</x:v>
      </x:c>
      <x:c r="H16" s="157" t="str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57" t="inlineStr">
        <x:is>
          <x:t xml:space="preserve">Support variable par achat</x:t>
        </x:is>
      </x:c>
      <x:c r="B17" s="452" t="n">
        <x:f>IF($B$3="Base",E17,IF($B$3="Upside",F17,G17))</x:f>
        <x:v>700</x:v>
      </x:c>
      <x:c r="C17" s="157" t="inlineStr">
        <x:is>
          <x:t xml:space="preserve">FCFA</x:t>
        </x:is>
      </x:c>
      <x:c r="D17" s="157" t="inlineStr">
        <x:is>
          <x:t xml:space="preserve">Management — à calibrer</x:t>
        </x:is>
      </x:c>
      <x:c r="E17" s="453" t="n">
        <x:v>700</x:v>
      </x:c>
      <x:c r="F17" s="453" t="n">
        <x:v>500</x:v>
      </x:c>
      <x:c r="G17" s="453" t="n">
        <x:v>1000</x:v>
      </x:c>
      <x:c r="H17" s="157" t="str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57" t="inlineStr">
        <x:is>
          <x:t xml:space="preserve">KYC / contrôle par compte réussi</x:t>
        </x:is>
      </x:c>
      <x:c r="B18" s="452" t="n">
        <x:f>IF($B$3="Base",E18,IF($B$3="Upside",F18,G18))</x:f>
        <x:v>2000</x:v>
      </x:c>
      <x:c r="C18" s="157" t="inlineStr">
        <x:is>
          <x:t xml:space="preserve">FCFA</x:t>
        </x:is>
      </x:c>
      <x:c r="D18" s="157" t="inlineStr">
        <x:is>
          <x:t xml:space="preserve">Devis fournisseur requis</x:t>
        </x:is>
      </x:c>
      <x:c r="E18" s="453" t="n">
        <x:v>2000</x:v>
      </x:c>
      <x:c r="F18" s="453" t="n">
        <x:v>1500</x:v>
      </x:c>
      <x:c r="G18" s="453" t="n">
        <x:v>3000</x:v>
      </x:c>
      <x:c r="H18" s="157" t="str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409" t="inlineStr">
        <x:is>
          <x:t xml:space="preserve">Frais de transfert payout</x:t>
        </x:is>
      </x:c>
      <x:c r="B19" s="450" t="n">
        <x:f>IF($B$3="Base",E19,IF($B$3="Upside",F19,G19))</x:f>
        <x:v>0.02</x:v>
      </x:c>
      <x:c r="C19" s="409" t="inlineStr">
        <x:is>
          <x:t xml:space="preserve">% trader cash</x:t>
        </x:is>
      </x:c>
      <x:c r="D19" s="409" t="inlineStr">
        <x:is>
          <x:t xml:space="preserve">Devis rail payout requis</x:t>
        </x:is>
      </x:c>
      <x:c r="E19" s="451" t="n">
        <x:v>0.02</x:v>
      </x:c>
      <x:c r="F19" s="451" t="n">
        <x:v>0.015</x:v>
      </x:c>
      <x:c r="G19" s="451" t="n">
        <x:v>0.03</x:v>
      </x:c>
      <x:c r="H19" s="409" t="str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57" t="inlineStr">
        <x:is>
          <x:t xml:space="preserve">Pertes fraude / paiement</x:t>
        </x:is>
      </x:c>
      <x:c r="B20" s="448" t="n">
        <x:f>IF($B$3="Base",E20,IF($B$3="Upside",F20,G20))</x:f>
        <x:v>0.005</x:v>
      </x:c>
      <x:c r="C20" s="157" t="inlineStr">
        <x:is>
          <x:t xml:space="preserve">% CA</x:t>
        </x:is>
      </x:c>
      <x:c r="D20" s="157" t="inlineStr">
        <x:is>
          <x:t xml:space="preserve">Management — à calibrer</x:t>
        </x:is>
      </x:c>
      <x:c r="E20" s="449" t="n">
        <x:v>0.005</x:v>
      </x:c>
      <x:c r="F20" s="449" t="n">
        <x:v>0.002</x:v>
      </x:c>
      <x:c r="G20" s="449" t="n">
        <x:v>0.015</x:v>
      </x:c>
      <x:c r="H20" s="157" t="str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57" t="inlineStr">
        <x:is>
          <x:t xml:space="preserve">Commission affiliation</x:t>
        </x:is>
      </x:c>
      <x:c r="B21" s="448" t="n">
        <x:f>IF($B$3="Base",E21,IF($B$3="Upside",F21,G21))</x:f>
        <x:v>0</x:v>
      </x:c>
      <x:c r="C21" s="157" t="inlineStr">
        <x:is>
          <x:t xml:space="preserve">% CA</x:t>
        </x:is>
      </x:c>
      <x:c r="D21" s="157" t="inlineStr">
        <x:is>
          <x:t xml:space="preserve">Affiliation différée V1</x:t>
        </x:is>
      </x:c>
      <x:c r="E21" s="449" t="n">
        <x:v>0</x:v>
      </x:c>
      <x:c r="F21" s="449" t="n">
        <x:v>0</x:v>
      </x:c>
      <x:c r="G21" s="449" t="n">
        <x:v>0</x:v>
      </x:c>
      <x:c r="H21" s="157" t="inlineStr">
        <x:is>
          <x:t xml:space="preserve">Mettre à jour uniquement après preuve opérationnelle.</x:t>
        </x:is>
      </x:c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57" t="inlineStr">
        <x:is>
          <x:t xml:space="preserve">Repurchase mensuel</x:t>
        </x:is>
      </x:c>
      <x:c r="B22" s="448" t="n">
        <x:f>IF($B$3="Base",E22,IF($B$3="Upside",F22,G22))</x:f>
        <x:v>0.25</x:v>
      </x:c>
      <x:c r="C22" s="157" t="inlineStr">
        <x:is>
          <x:t xml:space="preserve">% achats mois précédent échoués</x:t>
        </x:is>
      </x:c>
      <x:c r="D22" s="157" t="inlineStr">
        <x:is>
          <x:t xml:space="preserve">Management — à calibrer</x:t>
        </x:is>
      </x:c>
      <x:c r="E22" s="449" t="n">
        <x:v>0.25</x:v>
      </x:c>
      <x:c r="F22" s="449" t="n">
        <x:v>0.15</x:v>
      </x:c>
      <x:c r="G22" s="449" t="n">
        <x:v>0.4</x:v>
      </x:c>
      <x:c r="H22" s="157" t="inlineStr">
        <x:is>
          <x:t xml:space="preserve">Le modèle ne doit pas dépendre des échecs répétés.</x:t>
        </x:is>
      </x:c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57" t="inlineStr">
        <x:is>
          <x:t xml:space="preserve">Part des encaissements versée en réserve</x:t>
        </x:is>
      </x:c>
      <x:c r="B23" s="448" t="n">
        <x:f>IF($B$3="Base",E23,IF($B$3="Upside",F23,G23))</x:f>
        <x:v>0.35</x:v>
      </x:c>
      <x:c r="C23" s="157" t="inlineStr">
        <x:is>
          <x:t xml:space="preserve">% cash net</x:t>
        </x:is>
      </x:c>
      <x:c r="D23" s="157" t="inlineStr">
        <x:is>
          <x:t xml:space="preserve">Politique trésorerie</x:t>
        </x:is>
      </x:c>
      <x:c r="E23" s="449" t="n">
        <x:v>0.35</x:v>
      </x:c>
      <x:c r="F23" s="449" t="n">
        <x:v>0.3</x:v>
      </x:c>
      <x:c r="G23" s="449" t="n">
        <x:v>0.45</x:v>
      </x:c>
      <x:c r="H23" s="157" t="str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57" t="inlineStr">
        <x:is>
          <x:t xml:space="preserve">OPEX fixe mensuel</x:t>
        </x:is>
      </x:c>
      <x:c r="B24" s="452" t="n">
        <x:f>IF($B$3="Base",E24,IF($B$3="Upside",F24,G24))</x:f>
        <x:v>900000</x:v>
      </x:c>
      <x:c r="C24" s="157" t="inlineStr">
        <x:is>
          <x:t xml:space="preserve">FCFA / mois</x:t>
        </x:is>
      </x:c>
      <x:c r="D24" s="157" t="inlineStr">
        <x:is>
          <x:t xml:space="preserve">Infra + équipe + données + juridique</x:t>
        </x:is>
      </x:c>
      <x:c r="E24" s="453" t="n">
        <x:v>900000</x:v>
      </x:c>
      <x:c r="F24" s="453" t="n">
        <x:v>700000</x:v>
      </x:c>
      <x:c r="G24" s="453" t="n">
        <x:v>1300000</x:v>
      </x:c>
      <x:c r="H24" s="157" t="str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409" t="inlineStr">
        <x:is>
          <x:t xml:space="preserve">Provision fiscale</x:t>
        </x:is>
      </x:c>
      <x:c r="B25" s="450" t="n">
        <x:f>IF($B$3="Base",E25,IF($B$3="Upside",F25,G25))</x:f>
        <x:v>0</x:v>
      </x:c>
      <x:c r="C25" s="409" t="inlineStr">
        <x:is>
          <x:t xml:space="preserve">% CA</x:t>
        </x:is>
      </x:c>
      <x:c r="D25" s="409" t="inlineStr">
        <x:is>
          <x:t xml:space="preserve">À confirmer par conseil fiscal</x:t>
        </x:is>
      </x:c>
      <x:c r="E25" s="451" t="n">
        <x:v>0</x:v>
      </x:c>
      <x:c r="F25" s="451" t="n">
        <x:v>0</x:v>
      </x:c>
      <x:c r="G25" s="451" t="n">
        <x:v>0.05</x:v>
      </x:c>
      <x:c r="H25" s="409" t="inlineStr">
        <x:is>
          <x:t xml:space="preserve">Hypothèse critique — ne pas interpréter comme avis fiscal.</x:t>
        </x:is>
      </x:c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57" t="n"/>
      <x:c r="B26" s="157" t="n"/>
      <x:c r="C26" s="157" t="n"/>
      <x:c r="D26" s="157" t="n"/>
      <x:c r="E26" s="157" t="n"/>
      <x:c r="F26" s="157" t="n"/>
      <x:c r="G26" s="157" t="n"/>
      <x:c r="H26" s="157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57" t="n"/>
      <x:c r="B27" s="157" t="n"/>
      <x:c r="C27" s="157" t="n"/>
      <x:c r="D27" s="157" t="n"/>
      <x:c r="E27" s="157" t="n"/>
      <x:c r="F27" s="157" t="n"/>
      <x:c r="G27" s="157" t="n"/>
      <x:c r="H27" s="157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405" t="str">
        <x:v>B. Matrice héritée v1.0 — désactivée (référence : Offre v1.1)</x:v>
      </x:c>
      <x:c r="B28" s="1" t="n"/>
      <x:c r="C28" s="1" t="n"/>
      <x:c r="D28" s="1" t="n"/>
      <x:c r="E28" s="1" t="n"/>
      <x:c r="F28" s="1" t="n"/>
      <x:c r="G28" s="1" t="n"/>
      <x:c r="H28" s="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662" t="inlineStr">
        <x:is>
          <x:t xml:space="preserve">Compte</x:t>
        </x:is>
      </x:c>
      <x:c r="B29" s="662" t="inlineStr">
        <x:is>
          <x:t xml:space="preserve">Prix (FCFA)</x:t>
        </x:is>
      </x:c>
      <x:c r="C29" s="662" t="inlineStr">
        <x:is>
          <x:t xml:space="preserve">Mix ventes</x:t>
        </x:is>
      </x:c>
      <x:c r="D29" s="662" t="inlineStr">
        <x:is>
          <x:t xml:space="preserve">Statut</x:t>
        </x:is>
      </x:c>
      <x:c r="E29" s="662" t="inlineStr">
        <x:is>
          <x:t xml:space="preserve">Cap P1–P2 (USD)</x:t>
        </x:is>
      </x:c>
      <x:c r="F29" s="662" t="inlineStr">
        <x:is>
          <x:t xml:space="preserve">Cap P3–P4 (USD)</x:t>
        </x:is>
      </x:c>
      <x:c r="G29" s="662" t="inlineStr">
        <x:is>
          <x:t xml:space="preserve">Cap P5 (USD)</x:t>
        </x:is>
      </x:c>
      <x:c r="H29" s="662" t="inlineStr">
        <x:is>
          <x:t xml:space="preserve">Nominal (USD)</x:t>
        </x:is>
      </x:c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663" t="inlineStr">
        <x:is>
          <x:t xml:space="preserve">5K</x:t>
        </x:is>
      </x:c>
      <x:c r="B30" s="664" t="n">
        <x:v>22500</x:v>
      </x:c>
      <x:c r="C30" s="665" t="n">
        <x:v>0.45</x:v>
      </x:c>
      <x:c r="D30" s="663" t="str">
        <x:v>SUPERSEDED — non utilisé ; voir Offre v1.1</x:v>
      </x:c>
      <x:c r="E30" s="664" t="n">
        <x:v>100</x:v>
      </x:c>
      <x:c r="F30" s="664" t="n">
        <x:v>150</x:v>
      </x:c>
      <x:c r="G30" s="664" t="n">
        <x:v>250</x:v>
      </x:c>
      <x:c r="H30" s="664" t="n">
        <x:v>5000</x:v>
      </x:c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663" t="inlineStr">
        <x:is>
          <x:t xml:space="preserve">10K</x:t>
        </x:is>
      </x:c>
      <x:c r="B31" s="664" t="n">
        <x:v>39900</x:v>
      </x:c>
      <x:c r="C31" s="665" t="n">
        <x:v>0.45</x:v>
      </x:c>
      <x:c r="D31" s="663" t="str">
        <x:v>SUPERSEDED — non utilisé ; voir Offre v1.1</x:v>
      </x:c>
      <x:c r="E31" s="664" t="n">
        <x:v>200</x:v>
      </x:c>
      <x:c r="F31" s="664" t="n">
        <x:v>300</x:v>
      </x:c>
      <x:c r="G31" s="664" t="n">
        <x:v>500</x:v>
      </x:c>
      <x:c r="H31" s="664" t="n">
        <x:v>10000</x:v>
      </x:c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663" t="inlineStr">
        <x:is>
          <x:t xml:space="preserve">25K</x:t>
        </x:is>
      </x:c>
      <x:c r="B32" s="664" t="n">
        <x:v>84900</x:v>
      </x:c>
      <x:c r="C32" s="665" t="n">
        <x:v>0.1</x:v>
      </x:c>
      <x:c r="D32" s="663" t="str">
        <x:v>SUPERSEDED — non utilisé ; voir Offre v1.1</x:v>
      </x:c>
      <x:c r="E32" s="664" t="n">
        <x:v>400</x:v>
      </x:c>
      <x:c r="F32" s="664" t="n">
        <x:v>600</x:v>
      </x:c>
      <x:c r="G32" s="664" t="n">
        <x:v>1000</x:v>
      </x:c>
      <x:c r="H32" s="664" t="n">
        <x:v>25000</x:v>
      </x:c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57" t="n"/>
      <x:c r="B33" s="157" t="n"/>
      <x:c r="C33" s="157" t="n"/>
      <x:c r="D33" s="157" t="n"/>
      <x:c r="E33" s="157" t="n"/>
      <x:c r="F33" s="157" t="n"/>
      <x:c r="G33" s="157" t="n"/>
      <x:c r="H33" s="157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49" t="inlineStr">
        <x:is>
          <x:t xml:space="preserve">Hypothèse</x:t>
        </x:is>
      </x:c>
      <x:c r="B34" s="149" t="inlineStr">
        <x:is>
          <x:t xml:space="preserve">Valeur</x:t>
        </x:is>
      </x:c>
      <x:c r="C34" s="149" t="inlineStr">
        <x:is>
          <x:t xml:space="preserve">Unité</x:t>
        </x:is>
      </x:c>
      <x:c r="D34" s="149" t="inlineStr">
        <x:is>
          <x:t xml:space="preserve">Source / statut</x:t>
        </x:is>
      </x:c>
      <x:c r="E34" s="157" t="n"/>
      <x:c r="F34" s="157" t="n"/>
      <x:c r="G34" s="157" t="n"/>
      <x:c r="H34" s="157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409" t="inlineStr">
        <x:is>
          <x:t xml:space="preserve">Taux de change FCFA / USD</x:t>
        </x:is>
      </x:c>
      <x:c r="B35" s="454" t="n">
        <x:v>575</x:v>
      </x:c>
      <x:c r="C35" s="409" t="inlineStr">
        <x:is>
          <x:t xml:space="preserve">FCFA par USD</x:t>
        </x:is>
      </x:c>
      <x:c r="D35" s="409" t="str">
        <x:v>Conversion commerciale informative uniquement ; exposition FX portée par WARIBA</x:v>
      </x:c>
      <x:c r="E35" s="157" t="n"/>
      <x:c r="F35" s="157" t="n"/>
      <x:c r="G35" s="157" t="n"/>
      <x:c r="H35" s="157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57" t="inlineStr">
        <x:is>
          <x:t xml:space="preserve">Trésorerie d’exploitation initiale</x:t>
        </x:is>
      </x:c>
      <x:c r="B36" s="453" t="n">
        <x:v>1000000</x:v>
      </x:c>
      <x:c r="C36" s="157" t="inlineStr">
        <x:is>
          <x:t xml:space="preserve">FCFA</x:t>
        </x:is>
      </x:c>
      <x:c r="D36" s="157" t="inlineStr">
        <x:is>
          <x:t xml:space="preserve">Management</x:t>
        </x:is>
      </x:c>
      <x:c r="E36" s="157" t="n"/>
      <x:c r="F36" s="157" t="n"/>
      <x:c r="G36" s="157" t="n"/>
      <x:c r="H36" s="157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57" t="inlineStr">
        <x:is>
          <x:t xml:space="preserve">Réserve payout initiale</x:t>
        </x:is>
      </x:c>
      <x:c r="B37" s="453" t="n">
        <x:v>2000000</x:v>
      </x:c>
      <x:c r="C37" s="157" t="inlineStr">
        <x:is>
          <x:t xml:space="preserve">FCFA</x:t>
        </x:is>
      </x:c>
      <x:c r="D37" s="157" t="inlineStr">
        <x:is>
          <x:t xml:space="preserve">Management</x:t>
        </x:is>
      </x:c>
      <x:c r="E37" s="157" t="n"/>
      <x:c r="F37" s="157" t="n"/>
      <x:c r="G37" s="157" t="n"/>
      <x:c r="H37" s="157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57" t="inlineStr">
        <x:is>
          <x:t xml:space="preserve">Couverture cible</x:t>
        </x:is>
      </x:c>
      <x:c r="B38" s="455" t="n">
        <x:v>2</x:v>
      </x:c>
      <x:c r="C38" s="157" t="inlineStr">
        <x:is>
          <x:t xml:space="preserve">x payouts 30j</x:t>
        </x:is>
      </x:c>
      <x:c r="D38" s="157" t="inlineStr">
        <x:is>
          <x:t xml:space="preserve">Rulebook v1.0</x:t>
        </x:is>
      </x:c>
      <x:c r="E38" s="157" t="n"/>
      <x:c r="F38" s="157" t="n"/>
      <x:c r="G38" s="157" t="n"/>
      <x:c r="H38" s="157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57" t="n"/>
      <x:c r="B39" s="157" t="n"/>
      <x:c r="C39" s="157" t="n"/>
      <x:c r="D39" s="157" t="n"/>
      <x:c r="E39" s="157" t="n"/>
      <x:c r="F39" s="157" t="n"/>
      <x:c r="G39" s="157" t="n"/>
      <x:c r="H39" s="157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57" t="n"/>
      <x:c r="B40" s="157" t="n"/>
      <x:c r="C40" s="157" t="n"/>
      <x:c r="D40" s="157" t="n"/>
      <x:c r="E40" s="157" t="n"/>
      <x:c r="F40" s="157" t="n"/>
      <x:c r="G40" s="157" t="n"/>
      <x:c r="H40" s="157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405" t="inlineStr">
        <x:is>
          <x:t xml:space="preserve">C. Nouveaux acheteurs mensuels — scénario de lancement</x:t>
        </x:is>
      </x:c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  <x:c r="L41" s="1" t="n"/>
      <x:c r="M41" s="1" t="n"/>
      <x:c r="N41" s="1" t="n"/>
      <x:c r="O41" s="1" t="n"/>
      <x:c r="P41" s="1" t="n"/>
      <x:c r="Q41" s="1" t="n"/>
      <x:c r="R41" s="1" t="n"/>
      <x:c r="S41" s="1" t="n"/>
      <x:c r="T41" s="1" t="n"/>
      <x:c r="U41" s="1" t="n"/>
      <x:c r="V41" s="1" t="n"/>
      <x:c r="W41" s="1" t="n"/>
      <x:c r="X41" s="1" t="n"/>
      <x:c r="Y41" s="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49" t="inlineStr">
        <x:is>
          <x:t xml:space="preserve">Mois</x:t>
        </x:is>
      </x:c>
      <x:c r="B42" s="149" t="inlineStr">
        <x:is>
          <x:t xml:space="preserve">M1</x:t>
        </x:is>
      </x:c>
      <x:c r="C42" s="149" t="inlineStr">
        <x:is>
          <x:t xml:space="preserve">M2</x:t>
        </x:is>
      </x:c>
      <x:c r="D42" s="149" t="inlineStr">
        <x:is>
          <x:t xml:space="preserve">M3</x:t>
        </x:is>
      </x:c>
      <x:c r="E42" s="149" t="inlineStr">
        <x:is>
          <x:t xml:space="preserve">M4</x:t>
        </x:is>
      </x:c>
      <x:c r="F42" s="149" t="inlineStr">
        <x:is>
          <x:t xml:space="preserve">M5</x:t>
        </x:is>
      </x:c>
      <x:c r="G42" s="149" t="inlineStr">
        <x:is>
          <x:t xml:space="preserve">M6</x:t>
        </x:is>
      </x:c>
      <x:c r="H42" s="149" t="inlineStr">
        <x:is>
          <x:t xml:space="preserve">M7</x:t>
        </x:is>
      </x:c>
      <x:c r="I42" s="164" t="inlineStr">
        <x:is>
          <x:t xml:space="preserve">M8</x:t>
        </x:is>
      </x:c>
      <x:c r="J42" s="164" t="inlineStr">
        <x:is>
          <x:t xml:space="preserve">M9</x:t>
        </x:is>
      </x:c>
      <x:c r="K42" s="164" t="inlineStr">
        <x:is>
          <x:t xml:space="preserve">M10</x:t>
        </x:is>
      </x:c>
      <x:c r="L42" s="164" t="inlineStr">
        <x:is>
          <x:t xml:space="preserve">M11</x:t>
        </x:is>
      </x:c>
      <x:c r="M42" s="164" t="inlineStr">
        <x:is>
          <x:t xml:space="preserve">M12</x:t>
        </x:is>
      </x:c>
      <x:c r="N42" s="164" t="inlineStr">
        <x:is>
          <x:t xml:space="preserve">M13</x:t>
        </x:is>
      </x:c>
      <x:c r="O42" s="164" t="inlineStr">
        <x:is>
          <x:t xml:space="preserve">M14</x:t>
        </x:is>
      </x:c>
      <x:c r="P42" s="164" t="inlineStr">
        <x:is>
          <x:t xml:space="preserve">M15</x:t>
        </x:is>
      </x:c>
      <x:c r="Q42" s="164" t="inlineStr">
        <x:is>
          <x:t xml:space="preserve">M16</x:t>
        </x:is>
      </x:c>
      <x:c r="R42" s="164" t="inlineStr">
        <x:is>
          <x:t xml:space="preserve">M17</x:t>
        </x:is>
      </x:c>
      <x:c r="S42" s="164" t="inlineStr">
        <x:is>
          <x:t xml:space="preserve">M18</x:t>
        </x:is>
      </x:c>
      <x:c r="T42" s="164" t="inlineStr">
        <x:is>
          <x:t xml:space="preserve">M19</x:t>
        </x:is>
      </x:c>
      <x:c r="U42" s="164" t="inlineStr">
        <x:is>
          <x:t xml:space="preserve">M20</x:t>
        </x:is>
      </x:c>
      <x:c r="V42" s="164" t="inlineStr">
        <x:is>
          <x:t xml:space="preserve">M21</x:t>
        </x:is>
      </x:c>
      <x:c r="W42" s="164" t="inlineStr">
        <x:is>
          <x:t xml:space="preserve">M22</x:t>
        </x:is>
      </x:c>
      <x:c r="X42" s="164" t="inlineStr">
        <x:is>
          <x:t xml:space="preserve">M23</x:t>
        </x:is>
      </x:c>
      <x:c r="Y42" s="164" t="inlineStr">
        <x:is>
          <x:t xml:space="preserve">M24</x:t>
        </x:is>
      </x:c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57" t="inlineStr">
        <x:is>
          <x:t xml:space="preserve">Nouveaux acheteurs</x:t>
        </x:is>
      </x:c>
      <x:c r="B43" s="453" t="n">
        <x:v>25</x:v>
      </x:c>
      <x:c r="C43" s="453" t="n">
        <x:v>40</x:v>
      </x:c>
      <x:c r="D43" s="453" t="n">
        <x:v>60</x:v>
      </x:c>
      <x:c r="E43" s="453" t="n">
        <x:v>80</x:v>
      </x:c>
      <x:c r="F43" s="453" t="n">
        <x:v>100</x:v>
      </x:c>
      <x:c r="G43" s="453" t="n">
        <x:v>130</x:v>
      </x:c>
      <x:c r="H43" s="453" t="n">
        <x:v>160</x:v>
      </x:c>
      <x:c r="I43" s="456" t="n">
        <x:v>200</x:v>
      </x:c>
      <x:c r="J43" s="456" t="n">
        <x:v>240</x:v>
      </x:c>
      <x:c r="K43" s="456" t="n">
        <x:v>280</x:v>
      </x:c>
      <x:c r="L43" s="456" t="n">
        <x:v>320</x:v>
      </x:c>
      <x:c r="M43" s="456" t="n">
        <x:v>360</x:v>
      </x:c>
      <x:c r="N43" s="456" t="n">
        <x:v>400</x:v>
      </x:c>
      <x:c r="O43" s="456" t="n">
        <x:v>450</x:v>
      </x:c>
      <x:c r="P43" s="456" t="n">
        <x:v>500</x:v>
      </x:c>
      <x:c r="Q43" s="456" t="n">
        <x:v>550</x:v>
      </x:c>
      <x:c r="R43" s="456" t="n">
        <x:v>600</x:v>
      </x:c>
      <x:c r="S43" s="456" t="n">
        <x:v>650</x:v>
      </x:c>
      <x:c r="T43" s="456" t="n">
        <x:v>700</x:v>
      </x:c>
      <x:c r="U43" s="456" t="n">
        <x:v>750</x:v>
      </x:c>
      <x:c r="V43" s="456" t="n">
        <x:v>800</x:v>
      </x:c>
      <x:c r="W43" s="456" t="n">
        <x:v>850</x:v>
      </x:c>
      <x:c r="X43" s="456" t="n">
        <x:v>900</x:v>
      </x:c>
      <x:c r="Y43" s="456" t="n">
        <x:v>1000</x:v>
      </x:c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457" t="inlineStr">
        <x:is>
          <x:t xml:space="preserve">D. Grille candidate v1.1 — référence (5 paliers)</x:t>
        </x:is>
      </x:c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str">
        <x:v>Les cinq tailles sont actives en sandbox. Les prix et caps v1.1 couvrent 5K–100K mais restent CANDIDATE ; aucune vente publique n’est autorisée par ce modèle.</x:v>
      </x:c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457" t="inlineStr">
        <x:is>
          <x:t xml:space="preserve">Compte</x:t>
        </x:is>
      </x:c>
      <x:c r="B48" s="457" t="inlineStr">
        <x:is>
          <x:t xml:space="preserve">Prix public (FCFA)</x:t>
        </x:is>
      </x:c>
      <x:c r="C48" s="457" t="inlineStr">
        <x:is>
          <x:t xml:space="preserve">Prix fondateur (FCFA)</x:t>
        </x:is>
      </x:c>
      <x:c r="D48" s="457" t="inlineStr">
        <x:is>
          <x:t xml:space="preserve">Équivalent USD indicatif</x:t>
        </x:is>
      </x:c>
      <x:c r="E48" s="457" t="inlineStr">
        <x:is>
          <x:t xml:space="preserve">Statut</x:t>
        </x:is>
      </x:c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25.5" customHeight="1">
      <x:c r="A49" s="161" t="inlineStr">
        <x:is>
          <x:t xml:space="preserve">5K</x:t>
        </x:is>
      </x:c>
      <x:c r="B49" s="458" t="n">
        <x:v>22500</x:v>
      </x:c>
      <x:c r="C49" s="458" t="n">
        <x:v>16900</x:v>
      </x:c>
      <x:c r="D49" s="161" t="inlineStr">
        <x:is>
          <x:t xml:space="preserve">≈ 39 USD</x:t>
        </x:is>
      </x:c>
      <x:c r="E49" s="488" t="str">
        <x:v>CANDIDATE — sandbox actif</x:v>
      </x:c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25.5" customHeight="1">
      <x:c r="A50" s="161" t="inlineStr">
        <x:is>
          <x:t xml:space="preserve">10K</x:t>
        </x:is>
      </x:c>
      <x:c r="B50" s="458" t="n">
        <x:v>39900</x:v>
      </x:c>
      <x:c r="C50" s="458" t="n">
        <x:v>34900</x:v>
      </x:c>
      <x:c r="D50" s="161" t="inlineStr">
        <x:is>
          <x:t xml:space="preserve">≈ 69 USD</x:t>
        </x:is>
      </x:c>
      <x:c r="E50" s="488" t="str">
        <x:v>CANDIDATE — sandbox actif</x:v>
      </x:c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25.5" customHeight="1">
      <x:c r="A51" s="161" t="inlineStr">
        <x:is>
          <x:t xml:space="preserve">25K</x:t>
        </x:is>
      </x:c>
      <x:c r="B51" s="458" t="n">
        <x:v>84900</x:v>
      </x:c>
      <x:c r="C51" s="458" t="n">
        <x:v>74900</x:v>
      </x:c>
      <x:c r="D51" s="161" t="inlineStr">
        <x:is>
          <x:t xml:space="preserve">≈ 148 USD</x:t>
        </x:is>
      </x:c>
      <x:c r="E51" s="488" t="str">
        <x:v>CANDIDATE — sandbox actif</x:v>
      </x:c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25.5" customHeight="1">
      <x:c r="A52" s="161" t="inlineStr">
        <x:is>
          <x:t xml:space="preserve">50K</x:t>
        </x:is>
      </x:c>
      <x:c r="B52" s="458" t="n">
        <x:v>144900</x:v>
      </x:c>
      <x:c r="C52" s="458" t="n">
        <x:v>124900</x:v>
      </x:c>
      <x:c r="D52" s="161" t="inlineStr">
        <x:is>
          <x:t xml:space="preserve">≈ 252 USD</x:t>
        </x:is>
      </x:c>
      <x:c r="E52" s="488" t="str">
        <x:v>CANDIDATE — sandbox actif</x:v>
      </x:c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25.5" customHeight="1">
      <x:c r="A53" s="161" t="inlineStr">
        <x:is>
          <x:t xml:space="preserve">100K</x:t>
        </x:is>
      </x:c>
      <x:c r="B53" s="458" t="n">
        <x:v>259900</x:v>
      </x:c>
      <x:c r="C53" s="458" t="n">
        <x:v>229900</x:v>
      </x:c>
      <x:c r="D53" s="161" t="inlineStr">
        <x:is>
          <x:t xml:space="preserve">≈ 452 USD</x:t>
        </x:is>
      </x:c>
      <x:c r="E53" s="488" t="str">
        <x:v>CANDIDATE — sandbox actif</x:v>
      </x:c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str">
        <x:v>PRICE_STATUS = CANDIDATE_PENDING_ACTUARIAL_VALIDATION</x:v>
      </x:c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str">
        <x:v>Commercial currency: XOF · Settlement currency: XOF · Primary display: FCFA · USD: informational only · FX exposure: WARIBA.</x:v>
      </x:c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1:H1"/>
    <x:mergeCell ref="A41:Y41"/>
    <x:mergeCell ref="A2:H2"/>
    <x:mergeCell ref="A28:H28"/>
    <x:mergeCell ref="A5:H5"/>
  </x:mergeCells>
  <x:dataValidations count="1">
    <x:dataValidation type="list" allowBlank="0" showDropDown="0" showInputMessage="0" showErrorMessage="0" sqref="B3">
      <x:formula1>"Base,Upside,Stress"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65" hidden="0" customWidth="1"/>
    <x:col min="2" max="2" width="19" hidden="0" customWidth="1"/>
    <x:col min="3" max="3" width="12.5600004196167" hidden="0" customWidth="1"/>
    <x:col min="4" max="4" width="24.889999389648438" hidden="0" customWidth="1"/>
  </x:cols>
  <x:sheetData>
    <x:row r="1" ht="30" hidden="0" customHeight="1">
      <x:c r="A1" s="666" t="str">
        <x:v>WARIBA — Règles commerciales et paramètres v1.1.1</x:v>
      </x:c>
      <x:c r="B1" s="667"/>
      <x:c r="C1" s="667"/>
      <x:c r="D1" s="667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34" hidden="0" customHeight="1">
      <x:c r="A2" s="668" t="str">
        <x:v>Résumé financier du Rulebook v1.1.1. Le Rulebook Markdown reste la référence textuelle complète.</x:v>
      </x:c>
      <x:c r="B2" s="669"/>
      <x:c r="C2" s="669"/>
      <x:c r="D2" s="669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hidden="0" customHeight="1">
      <x:c r="A3" s="573"/>
      <x:c r="B3" s="573"/>
      <x:c r="C3" s="573"/>
      <x:c r="D3" s="573"/>
      <x:c r="E3" s="157" t="n"/>
      <x:c r="F3" s="157" t="n"/>
      <x:c r="G3" s="157" t="n"/>
      <x:c r="H3" s="157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hidden="0" customHeight="1">
      <x:c r="A4" s="670" t="str">
        <x:v>A. WARIBA ONE — Evaluation</x:v>
      </x:c>
      <x:c r="B4" s="671"/>
      <x:c r="C4" s="671"/>
      <x:c r="D4" s="671"/>
      <x:c r="E4" s="1" t="n"/>
      <x:c r="F4" s="1" t="n"/>
      <x:c r="G4" s="1" t="n"/>
      <x:c r="H4" s="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hidden="0" customHeight="1">
      <x:c r="A5" s="548" t="str">
        <x:v>Paramètre</x:v>
      </x:c>
      <x:c r="B5" s="548" t="str">
        <x:v>Valeur</x:v>
      </x:c>
      <x:c r="C5" s="548" t="str">
        <x:v>Statut</x:v>
      </x:c>
      <x:c r="D5" s="548" t="str">
        <x:v>Effet économique</x:v>
      </x:c>
      <x:c r="E5" s="157" t="n"/>
      <x:c r="F5" s="157" t="n"/>
      <x:c r="G5" s="157" t="n"/>
      <x:c r="H5" s="157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hidden="0" customHeight="1">
      <x:c r="A6" s="573" t="str">
        <x:v>Phases</x:v>
      </x:c>
      <x:c r="B6" s="573" t="n">
        <x:v>1</x:v>
      </x:c>
      <x:c r="C6" s="573" t="str">
        <x:v>LOCKED</x:v>
      </x:c>
      <x:c r="D6" s="573" t="str">
        <x:v>Une seule phase</x:v>
      </x:c>
      <x:c r="E6" s="157" t="n"/>
      <x:c r="F6" s="157" t="n"/>
      <x:c r="G6" s="157" t="n"/>
      <x:c r="H6" s="157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hidden="0" customHeight="1">
      <x:c r="A7" s="573" t="str">
        <x:v>Target réalisé</x:v>
      </x:c>
      <x:c r="B7" s="575" t="n">
        <x:v>0.1</x:v>
      </x:c>
      <x:c r="C7" s="573" t="str">
        <x:v>LOCKED</x:v>
      </x:c>
      <x:c r="D7" s="573" t="str">
        <x:v>PnL latent exclu</x:v>
      </x:c>
      <x:c r="E7" s="157" t="n"/>
      <x:c r="F7" s="157" t="n"/>
      <x:c r="G7" s="157" t="n"/>
      <x:c r="H7" s="157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hidden="0" customHeight="1">
      <x:c r="A8" s="573" t="str">
        <x:v>Daily Loss Limit</x:v>
      </x:c>
      <x:c r="B8" s="575" t="n">
        <x:v>0.03</x:v>
      </x:c>
      <x:c r="C8" s="573" t="str">
        <x:v>LOCKED</x:v>
      </x:c>
      <x:c r="D8" s="573" t="str">
        <x:v>Soft lock au reset suivant</x:v>
      </x:c>
      <x:c r="E8" s="157" t="n"/>
      <x:c r="F8" s="157" t="n"/>
      <x:c r="G8" s="157" t="n"/>
      <x:c r="H8" s="157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hidden="0" customHeight="1">
      <x:c r="A9" s="573" t="str">
        <x:v>Maximum Loss</x:v>
      </x:c>
      <x:c r="B9" s="575" t="n">
        <x:v>0.1</x:v>
      </x:c>
      <x:c r="C9" s="573" t="str">
        <x:v>LOCKED</x:v>
      </x:c>
      <x:c r="D9" s="573" t="str">
        <x:v>EOD trailing, hard breach</x:v>
      </x:c>
      <x:c r="E9" s="157" t="n"/>
      <x:c r="F9" s="157" t="n"/>
      <x:c r="G9" s="157" t="n"/>
      <x:c r="H9" s="157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hidden="0" customHeight="1">
      <x:c r="A10" s="573" t="str">
        <x:v>Best Day Rule</x:v>
      </x:c>
      <x:c r="B10" s="575" t="n">
        <x:v>0.5</x:v>
      </x:c>
      <x:c r="C10" s="573" t="str">
        <x:v>LOCKED</x:v>
      </x:c>
      <x:c r="D10" s="573" t="str">
        <x:v>Bloque le passage, jamais un breach</x:v>
      </x:c>
      <x:c r="E10" s="157" t="n"/>
      <x:c r="F10" s="157" t="n"/>
      <x:c r="G10" s="157" t="n"/>
      <x:c r="H10" s="157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hidden="0" customHeight="1">
      <x:c r="A11" s="573" t="str">
        <x:v>Jours minimums</x:v>
      </x:c>
      <x:c r="B11" s="597" t="n">
        <x:v>0</x:v>
      </x:c>
      <x:c r="C11" s="573" t="str">
        <x:v>LOCKED</x:v>
      </x:c>
      <x:c r="D11" s="573" t="str">
        <x:v>Aucun minimum formel</x:v>
      </x:c>
      <x:c r="E11" s="157" t="n"/>
      <x:c r="F11" s="157" t="n"/>
      <x:c r="G11" s="157" t="n"/>
      <x:c r="H11" s="157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hidden="0" customHeight="1">
      <x:c r="A12" s="573" t="str">
        <x:v>Journées qualifiées</x:v>
      </x:c>
      <x:c r="B12" s="597" t="n">
        <x:v>0</x:v>
      </x:c>
      <x:c r="C12" s="573" t="str">
        <x:v>LOCKED</x:v>
      </x:c>
      <x:c r="D12" s="573" t="str">
        <x:v>Supprimées en Evaluation</x:v>
      </x:c>
      <x:c r="E12" s="157" t="n"/>
      <x:c r="F12" s="157" t="n"/>
      <x:c r="G12" s="157" t="n"/>
      <x:c r="H12" s="157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hidden="0" customHeight="1">
      <x:c r="A13" s="573" t="str">
        <x:v>Durée</x:v>
      </x:c>
      <x:c r="B13" s="576" t="str">
        <x:v>Illimitée</x:v>
      </x:c>
      <x:c r="C13" s="573" t="str">
        <x:v>LOCKED</x:v>
      </x:c>
      <x:c r="D13" s="573" t="str">
        <x:v>Sans abonnement obligatoire</x:v>
      </x:c>
      <x:c r="E13" s="157" t="n"/>
      <x:c r="F13" s="157" t="n"/>
      <x:c r="G13" s="157" t="n"/>
      <x:c r="H13" s="157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hidden="0" customHeight="1">
      <x:c r="A14" s="573" t="str">
        <x:v>Inactivité</x:v>
      </x:c>
      <x:c r="B14" s="573" t="str">
        <x:v>30 jours</x:v>
      </x:c>
      <x:c r="C14" s="573" t="str">
        <x:v>LOCKED</x:v>
      </x:c>
      <x:c r="D14" s="573" t="str">
        <x:v>Calendaires</x:v>
      </x:c>
      <x:c r="E14" s="157" t="n"/>
      <x:c r="F14" s="157" t="n"/>
      <x:c r="G14" s="157" t="n"/>
      <x:c r="H14" s="157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hidden="0" customHeight="1">
      <x:c r="A15" s="573" t="str">
        <x:v>Frais d’activation</x:v>
      </x:c>
      <x:c r="B15" s="577" t="n">
        <x:v>0</x:v>
      </x:c>
      <x:c r="C15" s="573" t="str">
        <x:v>LOCKED</x:v>
      </x:c>
      <x:c r="D15" s="573" t="str">
        <x:v>Aucun coût après réussite</x:v>
      </x:c>
      <x:c r="E15" s="157" t="n"/>
      <x:c r="F15" s="157" t="n"/>
      <x:c r="G15" s="157" t="n"/>
      <x:c r="H15" s="157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hidden="0" customHeight="1">
      <x:c r="A16" s="573" t="str">
        <x:v>Maximum Loss floor</x:v>
      </x:c>
      <x:c r="B16" s="573" t="str">
        <x:v>EOD finalisé</x:v>
      </x:c>
      <x:c r="C16" s="573" t="str">
        <x:v>LOCKED</x:v>
      </x:c>
      <x:c r="D16" s="573" t="str">
        <x:v>Ne baisse jamais, lock au nominal</x:v>
      </x:c>
      <x:c r="E16" s="157" t="n"/>
      <x:c r="F16" s="157" t="n"/>
      <x:c r="G16" s="157" t="n"/>
      <x:c r="H16" s="157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hidden="0" customHeight="1">
      <x:c r="A17" s="573"/>
      <x:c r="B17" s="573"/>
      <x:c r="C17" s="573"/>
      <x:c r="D17" s="573"/>
      <x:c r="E17" s="157" t="n"/>
      <x:c r="F17" s="157" t="n"/>
      <x:c r="G17" s="157" t="n"/>
      <x:c r="H17" s="157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hidden="0" customHeight="1">
      <x:c r="A18" s="670" t="str">
        <x:v>B. WARIBA Performance</x:v>
      </x:c>
      <x:c r="B18" s="671"/>
      <x:c r="C18" s="671"/>
      <x:c r="D18" s="671"/>
      <x:c r="E18" s="1" t="n"/>
      <x:c r="F18" s="1" t="n"/>
      <x:c r="G18" s="1" t="n"/>
      <x:c r="H18" s="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hidden="0" customHeight="1">
      <x:c r="A19" s="548" t="str">
        <x:v>Paramètre</x:v>
      </x:c>
      <x:c r="B19" s="548" t="str">
        <x:v>Valeur</x:v>
      </x:c>
      <x:c r="C19" s="548" t="str">
        <x:v>Statut</x:v>
      </x:c>
      <x:c r="D19" s="548" t="str">
        <x:v>Effet économique</x:v>
      </x:c>
      <x:c r="E19" s="157" t="n"/>
      <x:c r="F19" s="157" t="n"/>
      <x:c r="G19" s="157" t="n"/>
      <x:c r="H19" s="157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hidden="0" customHeight="1">
      <x:c r="A20" s="573" t="str">
        <x:v>Nature</x:v>
      </x:c>
      <x:c r="B20" s="573" t="str">
        <x:v>Simulé</x:v>
      </x:c>
      <x:c r="C20" s="573" t="str">
        <x:v>LOCKED</x:v>
      </x:c>
      <x:c r="D20" s="573" t="str">
        <x:v>Aucun capital réel au lancement</x:v>
      </x:c>
      <x:c r="E20" s="157" t="n"/>
      <x:c r="F20" s="157" t="n"/>
      <x:c r="G20" s="157" t="n"/>
      <x:c r="H20" s="157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hidden="0" customHeight="1">
      <x:c r="A21" s="573" t="str">
        <x:v>Daily Loss Limit</x:v>
      </x:c>
      <x:c r="B21" s="575" t="n">
        <x:v>0.03</x:v>
      </x:c>
      <x:c r="C21" s="573" t="str">
        <x:v>LOCKED</x:v>
      </x:c>
      <x:c r="D21" s="573" t="str">
        <x:v>Soft lock</x:v>
      </x:c>
      <x:c r="E21" s="157" t="n"/>
      <x:c r="F21" s="157" t="n"/>
      <x:c r="G21" s="157" t="n"/>
      <x:c r="H21" s="157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hidden="0" customHeight="1">
      <x:c r="A22" s="573" t="str">
        <x:v>Maximum Loss</x:v>
      </x:c>
      <x:c r="B22" s="575" t="n">
        <x:v>0.1</x:v>
      </x:c>
      <x:c r="C22" s="573" t="str">
        <x:v>LOCKED</x:v>
      </x:c>
      <x:c r="D22" s="573" t="str">
        <x:v>EOD trailing</x:v>
      </x:c>
      <x:c r="E22" s="157" t="n"/>
      <x:c r="F22" s="157" t="n"/>
      <x:c r="G22" s="157" t="n"/>
      <x:c r="H22" s="157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hidden="0" customHeight="1">
      <x:c r="A23" s="573" t="str">
        <x:v>Best Day Rule</x:v>
      </x:c>
      <x:c r="B23" s="575" t="n">
        <x:v>0.5</x:v>
      </x:c>
      <x:c r="C23" s="573" t="str">
        <x:v>LOCKED</x:v>
      </x:c>
      <x:c r="D23" s="573" t="str">
        <x:v>Par cycle, non-breach</x:v>
      </x:c>
      <x:c r="E23" s="157" t="n"/>
      <x:c r="F23" s="157" t="n"/>
      <x:c r="G23" s="157" t="n"/>
      <x:c r="H23" s="157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hidden="0" customHeight="1">
      <x:c r="A24" s="573" t="str">
        <x:v>Performance Days</x:v>
      </x:c>
      <x:c r="B24" s="597" t="n">
        <x:v>5</x:v>
      </x:c>
      <x:c r="C24" s="573" t="str">
        <x:v>LOCKED</x:v>
      </x:c>
      <x:c r="D24" s="573" t="str">
        <x:v>Nouvelles journées par payout</x:v>
      </x:c>
      <x:c r="E24" s="157" t="n"/>
      <x:c r="F24" s="157" t="n"/>
      <x:c r="G24" s="157" t="n"/>
      <x:c r="H24" s="157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hidden="0" customHeight="1">
      <x:c r="A25" s="573" t="str">
        <x:v>Seuil Performance Day</x:v>
      </x:c>
      <x:c r="B25" s="575" t="n">
        <x:v>0.005</x:v>
      </x:c>
      <x:c r="C25" s="573" t="str">
        <x:v>LOCKED</x:v>
      </x:c>
      <x:c r="D25" s="573" t="str">
        <x:v>Profit net réalisé sur nominal</x:v>
      </x:c>
      <x:c r="E25" s="157" t="n"/>
      <x:c r="F25" s="157" t="n"/>
      <x:c r="G25" s="157" t="n"/>
      <x:c r="H25" s="157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hidden="0" customHeight="1">
      <x:c r="A26" s="573" t="str">
        <x:v>Buffer permanent</x:v>
      </x:c>
      <x:c r="B26" s="575" t="n">
        <x:v>0.1</x:v>
      </x:c>
      <x:c r="C26" s="573" t="str">
        <x:v>LOCKED</x:v>
      </x:c>
      <x:c r="D26" s="573" t="str">
        <x:v>Construit une fois, non retirable</x:v>
      </x:c>
      <x:c r="E26" s="157" t="n"/>
      <x:c r="F26" s="157" t="n"/>
      <x:c r="G26" s="157" t="n"/>
      <x:c r="H26" s="157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hidden="0" customHeight="1">
      <x:c r="A27" s="573" t="str">
        <x:v>Excédent éligible</x:v>
      </x:c>
      <x:c r="B27" s="578" t="str">
        <x:v>Au-dessus du buffer</x:v>
      </x:c>
      <x:c r="C27" s="573" t="str">
        <x:v>LOCKED</x:v>
      </x:c>
      <x:c r="D27" s="573" t="str">
        <x:v>Réalisé uniquement</x:v>
      </x:c>
      <x:c r="E27" s="157" t="n"/>
      <x:c r="F27" s="157" t="n"/>
      <x:c r="G27" s="157" t="n"/>
      <x:c r="H27" s="157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hidden="0" customHeight="1">
      <x:c r="A28" s="573" t="str">
        <x:v>Limite universelle 50 %</x:v>
      </x:c>
      <x:c r="B28" s="578" t="str">
        <x:v>Supprimée</x:v>
      </x:c>
      <x:c r="C28" s="573" t="str">
        <x:v>LOCKED</x:v>
      </x:c>
      <x:c r="D28" s="573" t="str">
        <x:v>Buffer + caps protègent</x:v>
      </x:c>
      <x:c r="E28" s="157" t="n"/>
      <x:c r="F28" s="157" t="n"/>
      <x:c r="G28" s="157" t="n"/>
      <x:c r="H28" s="157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hidden="0" customHeight="1">
      <x:c r="A29" s="573" t="str">
        <x:v>Split #1–#4</x:v>
      </x:c>
      <x:c r="B29" s="575" t="n">
        <x:v>0.85</x:v>
      </x:c>
      <x:c r="C29" s="573" t="str">
        <x:v>LOCKED</x:v>
      </x:c>
      <x:c r="D29" s="573" t="str">
        <x:v>Trader cash</x:v>
      </x:c>
      <x:c r="E29" s="157" t="n"/>
      <x:c r="F29" s="157" t="n"/>
      <x:c r="G29" s="157" t="n"/>
      <x:c r="H29" s="157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hidden="0" customHeight="1">
      <x:c r="A30" s="573" t="str">
        <x:v>Split #5</x:v>
      </x:c>
      <x:c r="B30" s="575" t="n">
        <x:v>0.9</x:v>
      </x:c>
      <x:c r="C30" s="573" t="str">
        <x:v>LOCKED</x:v>
      </x:c>
      <x:c r="D30" s="573" t="str">
        <x:v>Trader cash</x:v>
      </x:c>
      <x:c r="E30" s="157" t="n"/>
      <x:c r="F30" s="157" t="n"/>
      <x:c r="G30" s="157" t="n"/>
      <x:c r="H30" s="157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hidden="0" customHeight="1">
      <x:c r="A31" s="573" t="str">
        <x:v>Payouts avant Review</x:v>
      </x:c>
      <x:c r="B31" s="573" t="n">
        <x:v>5</x:v>
      </x:c>
      <x:c r="C31" s="573" t="str">
        <x:v>LOCKED</x:v>
      </x:c>
      <x:c r="D31" s="573" t="str">
        <x:v>Aucun payout #6 automatique</x:v>
      </x:c>
      <x:c r="E31" s="157" t="n"/>
      <x:c r="F31" s="157" t="n"/>
      <x:c r="G31" s="157" t="n"/>
      <x:c r="H31" s="157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hidden="0" customHeight="1">
      <x:c r="A32" s="573"/>
      <x:c r="B32" s="573"/>
      <x:c r="C32" s="573"/>
      <x:c r="D32" s="573"/>
      <x:c r="E32" s="157" t="n"/>
      <x:c r="F32" s="157" t="n"/>
      <x:c r="G32" s="157" t="n"/>
      <x:c r="H32" s="157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hidden="0" customHeight="1">
      <x:c r="A33" s="672" t="str">
        <x:v>C. Instruments et levier v1.1</x:v>
      </x:c>
      <x:c r="B33" s="672"/>
      <x:c r="C33" s="672"/>
      <x:c r="D33" s="672"/>
      <x:c r="E33" s="157" t="n"/>
      <x:c r="F33" s="157" t="n"/>
      <x:c r="G33" s="157" t="n"/>
      <x:c r="H33" s="157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hidden="0" customHeight="1">
      <x:c r="A34" s="550" t="str">
        <x:v>Symbole</x:v>
      </x:c>
      <x:c r="B34" s="550" t="str">
        <x:v>Classe</x:v>
      </x:c>
      <x:c r="C34" s="550" t="str">
        <x:v>Levier Evaluation</x:v>
      </x:c>
      <x:c r="D34" s="550" t="str">
        <x:v>Levier Performance</x:v>
      </x:c>
      <x:c r="E34" s="157" t="n"/>
      <x:c r="F34" s="157" t="n"/>
      <x:c r="G34" s="157" t="n"/>
      <x:c r="H34" s="157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hidden="0" customHeight="1">
      <x:c r="A35" s="673" t="str">
        <x:v>EURUSD</x:v>
      </x:c>
      <x:c r="B35" s="674" t="str">
        <x:v>Forex majeur</x:v>
      </x:c>
      <x:c r="C35" s="674" t="str">
        <x:v>1:100</x:v>
      </x:c>
      <x:c r="D35" s="674" t="str">
        <x:v>1:60</x:v>
      </x:c>
      <x:c r="E35" s="1" t="n"/>
      <x:c r="F35" s="1" t="n"/>
      <x:c r="G35" s="1" t="n"/>
      <x:c r="H35" s="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hidden="0" customHeight="1">
      <x:c r="A36" s="675" t="str">
        <x:v>GBPUSD</x:v>
      </x:c>
      <x:c r="B36" s="675" t="str">
        <x:v>Forex majeur</x:v>
      </x:c>
      <x:c r="C36" s="675" t="str">
        <x:v>1:100</x:v>
      </x:c>
      <x:c r="D36" s="675" t="str">
        <x:v>1:60</x:v>
      </x:c>
      <x:c r="E36" s="157" t="n"/>
      <x:c r="F36" s="157" t="n"/>
      <x:c r="G36" s="157" t="n"/>
      <x:c r="H36" s="157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hidden="0" customHeight="1">
      <x:c r="A37" s="673" t="str">
        <x:v>USDJPY</x:v>
      </x:c>
      <x:c r="B37" s="673" t="str">
        <x:v>Forex majeur</x:v>
      </x:c>
      <x:c r="C37" s="673" t="str">
        <x:v>1:100</x:v>
      </x:c>
      <x:c r="D37" s="673" t="str">
        <x:v>1:60</x:v>
      </x:c>
      <x:c r="E37" s="157" t="n"/>
      <x:c r="F37" s="157" t="n"/>
      <x:c r="G37" s="157" t="n"/>
      <x:c r="H37" s="157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hidden="0" customHeight="1">
      <x:c r="A38" s="673" t="str">
        <x:v>XAUUSD</x:v>
      </x:c>
      <x:c r="B38" s="673" t="str">
        <x:v>Or — exposition dynamique</x:v>
      </x:c>
      <x:c r="C38" s="673" t="str">
        <x:v>jusqu’à 1:50</x:v>
      </x:c>
      <x:c r="D38" s="673" t="str">
        <x:v>jusqu’à 1:25</x:v>
      </x:c>
      <x:c r="E38" s="157" t="n"/>
      <x:c r="F38" s="157" t="n"/>
      <x:c r="G38" s="157" t="n"/>
      <x:c r="H38" s="157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hidden="0" customHeight="1">
      <x:c r="A39" s="673" t="str">
        <x:v>NAS100</x:v>
      </x:c>
      <x:c r="B39" s="673" t="str">
        <x:v>Indice</x:v>
      </x:c>
      <x:c r="C39" s="673" t="str">
        <x:v>jusqu’à 1:20</x:v>
      </x:c>
      <x:c r="D39" s="673" t="str">
        <x:v>jusqu’à 1:10</x:v>
      </x:c>
      <x:c r="E39" s="157" t="n"/>
      <x:c r="F39" s="157" t="n"/>
      <x:c r="G39" s="157" t="n"/>
      <x:c r="H39" s="157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hidden="0" customHeight="1">
      <x:c r="A40" s="673" t="str">
        <x:v>Marge maximale</x:v>
      </x:c>
      <x:c r="B40" s="673" t="str">
        <x:v>Evaluation 30 %</x:v>
      </x:c>
      <x:c r="C40" s="673" t="str">
        <x:v>LOCKED</x:v>
      </x:c>
      <x:c r="D40" s="673" t="str">
        <x:v>Performance 25 %</x:v>
      </x:c>
      <x:c r="E40" s="157" t="n"/>
      <x:c r="F40" s="157" t="n"/>
      <x:c r="G40" s="157" t="n"/>
      <x:c r="H40" s="157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hidden="0" customHeight="1">
      <x:c r="A41" s="673" t="str">
        <x:v>Devise commerciale</x:v>
      </x:c>
      <x:c r="B41" s="673" t="str">
        <x:v>XOF / FCFA</x:v>
      </x:c>
      <x:c r="C41" s="673" t="str">
        <x:v>LOCKED</x:v>
      </x:c>
      <x:c r="D41" s="673" t="str">
        <x:v>USD informatif uniquement</x:v>
      </x:c>
      <x:c r="E41" s="157" t="n"/>
      <x:c r="F41" s="157" t="n"/>
      <x:c r="G41" s="157" t="n"/>
      <x:c r="H41" s="157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488" t="n"/>
      <x:c r="B42" s="488" t="n"/>
      <x:c r="C42" s="488" t="n"/>
      <x:c r="D42" s="488" t="n"/>
      <x:c r="E42" s="157" t="n"/>
      <x:c r="F42" s="157" t="n"/>
      <x:c r="G42" s="157" t="n"/>
      <x:c r="H42" s="157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hidden="0" customHeight="1">
      <x:c r="A43" s="488" t="str">
        <x:v>D. Éligibilité du résultat programme v1.1.1</x:v>
      </x:c>
      <x:c r="B43" s="488"/>
      <x:c r="C43" s="488"/>
      <x:c r="D43" s="488"/>
      <x:c r="E43" s="157" t="n"/>
      <x:c r="F43" s="157" t="n"/>
      <x:c r="G43" s="157" t="n"/>
      <x:c r="H43" s="157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hidden="0" customHeight="1">
      <x:c r="A44" s="488" t="str">
        <x:v>Contrôle</x:v>
      </x:c>
      <x:c r="B44" s="488" t="str">
        <x:v>Seuil</x:v>
      </x:c>
      <x:c r="C44" s="488" t="str">
        <x:v>Statut</x:v>
      </x:c>
      <x:c r="D44" s="488" t="str">
        <x:v>Effet</x:v>
      </x:c>
      <x:c r="E44" s="157" t="n"/>
      <x:c r="F44" s="157" t="n"/>
      <x:c r="G44" s="157" t="n"/>
      <x:c r="H44" s="157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24" hidden="0" customHeight="1">
      <x:c r="A45" s="488" t="str">
        <x:v>Profit éligible</x:v>
      </x:c>
      <x:c r="B45" s="488" t="str">
        <x:v>Durée ≥ 60 s</x:v>
      </x:c>
      <x:c r="C45" s="488" t="str">
        <x:v>LOCKED</x:v>
      </x:c>
      <x:c r="D45" s="488" t="str">
        <x:v>Résultat net après frais ; pertes toujours comptées</x:v>
      </x:c>
      <x:c r="E45" s="157" t="n"/>
      <x:c r="F45" s="157" t="n"/>
      <x:c r="G45" s="157" t="n"/>
      <x:c r="H45" s="157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hidden="0" customHeight="1">
      <x:c r="A46" s="488" t="str">
        <x:v>Fermetures courtes</x:v>
      </x:c>
      <x:c r="B46" s="488" t="str">
        <x:v>3</x:v>
      </x:c>
      <x:c r="C46" s="488" t="str">
        <x:v>LOCKED</x:v>
      </x:c>
      <x:c r="D46" s="488" t="str">
        <x:v>Avertissement et journalisation</x:v>
      </x:c>
      <x:c r="E46" s="157" t="n"/>
      <x:c r="F46" s="157" t="n"/>
      <x:c r="G46" s="157" t="n"/>
      <x:c r="H46" s="157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24" hidden="0" customHeight="1">
      <x:c r="A47" s="488" t="str">
        <x:v>Fermetures courtes</x:v>
      </x:c>
      <x:c r="B47" s="488" t="str">
        <x:v>6</x:v>
      </x:c>
      <x:c r="C47" s="488" t="str">
        <x:v>LOCKED</x:v>
      </x:c>
      <x:c r="D47" s="488" t="str">
        <x:v>Verrou des nouvelles entrées et revue risque ; sorties autorisées</x:v>
      </x:c>
      <x:c r="E47" s="157" t="n"/>
      <x:c r="F47" s="157" t="n"/>
      <x:c r="G47" s="157" t="n"/>
      <x:c r="H47" s="157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57" t="n"/>
      <x:c r="B48" s="157" t="n"/>
      <x:c r="C48" s="157" t="n"/>
      <x:c r="D48" s="157" t="n"/>
      <x:c r="E48" s="157" t="n"/>
      <x:c r="F48" s="157" t="n"/>
      <x:c r="G48" s="157" t="n"/>
      <x:c r="H48" s="157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57" t="n"/>
      <x:c r="B49" s="157" t="n"/>
      <x:c r="C49" s="157" t="n"/>
      <x:c r="D49" s="157" t="n"/>
      <x:c r="E49" s="157" t="n"/>
      <x:c r="F49" s="157" t="n"/>
      <x:c r="G49" s="157" t="n"/>
      <x:c r="H49" s="157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57" t="n"/>
      <x:c r="B50" s="157" t="n"/>
      <x:c r="C50" s="157" t="n"/>
      <x:c r="D50" s="157" t="n"/>
      <x:c r="E50" s="157" t="n"/>
      <x:c r="F50" s="157" t="n"/>
      <x:c r="G50" s="157" t="n"/>
      <x:c r="H50" s="157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1:D1"/>
    <x:mergeCell ref="A2:D2"/>
    <x:mergeCell ref="A4:D4"/>
    <x:mergeCell ref="A18:D18"/>
    <x:mergeCell ref="A33:D3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35" customWidth="1"/>
    <x:col min="2" max="2" width="18" customWidth="1"/>
    <x:col min="3" max="3" width="18" customWidth="1"/>
    <x:col min="4" max="4" width="16" customWidth="1"/>
    <x:col min="5" max="5" width="16" customWidth="1"/>
    <x:col min="6" max="6" width="30" customWidth="1"/>
    <x:col min="7" max="7" width="16" customWidth="1"/>
  </x:cols>
  <x:sheetData>
    <x:row r="1" ht="15" customHeight="1">
      <x:c r="A1" s="401" t="inlineStr">
        <x:is>
          <x:t xml:space="preserve">WARIBA — Économie unitaire par achat</x:t>
        </x:is>
      </x:c>
      <x:c r="B1" s="1" t="n"/>
      <x:c r="C1" s="1" t="n"/>
      <x:c r="D1" s="1" t="n"/>
      <x:c r="E1" s="1" t="n"/>
      <x:c r="F1" s="1" t="n"/>
      <x:c r="G1" s="1" t="n"/>
      <x:c r="H1" s="16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1" t="n"/>
      <x:c r="B2" s="161" t="n"/>
      <x:c r="C2" s="161" t="n"/>
      <x:c r="D2" s="161" t="n"/>
      <x:c r="E2" s="161" t="n"/>
      <x:c r="F2" s="161" t="n"/>
      <x:c r="G2" s="161" t="n"/>
      <x:c r="H2" s="16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inlineStr">
        <x:is>
          <x:t xml:space="preserve">Scénario actif</x:t>
        </x:is>
      </x:c>
      <x:c r="B3" s="288" t="str">
        <x:f>'Hypothèses'!B3</x:f>
        <x:v>Base</x:v>
      </x:c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1" t="n"/>
      <x:c r="B4" s="161" t="n"/>
      <x:c r="C4" s="161" t="n"/>
      <x:c r="D4" s="161" t="n"/>
      <x:c r="E4" s="161" t="n"/>
      <x:c r="F4" s="161" t="n"/>
      <x:c r="G4" s="161" t="n"/>
      <x:c r="H4" s="16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8" t="inlineStr">
        <x:is>
          <x:t xml:space="preserve">A. Revenu et coûts variables</x:t>
        </x:is>
      </x:c>
      <x:c r="B5" s="1" t="n"/>
      <x:c r="C5" s="1" t="n"/>
      <x:c r="D5" s="1" t="n"/>
      <x:c r="E5" s="1" t="n"/>
      <x:c r="F5" s="1" t="n"/>
      <x:c r="G5" s="1" t="n"/>
      <x:c r="H5" s="161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64" t="inlineStr">
        <x:is>
          <x:t xml:space="preserve">Métrique</x:t>
        </x:is>
      </x:c>
      <x:c r="B6" s="164" t="inlineStr">
        <x:is>
          <x:t xml:space="preserve">Montant (FCFA)</x:t>
        </x:is>
      </x:c>
      <x:c r="C6" s="164" t="inlineStr">
        <x:is>
          <x:t xml:space="preserve">% prix moyen</x:t>
        </x:is>
      </x:c>
      <x:c r="D6" s="164" t="inlineStr">
        <x:is>
          <x:t xml:space="preserve">Nature</x:t>
        </x:is>
      </x:c>
      <x:c r="E6" s="164" t="inlineStr">
        <x:is>
          <x:t xml:space="preserve">Source</x:t>
        </x:is>
      </x:c>
      <x:c r="F6" s="164" t="inlineStr">
        <x:is>
          <x:t xml:space="preserve">Lecture</x:t>
        </x:is>
      </x:c>
      <x:c r="G6" s="164" t="inlineStr">
        <x:is>
          <x:t xml:space="preserve">Statut</x:t>
        </x:is>
      </x:c>
      <x:c r="H6" s="161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inlineStr">
        <x:is>
          <x:t xml:space="preserve">Prix moyen pondéré</x:t>
        </x:is>
      </x:c>
      <x:c r="B7" s="462" t="n">
        <x:f>SUMPRODUCT('Offre v1.1'!$C$5:$C$9,'Offre v1.1'!$S$5:$S$9)</x:f>
        <x:v>49800</x:v>
      </x:c>
      <x:c r="C7" s="463" t="n">
        <x:f>B7/B7</x:f>
        <x:v>1</x:v>
      </x:c>
      <x:c r="D7" s="161" t="inlineStr">
        <x:is>
          <x:t xml:space="preserve">Revenu</x:t>
        </x:is>
      </x:c>
      <x:c r="E7" s="161" t="inlineStr">
        <x:is>
          <x:t xml:space="preserve">Offre</x:t>
        </x:is>
      </x:c>
      <x:c r="F7" s="161" t="inlineStr">
        <x:is>
          <x:t xml:space="preserve">Prix moyen par achat</x:t>
        </x:is>
      </x:c>
      <x:c r="G7" s="161" t="inlineStr">
        <x:is>
          <x:t xml:space="preserve">Calculé</x:t>
        </x:is>
      </x:c>
      <x:c r="H7" s="161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61" t="inlineStr">
        <x:is>
          <x:t xml:space="preserve">Remboursements / chargebacks</x:t>
        </x:is>
      </x:c>
      <x:c r="B8" s="462" t="n">
        <x:f>-B7*'Hypothèses'!B14</x:f>
        <x:v>-747</x:v>
      </x:c>
      <x:c r="C8" s="463" t="n">
        <x:f>-B8/B7</x:f>
        <x:v>0.015</x:v>
      </x:c>
      <x:c r="D8" s="161" t="inlineStr">
        <x:is>
          <x:t xml:space="preserve">Coût</x:t>
        </x:is>
      </x:c>
      <x:c r="E8" s="161" t="inlineStr">
        <x:is>
          <x:t xml:space="preserve">Hypothèses</x:t>
        </x:is>
      </x:c>
      <x:c r="F8" s="161" t="str"/>
      <x:c r="G8" s="161" t="inlineStr">
        <x:is>
          <x:t xml:space="preserve">Calculé</x:t>
        </x:is>
      </x:c>
      <x:c r="H8" s="161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61" t="inlineStr">
        <x:is>
          <x:t xml:space="preserve">Frais PSP</x:t>
        </x:is>
      </x:c>
      <x:c r="B9" s="462" t="n">
        <x:f>-((B7+B8)*'Hypothèses'!B15)</x:f>
        <x:v>-1716.8550000000002</x:v>
      </x:c>
      <x:c r="C9" s="463" t="n">
        <x:f>-B9/B7</x:f>
        <x:v>0.034475000000000006</x:v>
      </x:c>
      <x:c r="D9" s="161" t="inlineStr">
        <x:is>
          <x:t xml:space="preserve">Coût</x:t>
        </x:is>
      </x:c>
      <x:c r="E9" s="161" t="inlineStr">
        <x:is>
          <x:t xml:space="preserve">Hypothèses</x:t>
        </x:is>
      </x:c>
      <x:c r="F9" s="161" t="str"/>
      <x:c r="G9" s="161" t="inlineStr">
        <x:is>
          <x:t xml:space="preserve">Calculé</x:t>
        </x:is>
      </x:c>
      <x:c r="H9" s="161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61" t="inlineStr">
        <x:is>
          <x:t xml:space="preserve">Provision fiscale</x:t>
        </x:is>
      </x:c>
      <x:c r="B10" s="462" t="n">
        <x:f>-B7*'Hypothèses'!B25</x:f>
        <x:v>0</x:v>
      </x:c>
      <x:c r="C10" s="463" t="n">
        <x:f>-B10/B7</x:f>
        <x:v>0</x:v>
      </x:c>
      <x:c r="D10" s="161" t="inlineStr">
        <x:is>
          <x:t xml:space="preserve">Provision</x:t>
        </x:is>
      </x:c>
      <x:c r="E10" s="161" t="inlineStr">
        <x:is>
          <x:t xml:space="preserve">Hypothèses</x:t>
        </x:is>
      </x:c>
      <x:c r="F10" s="161" t="inlineStr">
        <x:is>
          <x:t xml:space="preserve">À confirmer</x:t>
        </x:is>
      </x:c>
      <x:c r="G10" s="161" t="inlineStr">
        <x:is>
          <x:t xml:space="preserve">OPEN</x:t>
        </x:is>
      </x:c>
      <x:c r="H10" s="161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inlineStr">
        <x:is>
          <x:t xml:space="preserve">CAC</x:t>
        </x:is>
      </x:c>
      <x:c r="B11" s="462" t="n">
        <x:f>-'Hypothèses'!B16</x:f>
        <x:v>-4500</x:v>
      </x:c>
      <x:c r="C11" s="463" t="n">
        <x:f>-B11/B7</x:f>
        <x:v>0.09036144578313253</x:v>
      </x:c>
      <x:c r="D11" s="161" t="inlineStr">
        <x:is>
          <x:t xml:space="preserve">Coût</x:t>
        </x:is>
      </x:c>
      <x:c r="E11" s="161" t="inlineStr">
        <x:is>
          <x:t xml:space="preserve">Hypothèses</x:t>
        </x:is>
      </x:c>
      <x:c r="F11" s="161" t="str"/>
      <x:c r="G11" s="161" t="inlineStr">
        <x:is>
          <x:t xml:space="preserve">Calculé</x:t>
        </x:is>
      </x:c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61" t="inlineStr">
        <x:is>
          <x:t xml:space="preserve">Support variable</x:t>
        </x:is>
      </x:c>
      <x:c r="B12" s="462" t="n">
        <x:f>-'Hypothèses'!B17</x:f>
        <x:v>-700</x:v>
      </x:c>
      <x:c r="C12" s="463" t="n">
        <x:f>-B12/B7</x:f>
        <x:v>0.014056224899598393</x:v>
      </x:c>
      <x:c r="D12" s="161" t="inlineStr">
        <x:is>
          <x:t xml:space="preserve">Coût</x:t>
        </x:is>
      </x:c>
      <x:c r="E12" s="161" t="inlineStr">
        <x:is>
          <x:t xml:space="preserve">Hypothèses</x:t>
        </x:is>
      </x:c>
      <x:c r="F12" s="161" t="str"/>
      <x:c r="G12" s="161" t="inlineStr">
        <x:is>
          <x:t xml:space="preserve">Calculé</x:t>
        </x:is>
      </x:c>
      <x:c r="H12" s="161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inlineStr">
        <x:is>
          <x:t xml:space="preserve">KYC / contrôle attendu</x:t>
        </x:is>
      </x:c>
      <x:c r="B13" s="462" t="n">
        <x:f>-'Hypothèses'!B7*'Hypothèses'!B18</x:f>
        <x:v>-160</x:v>
      </x:c>
      <x:c r="C13" s="463" t="n">
        <x:f>-B13/B7</x:f>
        <x:v>0.00321285140562249</x:v>
      </x:c>
      <x:c r="D13" s="161" t="inlineStr">
        <x:is>
          <x:t xml:space="preserve">Coût</x:t>
        </x:is>
      </x:c>
      <x:c r="E13" s="161" t="inlineStr">
        <x:is>
          <x:t xml:space="preserve">Hypothèses</x:t>
        </x:is>
      </x:c>
      <x:c r="F13" s="161" t="inlineStr">
        <x:is>
          <x:t xml:space="preserve">Pass rate × coût KYC</x:t>
        </x:is>
      </x:c>
      <x:c r="G13" s="161" t="inlineStr">
        <x:is>
          <x:t xml:space="preserve">Calculé</x:t>
        </x:is>
      </x:c>
      <x:c r="H13" s="161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1" t="inlineStr">
        <x:is>
          <x:t xml:space="preserve">Fraude / paiement</x:t>
        </x:is>
      </x:c>
      <x:c r="B14" s="462" t="n">
        <x:f>-B7*'Hypothèses'!B20</x:f>
        <x:v>-249</x:v>
      </x:c>
      <x:c r="C14" s="463" t="n">
        <x:f>-B14/B7</x:f>
        <x:v>0.005</x:v>
      </x:c>
      <x:c r="D14" s="161" t="inlineStr">
        <x:is>
          <x:t xml:space="preserve">Coût</x:t>
        </x:is>
      </x:c>
      <x:c r="E14" s="161" t="inlineStr">
        <x:is>
          <x:t xml:space="preserve">Hypothèses</x:t>
        </x:is>
      </x:c>
      <x:c r="F14" s="161" t="str"/>
      <x:c r="G14" s="161" t="inlineStr">
        <x:is>
          <x:t xml:space="preserve">Calculé</x:t>
        </x:is>
      </x:c>
      <x:c r="H14" s="16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1" t="inlineStr">
        <x:is>
          <x:t xml:space="preserve">Affiliation</x:t>
        </x:is>
      </x:c>
      <x:c r="B15" s="462" t="n">
        <x:f>-B7*'Hypothèses'!B21</x:f>
        <x:v>0</x:v>
      </x:c>
      <x:c r="C15" s="463" t="n">
        <x:f>-B15/B7</x:f>
        <x:v>0</x:v>
      </x:c>
      <x:c r="D15" s="161" t="inlineStr">
        <x:is>
          <x:t xml:space="preserve">Coût</x:t>
        </x:is>
      </x:c>
      <x:c r="E15" s="161" t="inlineStr">
        <x:is>
          <x:t xml:space="preserve">Hypothèses</x:t>
        </x:is>
      </x:c>
      <x:c r="F15" s="161" t="inlineStr">
        <x:is>
          <x:t xml:space="preserve">0 % en V1</x:t>
        </x:is>
      </x:c>
      <x:c r="G15" s="161" t="inlineStr">
        <x:is>
          <x:t xml:space="preserve">Calculé</x:t>
        </x:is>
      </x:c>
      <x:c r="H15" s="161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1" t="n"/>
      <x:c r="B16" s="161" t="n"/>
      <x:c r="C16" s="161" t="n"/>
      <x:c r="D16" s="161" t="n"/>
      <x:c r="E16" s="161" t="n"/>
      <x:c r="F16" s="161" t="n"/>
      <x:c r="G16" s="161" t="n"/>
      <x:c r="H16" s="16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289" t="inlineStr">
        <x:is>
          <x:t xml:space="preserve">Encaissement / contribution avant payouts</x:t>
        </x:is>
      </x:c>
      <x:c r="B17" s="464" t="n">
        <x:f>SUM(B7:B15)</x:f>
        <x:v>41727.145</x:v>
      </x:c>
      <x:c r="C17" s="465" t="n">
        <x:f>B17/B7</x:f>
        <x:v>0.8378944779116465</x:v>
      </x:c>
      <x:c r="D17" s="289" t="str"/>
      <x:c r="E17" s="289" t="str"/>
      <x:c r="F17" s="289" t="str"/>
      <x:c r="G17" s="289" t="str"/>
      <x:c r="H17" s="161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61" t="n"/>
      <x:c r="B18" s="161" t="n"/>
      <x:c r="C18" s="161" t="n"/>
      <x:c r="D18" s="161" t="n"/>
      <x:c r="E18" s="161" t="n"/>
      <x:c r="F18" s="161" t="n"/>
      <x:c r="G18" s="161" t="n"/>
      <x:c r="H18" s="16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61" t="n"/>
      <x:c r="B19" s="161" t="n"/>
      <x:c r="C19" s="161" t="n"/>
      <x:c r="D19" s="161" t="n"/>
      <x:c r="E19" s="161" t="n"/>
      <x:c r="F19" s="161" t="n"/>
      <x:c r="G19" s="161" t="n"/>
      <x:c r="H19" s="161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68" t="inlineStr">
        <x:is>
          <x:t xml:space="preserve">B. Probabilités et coût attendu des payouts</x:t>
        </x:is>
      </x:c>
      <x:c r="B20" s="1" t="n"/>
      <x:c r="C20" s="1" t="n"/>
      <x:c r="D20" s="1" t="n"/>
      <x:c r="E20" s="1" t="n"/>
      <x:c r="F20" s="1" t="n"/>
      <x:c r="G20" s="1" t="n"/>
      <x:c r="H20" s="161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64" t="inlineStr">
        <x:is>
          <x:t xml:space="preserve">Cycle</x:t>
        </x:is>
      </x:c>
      <x:c r="B21" s="164" t="inlineStr">
        <x:is>
          <x:t xml:space="preserve">Probabilité par achat</x:t>
        </x:is>
      </x:c>
      <x:c r="C21" s="164" t="inlineStr">
        <x:is>
          <x:t xml:space="preserve">Cap moyen (FCFA)</x:t>
        </x:is>
      </x:c>
      <x:c r="D21" s="164" t="inlineStr">
        <x:is>
          <x:t xml:space="preserve">Utilisation</x:t>
        </x:is>
      </x:c>
      <x:c r="E21" s="164" t="inlineStr">
        <x:is>
          <x:t xml:space="preserve">Split trader</x:t>
        </x:is>
      </x:c>
      <x:c r="F21" s="164" t="inlineStr">
        <x:is>
          <x:t xml:space="preserve">Cash payout / achat</x:t>
        </x:is>
      </x:c>
      <x:c r="G21" s="164" t="inlineStr">
        <x:is>
          <x:t xml:space="preserve">Lag</x:t>
        </x:is>
      </x:c>
      <x:c r="H21" s="161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inlineStr">
        <x:is>
          <x:t xml:space="preserve">Payout #1</x:t>
        </x:is>
      </x:c>
      <x:c r="B22" s="463" t="n">
        <x:f>'Hypothèses'!B7*'Hypothèses'!B8</x:f>
        <x:v>0.027999999999999997</x:v>
      </x:c>
      <x:c r="C22" s="462" t="n">
        <x:f>SUMPRODUCT('Offre v1.1'!$L$5:$L$9,'Offre v1.1'!$S$5:$S$9)*'Hypothèses'!B35</x:f>
        <x:v>352187.5</x:v>
      </x:c>
      <x:c r="D22" s="463" t="n">
        <x:f>'Hypothèses'!B13</x:f>
        <x:v>0.7</x:v>
      </x:c>
      <x:c r="E22" s="466" t="n">
        <x:v>0.85</x:v>
      </x:c>
      <x:c r="F22" s="467" t="n">
        <x:f>B22*C22*D22*E22*(1+'Hypothèses'!B19)</x:f>
        <x:v>5984.792624999998</x:v>
      </x:c>
      <x:c r="G22" s="468" t="n">
        <x:v>2</x:v>
      </x:c>
      <x:c r="H22" s="161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inlineStr">
        <x:is>
          <x:t xml:space="preserve">Payout #2</x:t>
        </x:is>
      </x:c>
      <x:c r="B23" s="463" t="n">
        <x:f>B22*'Hypothèses'!B9</x:f>
        <x:v>0.0154</x:v>
      </x:c>
      <x:c r="C23" s="462" t="n">
        <x:f>SUMPRODUCT('Offre v1.1'!$M$5:$M$9,'Offre v1.1'!$S$5:$S$9)*'Hypothèses'!B35</x:f>
        <x:v>510312.5</x:v>
      </x:c>
      <x:c r="D23" s="463" t="n">
        <x:f>'Hypothèses'!B13</x:f>
        <x:v>0.7</x:v>
      </x:c>
      <x:c r="E23" s="466" t="n">
        <x:v>0.85</x:v>
      </x:c>
      <x:c r="F23" s="467" t="n">
        <x:f>B23*C23*D23*E23*(1+'Hypothèses'!B19)</x:f>
        <x:v>4769.513306249999</x:v>
      </x:c>
      <x:c r="G23" s="468" t="n">
        <x:v>3</x:v>
      </x:c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inlineStr">
        <x:is>
          <x:t xml:space="preserve">Payout #3</x:t>
        </x:is>
      </x:c>
      <x:c r="B24" s="463" t="n">
        <x:f>B23*'Hypothèses'!B10</x:f>
        <x:v>0.0077</x:v>
      </x:c>
      <x:c r="C24" s="462" t="n">
        <x:f>SUMPRODUCT('Offre v1.1'!$N$5:$N$9,'Offre v1.1'!$S$5:$S$9)*'Hypothèses'!B35</x:f>
        <x:v>675625</x:v>
      </x:c>
      <x:c r="D24" s="463" t="n">
        <x:f>'Hypothèses'!B13</x:f>
        <x:v>0.7</x:v>
      </x:c>
      <x:c r="E24" s="466" t="n">
        <x:v>0.85</x:v>
      </x:c>
      <x:c r="F24" s="467" t="n">
        <x:f>B24*C24*D24*E24*(1+'Hypothèses'!B19)</x:f>
        <x:v>3157.2834562499997</x:v>
      </x:c>
      <x:c r="G24" s="468" t="n">
        <x:v>4</x:v>
      </x:c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inlineStr">
        <x:is>
          <x:t xml:space="preserve">Payout #4</x:t>
        </x:is>
      </x:c>
      <x:c r="B25" s="463" t="n">
        <x:f>B24*'Hypothèses'!B11</x:f>
        <x:v>0.003465</x:v>
      </x:c>
      <x:c r="C25" s="462" t="n">
        <x:f>SUMPRODUCT('Offre v1.1'!$O$5:$O$9,'Offre v1.1'!$S$5:$S$9)*'Hypothèses'!B35</x:f>
        <x:v>941562.5</x:v>
      </x:c>
      <x:c r="D25" s="463" t="n">
        <x:f>'Hypothèses'!B13</x:f>
        <x:v>0.7</x:v>
      </x:c>
      <x:c r="E25" s="466" t="n">
        <x:v>0.85</x:v>
      </x:c>
      <x:c r="F25" s="467" t="n">
        <x:f>B25*C25*D25*E25*(1+'Hypothèses'!B19)</x:f>
        <x:v>1980.01978453125</x:v>
      </x:c>
      <x:c r="G25" s="468" t="n">
        <x:v>5</x:v>
      </x:c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inlineStr">
        <x:is>
          <x:t xml:space="preserve">Payout #5</x:t>
        </x:is>
      </x:c>
      <x:c r="B26" s="463" t="n">
        <x:f>B25*'Hypothèses'!B12</x:f>
        <x:v>0.001386</x:v>
      </x:c>
      <x:c r="C26" s="462" t="n">
        <x:f>SUMPRODUCT('Offre v1.1'!$P$5:$P$9,'Offre v1.1'!$S$5:$S$9)*'Hypothèses'!B35</x:f>
        <x:v>1207500</x:v>
      </x:c>
      <x:c r="D26" s="463" t="n">
        <x:f>'Hypothèses'!B13</x:f>
        <x:v>0.7</x:v>
      </x:c>
      <x:c r="E26" s="466" t="n">
        <x:v>0.9</x:v>
      </x:c>
      <x:c r="F26" s="467" t="n">
        <x:f>B26*C26*D26*E26*(1+'Hypothèses'!B19)</x:f>
        <x:v>1075.452147</x:v>
      </x:c>
      <x:c r="G26" s="468" t="n">
        <x:v>6</x:v>
      </x:c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289" t="inlineStr">
        <x:is>
          <x:t xml:space="preserve">Coût payout attendu par achat</x:t>
        </x:is>
      </x:c>
      <x:c r="B28" s="464" t="n">
        <x:f>SUM(F22:F26)</x:f>
        <x:v>16967.061319031247</x:v>
      </x:c>
      <x:c r="C28" s="465" t="n">
        <x:f>B28/B7</x:f>
        <x:v>0.34070404255082826</x:v>
      </x:c>
      <x:c r="D28" s="289" t="str"/>
      <x:c r="E28" s="289" t="str"/>
      <x:c r="F28" s="289" t="str"/>
      <x:c r="G28" s="289" t="str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8" t="inlineStr">
        <x:is>
          <x:t xml:space="preserve">C. Contribution et capacité</x:t>
        </x:is>
      </x:c>
      <x:c r="B31" s="1" t="n"/>
      <x:c r="C31" s="1" t="n"/>
      <x:c r="D31" s="1" t="n"/>
      <x:c r="E31" s="1" t="n"/>
      <x:c r="F31" s="1" t="n"/>
      <x:c r="G31" s="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294" t="inlineStr">
        <x:is>
          <x:t xml:space="preserve">Contribution après payouts</x:t>
        </x:is>
      </x:c>
      <x:c r="B32" s="469" t="n">
        <x:f>B17-B28</x:f>
        <x:v>24760.08368096875</x:v>
      </x:c>
      <x:c r="C32" s="294" t="inlineStr">
        <x:is>
          <x:t xml:space="preserve">FCFA / achat</x:t>
        </x:is>
      </x:c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294" t="inlineStr">
        <x:is>
          <x:t xml:space="preserve">Marge de contribution</x:t>
        </x:is>
      </x:c>
      <x:c r="B33" s="470" t="n">
        <x:f>B32/B7</x:f>
        <x:v>0.49719043536081825</x:v>
      </x:c>
      <x:c r="C33" s="294" t="inlineStr">
        <x:is>
          <x:t xml:space="preserve">%</x:t>
        </x:is>
      </x:c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294" t="inlineStr">
        <x:is>
          <x:t xml:space="preserve">Seuil de rentabilité mensuel</x:t>
        </x:is>
      </x:c>
      <x:c r="B34" s="471" t="n">
        <x:f>IF(B32&gt;0,'Hypothèses'!B24/B32,0)</x:f>
        <x:v>36.34882707168569</x:v>
      </x:c>
      <x:c r="C34" s="294" t="inlineStr">
        <x:is>
          <x:t xml:space="preserve">achats / mois</x:t>
        </x:is>
      </x:c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294" t="inlineStr">
        <x:is>
          <x:t xml:space="preserve">Réserve recommandée / 1 000 achats</x:t>
        </x:is>
      </x:c>
      <x:c r="B35" s="469" t="n">
        <x:f>B28*1000*'Hypothèses'!B38</x:f>
        <x:v>33934122.63806249</x:v>
      </x:c>
      <x:c r="C35" s="294" t="inlineStr">
        <x:is>
          <x:t xml:space="preserve">FCFA</x:t>
        </x:is>
      </x:c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294" t="inlineStr">
        <x:is>
          <x:t xml:space="preserve">Contribution / 1 000 achats avant OPEX</x:t>
        </x:is>
      </x:c>
      <x:c r="B36" s="469" t="n">
        <x:f>B32*1000</x:f>
        <x:v>24760083.68096875</x:v>
      </x:c>
      <x:c r="C36" s="294" t="inlineStr">
        <x:is>
          <x:t xml:space="preserve">FCFA</x:t>
        </x:is>
      </x:c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294" t="inlineStr">
        <x:is>
          <x:t xml:space="preserve">Max safe sales — réserve initiale</x:t>
        </x:is>
      </x:c>
      <x:c r="B37" s="471" t="n">
        <x:f>IF(B28&gt;0,'Hypothèses'!B37/(B28*'Hypothèses'!B38),0)</x:f>
        <x:v>58.93772534895843</x:v>
      </x:c>
      <x:c r="C37" s="294" t="inlineStr">
        <x:is>
          <x:t xml:space="preserve">achats</x:t>
        </x:is>
      </x:c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20:G20"/>
    <x:mergeCell ref="A31:G31"/>
    <x:mergeCell ref="A1:G1"/>
    <x:mergeCell ref="A5:G5"/>
  </x:mergeCells>
  <x:conditionalFormatting sqref="B32:B33">
    <x:cfRule type="colorScale" priority="1">
      <x:colorScale>
        <x:cfvo type="min"/>
        <x:cfvo type="percentile" val="50"/>
        <x:cfvo type="max"/>
        <x:color rgb="FFFBE7E7"/>
        <x:color rgb="FFFFF1D5"/>
        <x:color rgb="FFE3F3EC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32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</x:cols>
  <x:sheetData>
    <x:row r="1" ht="15" customHeight="1">
      <x:c r="A1" s="401" t="inlineStr">
        <x:is>
          <x:t xml:space="preserve">WARIBA — Économie d’une cohorte de 1 000 achats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La cohorte transforme les probabilités en nombres de comptes, recettes, coûts et besoins de réserve.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8" t="inlineStr">
        <x:is>
          <x:t xml:space="preserve">A. Funnel Evaluation → Payout #5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4" t="inlineStr">
        <x:is>
          <x:t xml:space="preserve">Étape</x:t>
        </x:is>
      </x:c>
      <x:c r="B5" s="164" t="inlineStr">
        <x:is>
          <x:t xml:space="preserve">Probabilité / achat</x:t>
        </x:is>
      </x:c>
      <x:c r="C5" s="164" t="inlineStr">
        <x:is>
          <x:t xml:space="preserve">Comptes attendus</x:t>
        </x:is>
      </x:c>
      <x:c r="D5" s="164" t="inlineStr">
        <x:is>
          <x:t xml:space="preserve">Cap moyen</x:t>
        </x:is>
      </x:c>
      <x:c r="E5" s="164" t="inlineStr">
        <x:is>
          <x:t xml:space="preserve">Utilisation</x:t>
        </x:is>
      </x:c>
      <x:c r="F5" s="164" t="inlineStr">
        <x:is>
          <x:t xml:space="preserve">Payout Base</x:t>
        </x:is>
      </x:c>
      <x:c r="G5" s="164" t="inlineStr">
        <x:is>
          <x:t xml:space="preserve">Split trader</x:t>
        </x:is>
      </x:c>
      <x:c r="H5" s="164" t="inlineStr">
        <x:is>
          <x:t xml:space="preserve">Trader Cash</x:t>
        </x:is>
      </x:c>
      <x:c r="I5" s="164" t="inlineStr">
        <x:is>
          <x:t xml:space="preserve">Frais payout</x:t>
        </x:is>
      </x:c>
      <x:c r="J5" s="164" t="inlineStr">
        <x:is>
          <x:t xml:space="preserve">Cash total</x:t>
        </x:is>
      </x:c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61" t="inlineStr">
        <x:is>
          <x:t xml:space="preserve">Payout #1</x:t>
        </x:is>
      </x:c>
      <x:c r="B6" s="463" t="n">
        <x:f>'Économie Unitaire'!B22</x:f>
        <x:v>0.027999999999999997</x:v>
      </x:c>
      <x:c r="C6" s="472" t="n">
        <x:f>B6*1000</x:f>
        <x:v>27.999999999999996</x:v>
      </x:c>
      <x:c r="D6" s="462" t="n">
        <x:f>'Économie Unitaire'!C22</x:f>
        <x:v>352187.5</x:v>
      </x:c>
      <x:c r="E6" s="463" t="n">
        <x:f>'Hypothèses'!B13</x:f>
        <x:v>0.7</x:v>
      </x:c>
      <x:c r="F6" s="462" t="n">
        <x:f>C6*D6*E6</x:f>
        <x:v>6902874.999999998</x:v>
      </x:c>
      <x:c r="G6" s="463" t="n">
        <x:f>'Économie Unitaire'!E22</x:f>
        <x:v>0.85</x:v>
      </x:c>
      <x:c r="H6" s="462" t="n">
        <x:f>F6*G6</x:f>
        <x:v>5867443.749999998</x:v>
      </x:c>
      <x:c r="I6" s="462" t="n">
        <x:f>H6*'Hypothèses'!B19</x:f>
        <x:v>117348.87499999997</x:v>
      </x:c>
      <x:c r="J6" s="462" t="n">
        <x:f>H6+I6</x:f>
        <x:v>5984792.624999998</x:v>
      </x:c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inlineStr">
        <x:is>
          <x:t xml:space="preserve">Payout #2</x:t>
        </x:is>
      </x:c>
      <x:c r="B7" s="463" t="n">
        <x:f>'Économie Unitaire'!B23</x:f>
        <x:v>0.0154</x:v>
      </x:c>
      <x:c r="C7" s="472" t="n">
        <x:f>B7*1000</x:f>
        <x:v>15.4</x:v>
      </x:c>
      <x:c r="D7" s="462" t="n">
        <x:f>'Économie Unitaire'!C23</x:f>
        <x:v>510312.5</x:v>
      </x:c>
      <x:c r="E7" s="463" t="n">
        <x:f>'Hypothèses'!B13</x:f>
        <x:v>0.7</x:v>
      </x:c>
      <x:c r="F7" s="462" t="n">
        <x:f>C7*D7*E7</x:f>
        <x:v>5501168.75</x:v>
      </x:c>
      <x:c r="G7" s="463" t="n">
        <x:f>'Économie Unitaire'!E23</x:f>
        <x:v>0.85</x:v>
      </x:c>
      <x:c r="H7" s="462" t="n">
        <x:f>F7*G7</x:f>
        <x:v>4675993.4375</x:v>
      </x:c>
      <x:c r="I7" s="462" t="n">
        <x:f>H7*'Hypothèses'!B19</x:f>
        <x:v>93519.86875000001</x:v>
      </x:c>
      <x:c r="J7" s="462" t="n">
        <x:f>H7+I7</x:f>
        <x:v>4769513.30625</x:v>
      </x:c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61" t="inlineStr">
        <x:is>
          <x:t xml:space="preserve">Payout #3</x:t>
        </x:is>
      </x:c>
      <x:c r="B8" s="463" t="n">
        <x:f>'Économie Unitaire'!B24</x:f>
        <x:v>0.0077</x:v>
      </x:c>
      <x:c r="C8" s="472" t="n">
        <x:f>B8*1000</x:f>
        <x:v>7.7</x:v>
      </x:c>
      <x:c r="D8" s="462" t="n">
        <x:f>'Économie Unitaire'!C24</x:f>
        <x:v>675625</x:v>
      </x:c>
      <x:c r="E8" s="463" t="n">
        <x:f>'Hypothèses'!B13</x:f>
        <x:v>0.7</x:v>
      </x:c>
      <x:c r="F8" s="462" t="n">
        <x:f>C8*D8*E8</x:f>
        <x:v>3641618.75</x:v>
      </x:c>
      <x:c r="G8" s="463" t="n">
        <x:f>'Économie Unitaire'!E24</x:f>
        <x:v>0.85</x:v>
      </x:c>
      <x:c r="H8" s="462" t="n">
        <x:f>F8*G8</x:f>
        <x:v>3095375.9375</x:v>
      </x:c>
      <x:c r="I8" s="462" t="n">
        <x:f>H8*'Hypothèses'!B19</x:f>
        <x:v>61907.51875</x:v>
      </x:c>
      <x:c r="J8" s="462" t="n">
        <x:f>H8+I8</x:f>
        <x:v>3157283.45625</x:v>
      </x:c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61" t="inlineStr">
        <x:is>
          <x:t xml:space="preserve">Payout #4</x:t>
        </x:is>
      </x:c>
      <x:c r="B9" s="463" t="n">
        <x:f>'Économie Unitaire'!B25</x:f>
        <x:v>0.003465</x:v>
      </x:c>
      <x:c r="C9" s="472" t="n">
        <x:f>B9*1000</x:f>
        <x:v>3.4650000000000003</x:v>
      </x:c>
      <x:c r="D9" s="462" t="n">
        <x:f>'Économie Unitaire'!C25</x:f>
        <x:v>941562.5</x:v>
      </x:c>
      <x:c r="E9" s="463" t="n">
        <x:f>'Hypothèses'!B13</x:f>
        <x:v>0.7</x:v>
      </x:c>
      <x:c r="F9" s="462" t="n">
        <x:f>C9*D9*E9</x:f>
        <x:v>2283759.84375</x:v>
      </x:c>
      <x:c r="G9" s="463" t="n">
        <x:f>'Économie Unitaire'!E25</x:f>
        <x:v>0.85</x:v>
      </x:c>
      <x:c r="H9" s="462" t="n">
        <x:f>F9*G9</x:f>
        <x:v>1941195.8671875</x:v>
      </x:c>
      <x:c r="I9" s="462" t="n">
        <x:f>H9*'Hypothèses'!B19</x:f>
        <x:v>38823.91734375</x:v>
      </x:c>
      <x:c r="J9" s="462" t="n">
        <x:f>H9+I9</x:f>
        <x:v>1980019.78453125</x:v>
      </x:c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61" t="inlineStr">
        <x:is>
          <x:t xml:space="preserve">Payout #5</x:t>
        </x:is>
      </x:c>
      <x:c r="B10" s="463" t="n">
        <x:f>'Économie Unitaire'!B26</x:f>
        <x:v>0.001386</x:v>
      </x:c>
      <x:c r="C10" s="472" t="n">
        <x:f>B10*1000</x:f>
        <x:v>1.3860000000000001</x:v>
      </x:c>
      <x:c r="D10" s="462" t="n">
        <x:f>'Économie Unitaire'!C26</x:f>
        <x:v>1207500</x:v>
      </x:c>
      <x:c r="E10" s="463" t="n">
        <x:f>'Hypothèses'!B13</x:f>
        <x:v>0.7</x:v>
      </x:c>
      <x:c r="F10" s="462" t="n">
        <x:f>C10*D10*E10</x:f>
        <x:v>1171516.5</x:v>
      </x:c>
      <x:c r="G10" s="463" t="n">
        <x:f>'Économie Unitaire'!E26</x:f>
        <x:v>0.9</x:v>
      </x:c>
      <x:c r="H10" s="462" t="n">
        <x:f>F10*G10</x:f>
        <x:v>1054364.85</x:v>
      </x:c>
      <x:c r="I10" s="462" t="n">
        <x:f>H10*'Hypothèses'!B19</x:f>
        <x:v>21087.297000000002</x:v>
      </x:c>
      <x:c r="J10" s="462" t="n">
        <x:f>H10+I10</x:f>
        <x:v>1075452.147</x:v>
      </x:c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n"/>
      <x:c r="B11" s="161" t="n"/>
      <x:c r="C11" s="161" t="n"/>
      <x:c r="D11" s="161" t="n"/>
      <x:c r="E11" s="161" t="n"/>
      <x:c r="F11" s="161" t="n"/>
      <x:c r="G11" s="161" t="n"/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289" t="inlineStr">
        <x:is>
          <x:t xml:space="preserve">Total cash payouts</x:t>
        </x:is>
      </x:c>
      <x:c r="B12" s="289" t="str"/>
      <x:c r="C12" s="289" t="str"/>
      <x:c r="D12" s="289" t="str"/>
      <x:c r="E12" s="289" t="str"/>
      <x:c r="F12" s="289" t="str"/>
      <x:c r="G12" s="289" t="str"/>
      <x:c r="H12" s="289" t="str"/>
      <x:c r="I12" s="289" t="str"/>
      <x:c r="J12" s="464" t="n">
        <x:f>SUM(J6:J10)</x:f>
        <x:v>16967061.31903125</x:v>
      </x:c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n"/>
      <x:c r="B13" s="161" t="n"/>
      <x:c r="C13" s="161" t="n"/>
      <x:c r="D13" s="161" t="n"/>
      <x:c r="E13" s="161" t="n"/>
      <x:c r="F13" s="161" t="n"/>
      <x:c r="G13" s="161" t="n"/>
      <x:c r="H13" s="161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1" t="n"/>
      <x:c r="B14" s="161" t="n"/>
      <x:c r="C14" s="161" t="n"/>
      <x:c r="D14" s="161" t="n"/>
      <x:c r="E14" s="161" t="n"/>
      <x:c r="F14" s="161" t="n"/>
      <x:c r="G14" s="161" t="n"/>
      <x:c r="H14" s="16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8" t="inlineStr">
        <x:is>
          <x:t xml:space="preserve">B. P&amp;L de la cohorte</x:t>
        </x:is>
      </x:c>
      <x:c r="B15" s="1" t="n"/>
      <x:c r="C15" s="1" t="n"/>
      <x:c r="D15" s="1" t="n"/>
      <x:c r="E15" s="1" t="n"/>
      <x:c r="F15" s="1" t="n"/>
      <x:c r="G15" s="1" t="n"/>
      <x:c r="H15" s="1" t="n"/>
      <x:c r="I15" s="1" t="n"/>
      <x:c r="J15" s="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4" t="inlineStr">
        <x:is>
          <x:t xml:space="preserve">Métrique</x:t>
        </x:is>
      </x:c>
      <x:c r="B16" s="164" t="inlineStr">
        <x:is>
          <x:t xml:space="preserve">Montant (FCFA)</x:t>
        </x:is>
      </x:c>
      <x:c r="C16" s="164" t="inlineStr">
        <x:is>
          <x:t xml:space="preserve">Par achat</x:t>
        </x:is>
      </x:c>
      <x:c r="D16" s="164" t="inlineStr">
        <x:is>
          <x:t xml:space="preserve">Commentaire</x:t>
        </x:is>
      </x:c>
      <x:c r="E16" s="161" t="n"/>
      <x:c r="F16" s="161" t="n"/>
      <x:c r="G16" s="161" t="n"/>
      <x:c r="H16" s="16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61" t="inlineStr">
        <x:is>
          <x:t xml:space="preserve">Chiffre d’affaires</x:t>
        </x:is>
      </x:c>
      <x:c r="B17" s="462" t="n">
        <x:f>'Économie Unitaire'!B7*1000</x:f>
        <x:v>49800000</x:v>
      </x:c>
      <x:c r="C17" s="462" t="n">
        <x:f>B17/1000</x:f>
        <x:v>49800</x:v>
      </x:c>
      <x:c r="D17" s="161" t="str"/>
      <x:c r="E17" s="161" t="n"/>
      <x:c r="F17" s="161" t="n"/>
      <x:c r="G17" s="161" t="n"/>
      <x:c r="H17" s="161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61" t="inlineStr">
        <x:is>
          <x:t xml:space="preserve">Remboursements / chargebacks</x:t>
        </x:is>
      </x:c>
      <x:c r="B18" s="462" t="n">
        <x:f>'Économie Unitaire'!B8*1000</x:f>
        <x:v>-747000</x:v>
      </x:c>
      <x:c r="C18" s="462" t="n">
        <x:f>B18/1000</x:f>
        <x:v>-747</x:v>
      </x:c>
      <x:c r="D18" s="161" t="str"/>
      <x:c r="E18" s="161" t="n"/>
      <x:c r="F18" s="161" t="n"/>
      <x:c r="G18" s="161" t="n"/>
      <x:c r="H18" s="16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61" t="inlineStr">
        <x:is>
          <x:t xml:space="preserve">Frais PSP</x:t>
        </x:is>
      </x:c>
      <x:c r="B19" s="462" t="n">
        <x:f>'Économie Unitaire'!B9*1000</x:f>
        <x:v>-1716855.0000000002</x:v>
      </x:c>
      <x:c r="C19" s="462" t="n">
        <x:f>B19/1000</x:f>
        <x:v>-1716.8550000000002</x:v>
      </x:c>
      <x:c r="D19" s="161" t="str"/>
      <x:c r="E19" s="161" t="n"/>
      <x:c r="F19" s="161" t="n"/>
      <x:c r="G19" s="161" t="n"/>
      <x:c r="H19" s="161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61" t="inlineStr">
        <x:is>
          <x:t xml:space="preserve">Provision fiscale</x:t>
        </x:is>
      </x:c>
      <x:c r="B20" s="462" t="n">
        <x:f>'Économie Unitaire'!B10*1000</x:f>
        <x:v>0</x:v>
      </x:c>
      <x:c r="C20" s="462" t="n">
        <x:f>B20/1000</x:f>
        <x:v>0</x:v>
      </x:c>
      <x:c r="D20" s="161" t="str"/>
      <x:c r="E20" s="161" t="n"/>
      <x:c r="F20" s="161" t="n"/>
      <x:c r="G20" s="161" t="n"/>
      <x:c r="H20" s="161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61" t="inlineStr">
        <x:is>
          <x:t xml:space="preserve">CAC</x:t>
        </x:is>
      </x:c>
      <x:c r="B21" s="462" t="n">
        <x:f>'Économie Unitaire'!B11*1000</x:f>
        <x:v>-4500000</x:v>
      </x:c>
      <x:c r="C21" s="462" t="n">
        <x:f>B21/1000</x:f>
        <x:v>-4500</x:v>
      </x:c>
      <x:c r="D21" s="161" t="str"/>
      <x:c r="E21" s="161" t="n"/>
      <x:c r="F21" s="161" t="n"/>
      <x:c r="G21" s="161" t="n"/>
      <x:c r="H21" s="161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inlineStr">
        <x:is>
          <x:t xml:space="preserve">Support variable</x:t>
        </x:is>
      </x:c>
      <x:c r="B22" s="462" t="n">
        <x:f>'Économie Unitaire'!B12*1000</x:f>
        <x:v>-700000</x:v>
      </x:c>
      <x:c r="C22" s="462" t="n">
        <x:f>B22/1000</x:f>
        <x:v>-700</x:v>
      </x:c>
      <x:c r="D22" s="161" t="str"/>
      <x:c r="E22" s="161" t="n"/>
      <x:c r="F22" s="161" t="n"/>
      <x:c r="G22" s="161" t="n"/>
      <x:c r="H22" s="161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inlineStr">
        <x:is>
          <x:t xml:space="preserve">KYC / contrôle</x:t>
        </x:is>
      </x:c>
      <x:c r="B23" s="462" t="n">
        <x:f>'Économie Unitaire'!B13*1000</x:f>
        <x:v>-160000</x:v>
      </x:c>
      <x:c r="C23" s="462" t="n">
        <x:f>B23/1000</x:f>
        <x:v>-160</x:v>
      </x:c>
      <x:c r="D23" s="161" t="str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inlineStr">
        <x:is>
          <x:t xml:space="preserve">Fraude / paiement</x:t>
        </x:is>
      </x:c>
      <x:c r="B24" s="462" t="n">
        <x:f>'Économie Unitaire'!B14*1000</x:f>
        <x:v>-249000</x:v>
      </x:c>
      <x:c r="C24" s="462" t="n">
        <x:f>B24/1000</x:f>
        <x:v>-249</x:v>
      </x:c>
      <x:c r="D24" s="161" t="str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inlineStr">
        <x:is>
          <x:t xml:space="preserve">Affiliation</x:t>
        </x:is>
      </x:c>
      <x:c r="B25" s="462" t="n">
        <x:f>'Économie Unitaire'!B15*1000</x:f>
        <x:v>0</x:v>
      </x:c>
      <x:c r="C25" s="462" t="n">
        <x:f>B25/1000</x:f>
        <x:v>0</x:v>
      </x:c>
      <x:c r="D25" s="161" t="str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inlineStr">
        <x:is>
          <x:t xml:space="preserve">Cash payouts</x:t>
        </x:is>
      </x:c>
      <x:c r="B26" s="462" t="n">
        <x:f>-J12</x:f>
        <x:v>-16967061.31903125</x:v>
      </x:c>
      <x:c r="C26" s="462" t="n">
        <x:f>B26/1000</x:f>
        <x:v>-16967.06131903125</x:v>
      </x:c>
      <x:c r="D26" s="161" t="str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289" t="inlineStr">
        <x:is>
          <x:t xml:space="preserve">Contribution avant OPEX fixe</x:t>
        </x:is>
      </x:c>
      <x:c r="B28" s="464" t="n">
        <x:f>SUM(B17:B26)</x:f>
        <x:v>24760083.68096875</x:v>
      </x:c>
      <x:c r="C28" s="464" t="n">
        <x:f>B28/1000</x:f>
        <x:v>24760.08368096875</x:v>
      </x:c>
      <x:c r="D28" s="289" t="str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4" t="inlineStr">
        <x:is>
          <x:t xml:space="preserve">Indicateur</x:t>
        </x:is>
      </x:c>
      <x:c r="B30" s="164" t="inlineStr">
        <x:is>
          <x:t xml:space="preserve">Valeur</x:t>
        </x:is>
      </x:c>
      <x:c r="C30" s="164" t="inlineStr">
        <x:is>
          <x:t xml:space="preserve">Unité</x:t>
        </x:is>
      </x:c>
      <x:c r="D30" s="164" t="inlineStr">
        <x:is>
          <x:t xml:space="preserve">Lecture</x:t>
        </x:is>
      </x:c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inlineStr">
        <x:is>
          <x:t xml:space="preserve">Réserve à 2,0x</x:t>
        </x:is>
      </x:c>
      <x:c r="B31" s="467" t="n">
        <x:f>J12*'Hypothèses'!B38</x:f>
        <x:v>33934122.6380625</x:v>
      </x:c>
      <x:c r="C31" s="161" t="inlineStr">
        <x:is>
          <x:t xml:space="preserve">FCFA</x:t>
        </x:is>
      </x:c>
      <x:c r="D31" s="161" t="inlineStr">
        <x:is>
          <x:t xml:space="preserve">Cash payout attendu × couverture cible</x:t>
        </x:is>
      </x:c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inlineStr">
        <x:is>
          <x:t xml:space="preserve">Comptes passés</x:t>
        </x:is>
      </x:c>
      <x:c r="B32" s="473" t="n">
        <x:f>1000*'Hypothèses'!B7</x:f>
        <x:v>80</x:v>
      </x:c>
      <x:c r="C32" s="161" t="inlineStr">
        <x:is>
          <x:t xml:space="preserve">comptes</x:t>
        </x:is>
      </x:c>
      <x:c r="D32" s="161" t="inlineStr">
        <x:is>
          <x:t xml:space="preserve">1 000 × taux de réussite</x:t>
        </x:is>
      </x:c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inlineStr">
        <x:is>
          <x:t xml:space="preserve">Comptes atteignant payout #1</x:t>
        </x:is>
      </x:c>
      <x:c r="B33" s="473" t="n">
        <x:f>C6</x:f>
        <x:v>27.999999999999996</x:v>
      </x:c>
      <x:c r="C33" s="161" t="inlineStr">
        <x:is>
          <x:t xml:space="preserve">comptes</x:t>
        </x:is>
      </x:c>
      <x:c r="D33" s="161" t="inlineStr">
        <x:is>
          <x:t xml:space="preserve">Probabilité cumulée</x:t>
        </x:is>
      </x:c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1:J1"/>
    <x:mergeCell ref="A15:J15"/>
    <x:mergeCell ref="A4:J4"/>
    <x:mergeCell ref="A2:J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4" customWidth="1"/>
    <x:col min="2" max="2" width="12" customWidth="1"/>
    <x:col min="3" max="3" width="12" customWidth="1"/>
    <x:col min="4" max="4" width="12" customWidth="1"/>
    <x:col min="5" max="5" width="12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  <x:col min="13" max="13" width="12" customWidth="1"/>
    <x:col min="14" max="14" width="12" customWidth="1"/>
    <x:col min="15" max="15" width="12" customWidth="1"/>
    <x:col min="16" max="16" width="12" customWidth="1"/>
    <x:col min="17" max="17" width="12" customWidth="1"/>
    <x:col min="18" max="18" width="12" customWidth="1"/>
    <x:col min="19" max="19" width="12" customWidth="1"/>
    <x:col min="20" max="20" width="12" customWidth="1"/>
    <x:col min="21" max="21" width="12" customWidth="1"/>
    <x:col min="22" max="22" width="12" customWidth="1"/>
    <x:col min="23" max="23" width="12" customWidth="1"/>
    <x:col min="24" max="24" width="12" customWidth="1"/>
    <x:col min="25" max="25" width="12" customWidth="1"/>
  </x:cols>
  <x:sheetData>
    <x:row r="1" ht="15" customHeight="1">
      <x:c r="A1" s="401" t="inlineStr">
        <x:is>
          <x:t xml:space="preserve">WARIBA — Prévision de trésorerie sur 24 mois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Les repurchases sont calculés sur les achats échoués du mois précédent. Les payouts sont projetés par cohorte avec des lags de 2 à 6 mois.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  <x:c r="S2" s="1" t="n"/>
      <x:c r="T2" s="1" t="n"/>
      <x:c r="U2" s="1" t="n"/>
      <x:c r="V2" s="1" t="n"/>
      <x:c r="W2" s="1" t="n"/>
      <x:c r="X2" s="1" t="n"/>
      <x:c r="Y2" s="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4" t="inlineStr">
        <x:is>
          <x:t xml:space="preserve">Mois</x:t>
        </x:is>
      </x:c>
      <x:c r="B4" s="164" t="inlineStr">
        <x:is>
          <x:t xml:space="preserve">M1</x:t>
        </x:is>
      </x:c>
      <x:c r="C4" s="164" t="inlineStr">
        <x:is>
          <x:t xml:space="preserve">M2</x:t>
        </x:is>
      </x:c>
      <x:c r="D4" s="164" t="inlineStr">
        <x:is>
          <x:t xml:space="preserve">M3</x:t>
        </x:is>
      </x:c>
      <x:c r="E4" s="164" t="inlineStr">
        <x:is>
          <x:t xml:space="preserve">M4</x:t>
        </x:is>
      </x:c>
      <x:c r="F4" s="164" t="inlineStr">
        <x:is>
          <x:t xml:space="preserve">M5</x:t>
        </x:is>
      </x:c>
      <x:c r="G4" s="164" t="inlineStr">
        <x:is>
          <x:t xml:space="preserve">M6</x:t>
        </x:is>
      </x:c>
      <x:c r="H4" s="164" t="inlineStr">
        <x:is>
          <x:t xml:space="preserve">M7</x:t>
        </x:is>
      </x:c>
      <x:c r="I4" s="164" t="inlineStr">
        <x:is>
          <x:t xml:space="preserve">M8</x:t>
        </x:is>
      </x:c>
      <x:c r="J4" s="164" t="inlineStr">
        <x:is>
          <x:t xml:space="preserve">M9</x:t>
        </x:is>
      </x:c>
      <x:c r="K4" s="164" t="inlineStr">
        <x:is>
          <x:t xml:space="preserve">M10</x:t>
        </x:is>
      </x:c>
      <x:c r="L4" s="164" t="inlineStr">
        <x:is>
          <x:t xml:space="preserve">M11</x:t>
        </x:is>
      </x:c>
      <x:c r="M4" s="164" t="inlineStr">
        <x:is>
          <x:t xml:space="preserve">M12</x:t>
        </x:is>
      </x:c>
      <x:c r="N4" s="164" t="inlineStr">
        <x:is>
          <x:t xml:space="preserve">M13</x:t>
        </x:is>
      </x:c>
      <x:c r="O4" s="164" t="inlineStr">
        <x:is>
          <x:t xml:space="preserve">M14</x:t>
        </x:is>
      </x:c>
      <x:c r="P4" s="164" t="inlineStr">
        <x:is>
          <x:t xml:space="preserve">M15</x:t>
        </x:is>
      </x:c>
      <x:c r="Q4" s="164" t="inlineStr">
        <x:is>
          <x:t xml:space="preserve">M16</x:t>
        </x:is>
      </x:c>
      <x:c r="R4" s="164" t="inlineStr">
        <x:is>
          <x:t xml:space="preserve">M17</x:t>
        </x:is>
      </x:c>
      <x:c r="S4" s="164" t="inlineStr">
        <x:is>
          <x:t xml:space="preserve">M18</x:t>
        </x:is>
      </x:c>
      <x:c r="T4" s="164" t="inlineStr">
        <x:is>
          <x:t xml:space="preserve">M19</x:t>
        </x:is>
      </x:c>
      <x:c r="U4" s="164" t="inlineStr">
        <x:is>
          <x:t xml:space="preserve">M20</x:t>
        </x:is>
      </x:c>
      <x:c r="V4" s="164" t="inlineStr">
        <x:is>
          <x:t xml:space="preserve">M21</x:t>
        </x:is>
      </x:c>
      <x:c r="W4" s="164" t="inlineStr">
        <x:is>
          <x:t xml:space="preserve">M22</x:t>
        </x:is>
      </x:c>
      <x:c r="X4" s="164" t="inlineStr">
        <x:is>
          <x:t xml:space="preserve">M23</x:t>
        </x:is>
      </x:c>
      <x:c r="Y4" s="164" t="inlineStr">
        <x:is>
          <x:t xml:space="preserve">M24</x:t>
        </x:is>
      </x:c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1" t="inlineStr">
        <x:is>
          <x:t xml:space="preserve">Nouveaux acheteurs</x:t>
        </x:is>
      </x:c>
      <x:c r="B5" s="472" t="n">
        <x:f>'Hypothèses'!B43</x:f>
        <x:v>25</x:v>
      </x:c>
      <x:c r="C5" s="472" t="n">
        <x:f>'Hypothèses'!C43</x:f>
        <x:v>40</x:v>
      </x:c>
      <x:c r="D5" s="472" t="n">
        <x:f>'Hypothèses'!D43</x:f>
        <x:v>60</x:v>
      </x:c>
      <x:c r="E5" s="472" t="n">
        <x:f>'Hypothèses'!E43</x:f>
        <x:v>80</x:v>
      </x:c>
      <x:c r="F5" s="472" t="n">
        <x:f>'Hypothèses'!F43</x:f>
        <x:v>100</x:v>
      </x:c>
      <x:c r="G5" s="472" t="n">
        <x:f>'Hypothèses'!G43</x:f>
        <x:v>130</x:v>
      </x:c>
      <x:c r="H5" s="472" t="n">
        <x:f>'Hypothèses'!H43</x:f>
        <x:v>160</x:v>
      </x:c>
      <x:c r="I5" s="472" t="n">
        <x:f>'Hypothèses'!I43</x:f>
        <x:v>200</x:v>
      </x:c>
      <x:c r="J5" s="472" t="n">
        <x:f>'Hypothèses'!J43</x:f>
        <x:v>240</x:v>
      </x:c>
      <x:c r="K5" s="472" t="n">
        <x:f>'Hypothèses'!K43</x:f>
        <x:v>280</x:v>
      </x:c>
      <x:c r="L5" s="472" t="n">
        <x:f>'Hypothèses'!L43</x:f>
        <x:v>320</x:v>
      </x:c>
      <x:c r="M5" s="472" t="n">
        <x:f>'Hypothèses'!M43</x:f>
        <x:v>360</x:v>
      </x:c>
      <x:c r="N5" s="472" t="n">
        <x:f>'Hypothèses'!N43</x:f>
        <x:v>400</x:v>
      </x:c>
      <x:c r="O5" s="472" t="n">
        <x:f>'Hypothèses'!O43</x:f>
        <x:v>450</x:v>
      </x:c>
      <x:c r="P5" s="472" t="n">
        <x:f>'Hypothèses'!P43</x:f>
        <x:v>500</x:v>
      </x:c>
      <x:c r="Q5" s="472" t="n">
        <x:f>'Hypothèses'!Q43</x:f>
        <x:v>550</x:v>
      </x:c>
      <x:c r="R5" s="472" t="n">
        <x:f>'Hypothèses'!R43</x:f>
        <x:v>600</x:v>
      </x:c>
      <x:c r="S5" s="472" t="n">
        <x:f>'Hypothèses'!S43</x:f>
        <x:v>650</x:v>
      </x:c>
      <x:c r="T5" s="472" t="n">
        <x:f>'Hypothèses'!T43</x:f>
        <x:v>700</x:v>
      </x:c>
      <x:c r="U5" s="472" t="n">
        <x:f>'Hypothèses'!U43</x:f>
        <x:v>750</x:v>
      </x:c>
      <x:c r="V5" s="472" t="n">
        <x:f>'Hypothèses'!V43</x:f>
        <x:v>800</x:v>
      </x:c>
      <x:c r="W5" s="472" t="n">
        <x:f>'Hypothèses'!W43</x:f>
        <x:v>850</x:v>
      </x:c>
      <x:c r="X5" s="472" t="n">
        <x:f>'Hypothèses'!X43</x:f>
        <x:v>900</x:v>
      </x:c>
      <x:c r="Y5" s="472" t="n">
        <x:f>'Hypothèses'!Y43</x:f>
        <x:v>1000</x:v>
      </x:c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61" t="inlineStr">
        <x:is>
          <x:t xml:space="preserve">Repurchases</x:t>
        </x:is>
      </x:c>
      <x:c r="B6" s="472" t="n">
        <x:v>0</x:v>
      </x:c>
      <x:c r="C6" s="472" t="n">
        <x:f>B7*(1-'Hypothèses'!B7)*'Hypothèses'!B22</x:f>
        <x:v>5.75</x:v>
      </x:c>
      <x:c r="D6" s="472" t="n">
        <x:f>C7*(1-'Hypothèses'!B7)*'Hypothèses'!B22</x:f>
        <x:v>10.5225</x:v>
      </x:c>
      <x:c r="E6" s="472" t="n">
        <x:f>D7*(1-'Hypothèses'!B7)*'Hypothèses'!B22</x:f>
        <x:v>16.220175</x:v>
      </x:c>
      <x:c r="F6" s="472" t="n">
        <x:f>E7*(1-'Hypothèses'!B7)*'Hypothèses'!B22</x:f>
        <x:v>22.13064025</x:v>
      </x:c>
      <x:c r="G6" s="472" t="n">
        <x:f>F7*(1-'Hypothèses'!B7)*'Hypothèses'!B22</x:f>
        <x:v>28.0900472575</x:v>
      </x:c>
      <x:c r="H6" s="472" t="n">
        <x:f>G7*(1-'Hypothèses'!B7)*'Hypothèses'!B22</x:f>
        <x:v>36.360710869225</x:v>
      </x:c>
      <x:c r="I6" s="472" t="n">
        <x:f>H7*(1-'Hypothèses'!B7)*'Hypothèses'!B22</x:f>
        <x:v>45.16296349992175</x:v>
      </x:c>
      <x:c r="J6" s="472" t="n">
        <x:f>I7*(1-'Hypothèses'!B7)*'Hypothèses'!B22</x:f>
        <x:v>56.38748160498201</x:v>
      </x:c>
      <x:c r="K6" s="472" t="n">
        <x:f>J7*(1-'Hypothèses'!B7)*'Hypothèses'!B22</x:f>
        <x:v>68.16912076914586</x:v>
      </x:c>
      <x:c r="L6" s="472" t="n">
        <x:f>K7*(1-'Hypothèses'!B7)*'Hypothèses'!B22</x:f>
        <x:v>80.07889777690356</x:v>
      </x:c>
      <x:c r="M6" s="472" t="n">
        <x:f>L7*(1-'Hypothèses'!B7)*'Hypothèses'!B22</x:f>
        <x:v>92.01814648868782</x:v>
      </x:c>
      <x:c r="N6" s="472" t="n">
        <x:f>M7*(1-'Hypothèses'!B7)*'Hypothèses'!B22</x:f>
        <x:v>103.9641736923982</x:v>
      </x:c>
      <x:c r="O6" s="472" t="n">
        <x:f>N7*(1-'Hypothèses'!B7)*'Hypothèses'!B22</x:f>
        <x:v>115.91175994925159</x:v>
      </x:c>
      <x:c r="P6" s="472" t="n">
        <x:f>O7*(1-'Hypothèses'!B7)*'Hypothèses'!B22</x:f>
        <x:v>130.15970478832787</x:v>
      </x:c>
      <x:c r="Q6" s="472" t="n">
        <x:f>P7*(1-'Hypothèses'!B7)*'Hypothèses'!B22</x:f>
        <x:v>144.9367321013154</x:v>
      </x:c>
      <x:c r="R6" s="472" t="n">
        <x:f>Q7*(1-'Hypothèses'!B7)*'Hypothèses'!B22</x:f>
        <x:v>159.83544838330255</x:v>
      </x:c>
      <x:c r="S6" s="472" t="n">
        <x:f>R7*(1-'Hypothèses'!B7)*'Hypothèses'!B22</x:f>
        <x:v>174.76215312815958</x:v>
      </x:c>
      <x:c r="T6" s="472" t="n">
        <x:f>S7*(1-'Hypothèses'!B7)*'Hypothèses'!B22</x:f>
        <x:v>189.6952952194767</x:v>
      </x:c>
      <x:c r="U6" s="472" t="n">
        <x:f>T7*(1-'Hypothèses'!B7)*'Hypothèses'!B22</x:f>
        <x:v>204.62991790047965</x:v>
      </x:c>
      <x:c r="V6" s="472" t="n">
        <x:f>U7*(1-'Hypothèses'!B7)*'Hypothèses'!B22</x:f>
        <x:v>219.56488111711033</x:v>
      </x:c>
      <x:c r="W6" s="472" t="n">
        <x:f>V7*(1-'Hypothèses'!B7)*'Hypothèses'!B22</x:f>
        <x:v>234.49992265693538</x:v>
      </x:c>
      <x:c r="X6" s="472" t="n">
        <x:f>W7*(1-'Hypothèses'!B7)*'Hypothèses'!B22</x:f>
        <x:v>249.43498221109513</x:v>
      </x:c>
      <x:c r="Y6" s="472" t="n">
        <x:f>X7*(1-'Hypothèses'!B7)*'Hypothèses'!B22</x:f>
        <x:v>264.3700459085519</x:v>
      </x:c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inlineStr">
        <x:is>
          <x:t xml:space="preserve">Achats totaux</x:t>
        </x:is>
      </x:c>
      <x:c r="B7" s="472" t="n">
        <x:f>B5+B6</x:f>
        <x:v>25</x:v>
      </x:c>
      <x:c r="C7" s="472" t="n">
        <x:f>C5+C6</x:f>
        <x:v>45.75</x:v>
      </x:c>
      <x:c r="D7" s="472" t="n">
        <x:f>D5+D6</x:f>
        <x:v>70.52250000000001</x:v>
      </x:c>
      <x:c r="E7" s="472" t="n">
        <x:f>E5+E6</x:f>
        <x:v>96.220175</x:v>
      </x:c>
      <x:c r="F7" s="472" t="n">
        <x:f>F5+F6</x:f>
        <x:v>122.13064025</x:v>
      </x:c>
      <x:c r="G7" s="472" t="n">
        <x:f>G5+G6</x:f>
        <x:v>158.0900472575</x:v>
      </x:c>
      <x:c r="H7" s="472" t="n">
        <x:f>H5+H6</x:f>
        <x:v>196.360710869225</x:v>
      </x:c>
      <x:c r="I7" s="472" t="n">
        <x:f>I5+I6</x:f>
        <x:v>245.16296349992174</x:v>
      </x:c>
      <x:c r="J7" s="472" t="n">
        <x:f>J5+J6</x:f>
        <x:v>296.387481604982</x:v>
      </x:c>
      <x:c r="K7" s="472" t="n">
        <x:f>K5+K6</x:f>
        <x:v>348.1691207691459</x:v>
      </x:c>
      <x:c r="L7" s="472" t="n">
        <x:f>L5+L6</x:f>
        <x:v>400.07889777690355</x:v>
      </x:c>
      <x:c r="M7" s="472" t="n">
        <x:f>M5+M6</x:f>
        <x:v>452.0181464886878</x:v>
      </x:c>
      <x:c r="N7" s="472" t="n">
        <x:f>N5+N6</x:f>
        <x:v>503.9641736923982</x:v>
      </x:c>
      <x:c r="O7" s="472" t="n">
        <x:f>O5+O6</x:f>
        <x:v>565.9117599492516</x:v>
      </x:c>
      <x:c r="P7" s="472" t="n">
        <x:f>P5+P6</x:f>
        <x:v>630.1597047883279</x:v>
      </x:c>
      <x:c r="Q7" s="472" t="n">
        <x:f>Q5+Q6</x:f>
        <x:v>694.9367321013154</x:v>
      </x:c>
      <x:c r="R7" s="472" t="n">
        <x:f>R5+R6</x:f>
        <x:v>759.8354483833025</x:v>
      </x:c>
      <x:c r="S7" s="472" t="n">
        <x:f>S5+S6</x:f>
        <x:v>824.7621531281595</x:v>
      </x:c>
      <x:c r="T7" s="472" t="n">
        <x:f>T5+T6</x:f>
        <x:v>889.6952952194767</x:v>
      </x:c>
      <x:c r="U7" s="472" t="n">
        <x:f>U5+U6</x:f>
        <x:v>954.6299179004797</x:v>
      </x:c>
      <x:c r="V7" s="472" t="n">
        <x:f>V5+V6</x:f>
        <x:v>1019.5648811171103</x:v>
      </x:c>
      <x:c r="W7" s="472" t="n">
        <x:f>W5+W6</x:f>
        <x:v>1084.4999226569353</x:v>
      </x:c>
      <x:c r="X7" s="472" t="n">
        <x:f>X5+X6</x:f>
        <x:v>1149.434982211095</x:v>
      </x:c>
      <x:c r="Y7" s="472" t="n">
        <x:f>Y5+Y6</x:f>
        <x:v>1264.370045908552</x:v>
      </x:c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61" t="inlineStr">
        <x:is>
          <x:t xml:space="preserve">Chiffre d’affaires</x:t>
        </x:is>
      </x:c>
      <x:c r="B8" s="462" t="n">
        <x:f>B7*'Économie Unitaire'!B7</x:f>
        <x:v>1245000</x:v>
      </x:c>
      <x:c r="C8" s="462" t="n">
        <x:f>C7*'Économie Unitaire'!B7</x:f>
        <x:v>2278350</x:v>
      </x:c>
      <x:c r="D8" s="462" t="n">
        <x:f>D7*'Économie Unitaire'!B7</x:f>
        <x:v>3512020.5000000005</x:v>
      </x:c>
      <x:c r="E8" s="462" t="n">
        <x:f>E7*'Économie Unitaire'!B7</x:f>
        <x:v>4791764.715</x:v>
      </x:c>
      <x:c r="F8" s="462" t="n">
        <x:f>F7*'Économie Unitaire'!B7</x:f>
        <x:v>6082105.88445</x:v>
      </x:c>
      <x:c r="G8" s="462" t="n">
        <x:f>G7*'Économie Unitaire'!B7</x:f>
        <x:v>7872884.3534235</x:v>
      </x:c>
      <x:c r="H8" s="462" t="n">
        <x:f>H7*'Économie Unitaire'!B7</x:f>
        <x:v>9778763.401287405</x:v>
      </x:c>
      <x:c r="I8" s="462" t="n">
        <x:f>I7*'Économie Unitaire'!B7</x:f>
        <x:v>12209115.582296103</x:v>
      </x:c>
      <x:c r="J8" s="462" t="n">
        <x:f>J7*'Économie Unitaire'!B7</x:f>
        <x:v>14760096.583928103</x:v>
      </x:c>
      <x:c r="K8" s="462" t="n">
        <x:f>K7*'Économie Unitaire'!B7</x:f>
        <x:v>17338822.214303464</x:v>
      </x:c>
      <x:c r="L8" s="462" t="n">
        <x:f>L7*'Économie Unitaire'!B7</x:f>
        <x:v>19923929.109289795</x:v>
      </x:c>
      <x:c r="M8" s="462" t="n">
        <x:f>M7*'Économie Unitaire'!B7</x:f>
        <x:v>22510503.695136655</x:v>
      </x:c>
      <x:c r="N8" s="462" t="n">
        <x:f>N7*'Économie Unitaire'!B7</x:f>
        <x:v>25097415.849881433</x:v>
      </x:c>
      <x:c r="O8" s="462" t="n">
        <x:f>O7*'Économie Unitaire'!B7</x:f>
        <x:v>28182405.64547273</x:v>
      </x:c>
      <x:c r="P8" s="462" t="n">
        <x:f>P7*'Économie Unitaire'!B7</x:f>
        <x:v>31381953.29845873</x:v>
      </x:c>
      <x:c r="Q8" s="462" t="n">
        <x:f>Q7*'Économie Unitaire'!B7</x:f>
        <x:v>34607849.25864551</x:v>
      </x:c>
      <x:c r="R8" s="462" t="n">
        <x:f>R7*'Économie Unitaire'!B7</x:f>
        <x:v>37839805.32948846</x:v>
      </x:c>
      <x:c r="S8" s="462" t="n">
        <x:f>S7*'Économie Unitaire'!B7</x:f>
        <x:v>41073155.22578234</x:v>
      </x:c>
      <x:c r="T8" s="462" t="n">
        <x:f>T7*'Économie Unitaire'!B7</x:f>
        <x:v>44306825.70192994</x:v>
      </x:c>
      <x:c r="U8" s="462" t="n">
        <x:f>U7*'Économie Unitaire'!B7</x:f>
        <x:v>47540569.91144389</x:v>
      </x:c>
      <x:c r="V8" s="462" t="n">
        <x:f>V7*'Économie Unitaire'!B7</x:f>
        <x:v>50774331.079632096</x:v>
      </x:c>
      <x:c r="W8" s="462" t="n">
        <x:f>W7*'Économie Unitaire'!B7</x:f>
        <x:v>54008096.14831538</x:v>
      </x:c>
      <x:c r="X8" s="462" t="n">
        <x:f>X7*'Économie Unitaire'!B7</x:f>
        <x:v>57241862.11411253</x:v>
      </x:c>
      <x:c r="Y8" s="462" t="n">
        <x:f>Y7*'Économie Unitaire'!B7</x:f>
        <x:v>62965628.28624588</x:v>
      </x:c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61" t="inlineStr">
        <x:is>
          <x:t xml:space="preserve">Remboursements</x:t>
        </x:is>
      </x:c>
      <x:c r="B9" s="462" t="n">
        <x:f>-B8*'Hypothèses'!B14</x:f>
        <x:v>-18675</x:v>
      </x:c>
      <x:c r="C9" s="462" t="n">
        <x:f>-C8*'Hypothèses'!B14</x:f>
        <x:v>-34175.25</x:v>
      </x:c>
      <x:c r="D9" s="462" t="n">
        <x:f>-D8*'Hypothèses'!B14</x:f>
        <x:v>-52680.3075</x:v>
      </x:c>
      <x:c r="E9" s="462" t="n">
        <x:f>-E8*'Hypothèses'!B14</x:f>
        <x:v>-71876.47072499999</x:v>
      </x:c>
      <x:c r="F9" s="462" t="n">
        <x:f>-F8*'Hypothèses'!B14</x:f>
        <x:v>-91231.58826675</x:v>
      </x:c>
      <x:c r="G9" s="462" t="n">
        <x:f>-G8*'Hypothèses'!B14</x:f>
        <x:v>-118093.2653013525</x:v>
      </x:c>
      <x:c r="H9" s="462" t="n">
        <x:f>-H8*'Hypothèses'!B14</x:f>
        <x:v>-146681.45101931106</x:v>
      </x:c>
      <x:c r="I9" s="462" t="n">
        <x:f>-I8*'Hypothèses'!B14</x:f>
        <x:v>-183136.73373444154</x:v>
      </x:c>
      <x:c r="J9" s="462" t="n">
        <x:f>-J8*'Hypothèses'!B14</x:f>
        <x:v>-221401.44875892153</x:v>
      </x:c>
      <x:c r="K9" s="462" t="n">
        <x:f>-K8*'Hypothèses'!B14</x:f>
        <x:v>-260082.33321455194</x:v>
      </x:c>
      <x:c r="L9" s="462" t="n">
        <x:f>-L8*'Hypothèses'!B14</x:f>
        <x:v>-298858.93663934694</x:v>
      </x:c>
      <x:c r="M9" s="462" t="n">
        <x:f>-M8*'Hypothèses'!B14</x:f>
        <x:v>-337657.5554270498</x:v>
      </x:c>
      <x:c r="N9" s="462" t="n">
        <x:f>-N8*'Hypothèses'!B14</x:f>
        <x:v>-376461.2377482215</x:v>
      </x:c>
      <x:c r="O9" s="462" t="n">
        <x:f>-O8*'Hypothèses'!B14</x:f>
        <x:v>-422736.08468209096</x:v>
      </x:c>
      <x:c r="P9" s="462" t="n">
        <x:f>-P8*'Hypothèses'!B14</x:f>
        <x:v>-470729.29947688093</x:v>
      </x:c>
      <x:c r="Q9" s="462" t="n">
        <x:f>-Q8*'Hypothèses'!B14</x:f>
        <x:v>-519117.73887968267</x:v>
      </x:c>
      <x:c r="R9" s="462" t="n">
        <x:f>-R8*'Hypothèses'!B14</x:f>
        <x:v>-567597.0799423269</x:v>
      </x:c>
      <x:c r="S9" s="462" t="n">
        <x:f>-S8*'Hypothèses'!B14</x:f>
        <x:v>-616097.328386735</x:v>
      </x:c>
      <x:c r="T9" s="462" t="n">
        <x:f>-T8*'Hypothèses'!B14</x:f>
        <x:v>-664602.3855289491</x:v>
      </x:c>
      <x:c r="U9" s="462" t="n">
        <x:f>-U8*'Hypothèses'!B14</x:f>
        <x:v>-713108.5486716583</x:v>
      </x:c>
      <x:c r="V9" s="462" t="n">
        <x:f>-V8*'Hypothèses'!B14</x:f>
        <x:v>-761614.9661944814</x:v>
      </x:c>
      <x:c r="W9" s="462" t="n">
        <x:f>-W8*'Hypothèses'!B14</x:f>
        <x:v>-810121.4422247306</x:v>
      </x:c>
      <x:c r="X9" s="462" t="n">
        <x:f>-X8*'Hypothèses'!B14</x:f>
        <x:v>-858627.9317116879</x:v>
      </x:c>
      <x:c r="Y9" s="462" t="n">
        <x:f>-Y8*'Hypothèses'!B14</x:f>
        <x:v>-944484.4242936881</x:v>
      </x:c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61" t="inlineStr">
        <x:is>
          <x:t xml:space="preserve">Frais PSP</x:t>
        </x:is>
      </x:c>
      <x:c r="B10" s="462" t="n">
        <x:f>-(B8+B9)*'Hypothèses'!B15</x:f>
        <x:v>-42921.37500000001</x:v>
      </x:c>
      <x:c r="C10" s="462" t="n">
        <x:f>-(C8+C9)*'Hypothèses'!B15</x:f>
        <x:v>-78546.11625</x:v>
      </x:c>
      <x:c r="D10" s="462" t="n">
        <x:f>-(D8+D9)*'Hypothèses'!B15</x:f>
        <x:v>-121076.90673750003</x:v>
      </x:c>
      <x:c r="E10" s="462" t="n">
        <x:f>-(E8+E9)*'Hypothèses'!B15</x:f>
        <x:v>-165196.088549625</x:v>
      </x:c>
      <x:c r="F10" s="462" t="n">
        <x:f>-(F8+F9)*'Hypothèses'!B15</x:f>
        <x:v>-209680.60036641377</x:v>
      </x:c>
      <x:c r="G10" s="462" t="n">
        <x:f>-(G8+G9)*'Hypothèses'!B15</x:f>
        <x:v>-271417.6880842752</x:v>
      </x:c>
      <x:c r="H10" s="462" t="n">
        <x:f>-(H8+H9)*'Hypothèses'!B15</x:f>
        <x:v>-337122.8682593833</x:v>
      </x:c>
      <x:c r="I10" s="462" t="n">
        <x:f>-(I8+I9)*'Hypothèses'!B15</x:f>
        <x:v>-420909.2596996582</x:v>
      </x:c>
      <x:c r="J10" s="462" t="n">
        <x:f>-(J8+J9)*'Hypothèses'!B15</x:f>
        <x:v>-508854.3297309214</x:v>
      </x:c>
      <x:c r="K10" s="462" t="n">
        <x:f>-(K8+K9)*'Hypothèses'!B15</x:f>
        <x:v>-597755.895838112</x:v>
      </x:c>
      <x:c r="L10" s="462" t="n">
        <x:f>-(L8+L9)*'Hypothèses'!B15</x:f>
        <x:v>-686877.4560427658</x:v>
      </x:c>
      <x:c r="M10" s="462" t="n">
        <x:f>-(M8+M9)*'Hypothèses'!B15</x:f>
        <x:v>-776049.6148898363</x:v>
      </x:c>
      <x:c r="N10" s="462" t="n">
        <x:f>-(N8+N9)*'Hypothèses'!B15</x:f>
        <x:v>-865233.4114246626</x:v>
      </x:c>
      <x:c r="O10" s="462" t="n">
        <x:f>-(O8+O9)*'Hypothèses'!B15</x:f>
        <x:v>-971588.4346276724</x:v>
      </x:c>
      <x:c r="P10" s="462" t="n">
        <x:f>-(P8+P9)*'Hypothèses'!B15</x:f>
        <x:v>-1081892.839964365</x:v>
      </x:c>
      <x:c r="Q10" s="462" t="n">
        <x:f>-(Q8+Q9)*'Hypothèses'!B15</x:f>
        <x:v>-1193105.6031918041</x:v>
      </x:c>
      <x:c r="R10" s="462" t="n">
        <x:f>-(R8+R9)*'Hypothèses'!B15</x:f>
        <x:v>-1304527.288734115</x:v>
      </x:c>
      <x:c r="S10" s="462" t="n">
        <x:f>-(S8+S9)*'Hypothèses'!B15</x:f>
        <x:v>-1415997.0264088465</x:v>
      </x:c>
      <x:c r="T10" s="462" t="n">
        <x:f>-(T8+T9)*'Hypothèses'!B15</x:f>
        <x:v>-1527477.816074035</x:v>
      </x:c>
      <x:c r="U10" s="462" t="n">
        <x:f>-(U8+U9)*'Hypothèses'!B15</x:f>
        <x:v>-1638961.1476970282</x:v>
      </x:c>
      <x:c r="V10" s="462" t="n">
        <x:f>-(V8+V9)*'Hypothèses'!B15</x:f>
        <x:v>-1750445.0639703167</x:v>
      </x:c>
      <x:c r="W10" s="462" t="n">
        <x:f>-(W8+W9)*'Hypothèses'!B15</x:f>
        <x:v>-1861929.1147131727</x:v>
      </x:c>
      <x:c r="X10" s="462" t="n">
        <x:f>-(X8+X9)*'Hypothèses'!B15</x:f>
        <x:v>-1973413.1963840297</x:v>
      </x:c>
      <x:c r="Y10" s="462" t="n">
        <x:f>-(Y8+Y9)*'Hypothèses'!B15</x:f>
        <x:v>-2170740.035168327</x:v>
      </x:c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inlineStr">
        <x:is>
          <x:t xml:space="preserve">Provision fiscale</x:t>
        </x:is>
      </x:c>
      <x:c r="B11" s="462" t="n">
        <x:f>-B8*'Hypothèses'!B25</x:f>
        <x:v>0</x:v>
      </x:c>
      <x:c r="C11" s="462" t="n">
        <x:f>-C8*'Hypothèses'!B25</x:f>
        <x:v>0</x:v>
      </x:c>
      <x:c r="D11" s="462" t="n">
        <x:f>-D8*'Hypothèses'!B25</x:f>
        <x:v>0</x:v>
      </x:c>
      <x:c r="E11" s="462" t="n">
        <x:f>-E8*'Hypothèses'!B25</x:f>
        <x:v>0</x:v>
      </x:c>
      <x:c r="F11" s="462" t="n">
        <x:f>-F8*'Hypothèses'!B25</x:f>
        <x:v>0</x:v>
      </x:c>
      <x:c r="G11" s="462" t="n">
        <x:f>-G8*'Hypothèses'!B25</x:f>
        <x:v>0</x:v>
      </x:c>
      <x:c r="H11" s="462" t="n">
        <x:f>-H8*'Hypothèses'!B25</x:f>
        <x:v>0</x:v>
      </x:c>
      <x:c r="I11" s="462" t="n">
        <x:f>-I8*'Hypothèses'!B25</x:f>
        <x:v>0</x:v>
      </x:c>
      <x:c r="J11" s="462" t="n">
        <x:f>-J8*'Hypothèses'!B25</x:f>
        <x:v>0</x:v>
      </x:c>
      <x:c r="K11" s="462" t="n">
        <x:f>-K8*'Hypothèses'!B25</x:f>
        <x:v>0</x:v>
      </x:c>
      <x:c r="L11" s="462" t="n">
        <x:f>-L8*'Hypothèses'!B25</x:f>
        <x:v>0</x:v>
      </x:c>
      <x:c r="M11" s="462" t="n">
        <x:f>-M8*'Hypothèses'!B25</x:f>
        <x:v>0</x:v>
      </x:c>
      <x:c r="N11" s="462" t="n">
        <x:f>-N8*'Hypothèses'!B25</x:f>
        <x:v>0</x:v>
      </x:c>
      <x:c r="O11" s="462" t="n">
        <x:f>-O8*'Hypothèses'!B25</x:f>
        <x:v>0</x:v>
      </x:c>
      <x:c r="P11" s="462" t="n">
        <x:f>-P8*'Hypothèses'!B25</x:f>
        <x:v>0</x:v>
      </x:c>
      <x:c r="Q11" s="462" t="n">
        <x:f>-Q8*'Hypothèses'!B25</x:f>
        <x:v>0</x:v>
      </x:c>
      <x:c r="R11" s="462" t="n">
        <x:f>-R8*'Hypothèses'!B25</x:f>
        <x:v>0</x:v>
      </x:c>
      <x:c r="S11" s="462" t="n">
        <x:f>-S8*'Hypothèses'!B25</x:f>
        <x:v>0</x:v>
      </x:c>
      <x:c r="T11" s="462" t="n">
        <x:f>-T8*'Hypothèses'!B25</x:f>
        <x:v>0</x:v>
      </x:c>
      <x:c r="U11" s="462" t="n">
        <x:f>-U8*'Hypothèses'!B25</x:f>
        <x:v>0</x:v>
      </x:c>
      <x:c r="V11" s="462" t="n">
        <x:f>-V8*'Hypothèses'!B25</x:f>
        <x:v>0</x:v>
      </x:c>
      <x:c r="W11" s="462" t="n">
        <x:f>-W8*'Hypothèses'!B25</x:f>
        <x:v>0</x:v>
      </x:c>
      <x:c r="X11" s="462" t="n">
        <x:f>-X8*'Hypothèses'!B25</x:f>
        <x:v>0</x:v>
      </x:c>
      <x:c r="Y11" s="462" t="n">
        <x:f>-Y8*'Hypothèses'!B25</x:f>
        <x:v>0</x:v>
      </x:c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61" t="inlineStr">
        <x:is>
          <x:t xml:space="preserve">CAC nouveaux acheteurs</x:t>
        </x:is>
      </x:c>
      <x:c r="B12" s="462" t="n">
        <x:f>-B5*'Hypothèses'!B16</x:f>
        <x:v>-112500</x:v>
      </x:c>
      <x:c r="C12" s="462" t="n">
        <x:f>-C5*'Hypothèses'!B16</x:f>
        <x:v>-180000</x:v>
      </x:c>
      <x:c r="D12" s="462" t="n">
        <x:f>-D5*'Hypothèses'!B16</x:f>
        <x:v>-270000</x:v>
      </x:c>
      <x:c r="E12" s="462" t="n">
        <x:f>-E5*'Hypothèses'!B16</x:f>
        <x:v>-360000</x:v>
      </x:c>
      <x:c r="F12" s="462" t="n">
        <x:f>-F5*'Hypothèses'!B16</x:f>
        <x:v>-450000</x:v>
      </x:c>
      <x:c r="G12" s="462" t="n">
        <x:f>-G5*'Hypothèses'!B16</x:f>
        <x:v>-585000</x:v>
      </x:c>
      <x:c r="H12" s="462" t="n">
        <x:f>-H5*'Hypothèses'!B16</x:f>
        <x:v>-720000</x:v>
      </x:c>
      <x:c r="I12" s="462" t="n">
        <x:f>-I5*'Hypothèses'!B16</x:f>
        <x:v>-900000</x:v>
      </x:c>
      <x:c r="J12" s="462" t="n">
        <x:f>-J5*'Hypothèses'!B16</x:f>
        <x:v>-1080000</x:v>
      </x:c>
      <x:c r="K12" s="462" t="n">
        <x:f>-K5*'Hypothèses'!B16</x:f>
        <x:v>-1260000</x:v>
      </x:c>
      <x:c r="L12" s="462" t="n">
        <x:f>-L5*'Hypothèses'!B16</x:f>
        <x:v>-1440000</x:v>
      </x:c>
      <x:c r="M12" s="462" t="n">
        <x:f>-M5*'Hypothèses'!B16</x:f>
        <x:v>-1620000</x:v>
      </x:c>
      <x:c r="N12" s="462" t="n">
        <x:f>-N5*'Hypothèses'!B16</x:f>
        <x:v>-1800000</x:v>
      </x:c>
      <x:c r="O12" s="462" t="n">
        <x:f>-O5*'Hypothèses'!B16</x:f>
        <x:v>-2025000</x:v>
      </x:c>
      <x:c r="P12" s="462" t="n">
        <x:f>-P5*'Hypothèses'!B16</x:f>
        <x:v>-2250000</x:v>
      </x:c>
      <x:c r="Q12" s="462" t="n">
        <x:f>-Q5*'Hypothèses'!B16</x:f>
        <x:v>-2475000</x:v>
      </x:c>
      <x:c r="R12" s="462" t="n">
        <x:f>-R5*'Hypothèses'!B16</x:f>
        <x:v>-2700000</x:v>
      </x:c>
      <x:c r="S12" s="462" t="n">
        <x:f>-S5*'Hypothèses'!B16</x:f>
        <x:v>-2925000</x:v>
      </x:c>
      <x:c r="T12" s="462" t="n">
        <x:f>-T5*'Hypothèses'!B16</x:f>
        <x:v>-3150000</x:v>
      </x:c>
      <x:c r="U12" s="462" t="n">
        <x:f>-U5*'Hypothèses'!B16</x:f>
        <x:v>-3375000</x:v>
      </x:c>
      <x:c r="V12" s="462" t="n">
        <x:f>-V5*'Hypothèses'!B16</x:f>
        <x:v>-3600000</x:v>
      </x:c>
      <x:c r="W12" s="462" t="n">
        <x:f>-W5*'Hypothèses'!B16</x:f>
        <x:v>-3825000</x:v>
      </x:c>
      <x:c r="X12" s="462" t="n">
        <x:f>-X5*'Hypothèses'!B16</x:f>
        <x:v>-4050000</x:v>
      </x:c>
      <x:c r="Y12" s="462" t="n">
        <x:f>-Y5*'Hypothèses'!B16</x:f>
        <x:v>-4500000</x:v>
      </x:c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inlineStr">
        <x:is>
          <x:t xml:space="preserve">Support variable</x:t>
        </x:is>
      </x:c>
      <x:c r="B13" s="462" t="n">
        <x:f>-B7*'Hypothèses'!B17</x:f>
        <x:v>-17500</x:v>
      </x:c>
      <x:c r="C13" s="462" t="n">
        <x:f>-C7*'Hypothèses'!B17</x:f>
        <x:v>-32025</x:v>
      </x:c>
      <x:c r="D13" s="462" t="n">
        <x:f>-D7*'Hypothèses'!B17</x:f>
        <x:v>-49365.75000000001</x:v>
      </x:c>
      <x:c r="E13" s="462" t="n">
        <x:f>-E7*'Hypothèses'!B17</x:f>
        <x:v>-67354.1225</x:v>
      </x:c>
      <x:c r="F13" s="462" t="n">
        <x:f>-F7*'Hypothèses'!B17</x:f>
        <x:v>-85491.448175</x:v>
      </x:c>
      <x:c r="G13" s="462" t="n">
        <x:f>-G7*'Hypothèses'!B17</x:f>
        <x:v>-110663.03308025</x:v>
      </x:c>
      <x:c r="H13" s="462" t="n">
        <x:f>-H7*'Hypothèses'!B17</x:f>
        <x:v>-137452.4976084575</x:v>
      </x:c>
      <x:c r="I13" s="462" t="n">
        <x:f>-I7*'Hypothèses'!B17</x:f>
        <x:v>-171614.0744499452</x:v>
      </x:c>
      <x:c r="J13" s="462" t="n">
        <x:f>-J7*'Hypothèses'!B17</x:f>
        <x:v>-207471.2371234874</x:v>
      </x:c>
      <x:c r="K13" s="462" t="n">
        <x:f>-K7*'Hypothèses'!B17</x:f>
        <x:v>-243718.3845384021</x:v>
      </x:c>
      <x:c r="L13" s="462" t="n">
        <x:f>-L7*'Hypothèses'!B17</x:f>
        <x:v>-280055.2284438325</x:v>
      </x:c>
      <x:c r="M13" s="462" t="n">
        <x:f>-M7*'Hypothèses'!B17</x:f>
        <x:v>-316412.7025420815</x:v>
      </x:c>
      <x:c r="N13" s="462" t="n">
        <x:f>-N7*'Hypothèses'!B17</x:f>
        <x:v>-352774.92158467876</x:v>
      </x:c>
      <x:c r="O13" s="462" t="n">
        <x:f>-O7*'Hypothèses'!B17</x:f>
        <x:v>-396138.2319644761</x:v>
      </x:c>
      <x:c r="P13" s="462" t="n">
        <x:f>-P7*'Hypothèses'!B17</x:f>
        <x:v>-441111.7933518295</x:v>
      </x:c>
      <x:c r="Q13" s="462" t="n">
        <x:f>-Q7*'Hypothèses'!B17</x:f>
        <x:v>-486455.7124709208</x:v>
      </x:c>
      <x:c r="R13" s="462" t="n">
        <x:f>-R7*'Hypothèses'!B17</x:f>
        <x:v>-531884.8138683117</x:v>
      </x:c>
      <x:c r="S13" s="462" t="n">
        <x:f>-S7*'Hypothèses'!B17</x:f>
        <x:v>-577333.5071897117</x:v>
      </x:c>
      <x:c r="T13" s="462" t="n">
        <x:f>-T7*'Hypothèses'!B17</x:f>
        <x:v>-622786.7066536337</x:v>
      </x:c>
      <x:c r="U13" s="462" t="n">
        <x:f>-U7*'Hypothèses'!B17</x:f>
        <x:v>-668240.9425303357</x:v>
      </x:c>
      <x:c r="V13" s="462" t="n">
        <x:f>-V7*'Hypothèses'!B17</x:f>
        <x:v>-713695.4167819772</x:v>
      </x:c>
      <x:c r="W13" s="462" t="n">
        <x:f>-W7*'Hypothèses'!B17</x:f>
        <x:v>-759149.9458598547</x:v>
      </x:c>
      <x:c r="X13" s="462" t="n">
        <x:f>-X7*'Hypothèses'!B17</x:f>
        <x:v>-804604.4875477665</x:v>
      </x:c>
      <x:c r="Y13" s="462" t="n">
        <x:f>-Y7*'Hypothèses'!B17</x:f>
        <x:v>-885059.0321359864</x:v>
      </x:c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1" t="inlineStr">
        <x:is>
          <x:t xml:space="preserve">KYC / contrôle</x:t>
        </x:is>
      </x:c>
      <x:c r="B14" s="462" t="n">
        <x:f>-B7*'Hypothèses'!B7*'Hypothèses'!B18</x:f>
        <x:v>-4000</x:v>
      </x:c>
      <x:c r="C14" s="462" t="n">
        <x:f>-C7*'Hypothèses'!B7*'Hypothèses'!B18</x:f>
        <x:v>-7320</x:v>
      </x:c>
      <x:c r="D14" s="462" t="n">
        <x:f>-D7*'Hypothèses'!B7*'Hypothèses'!B18</x:f>
        <x:v>-11283.600000000002</x:v>
      </x:c>
      <x:c r="E14" s="462" t="n">
        <x:f>-E7*'Hypothèses'!B7*'Hypothèses'!B18</x:f>
        <x:v>-15395.228</x:v>
      </x:c>
      <x:c r="F14" s="462" t="n">
        <x:f>-F7*'Hypothèses'!B7*'Hypothèses'!B18</x:f>
        <x:v>-19540.90244</x:v>
      </x:c>
      <x:c r="G14" s="462" t="n">
        <x:f>-G7*'Hypothèses'!B7*'Hypothèses'!B18</x:f>
        <x:v>-25294.4075612</x:v>
      </x:c>
      <x:c r="H14" s="462" t="n">
        <x:f>-H7*'Hypothèses'!B7*'Hypothèses'!B18</x:f>
        <x:v>-31417.713739076</x:v>
      </x:c>
      <x:c r="I14" s="462" t="n">
        <x:f>-I7*'Hypothèses'!B7*'Hypothèses'!B18</x:f>
        <x:v>-39226.07415998748</x:v>
      </x:c>
      <x:c r="J14" s="462" t="n">
        <x:f>-J7*'Hypothèses'!B7*'Hypothèses'!B18</x:f>
        <x:v>-47421.99705679712</x:v>
      </x:c>
      <x:c r="K14" s="462" t="n">
        <x:f>-K7*'Hypothèses'!B7*'Hypothèses'!B18</x:f>
        <x:v>-55707.05932306334</x:v>
      </x:c>
      <x:c r="L14" s="462" t="n">
        <x:f>-L7*'Hypothèses'!B7*'Hypothèses'!B18</x:f>
        <x:v>-64012.62364430457</x:v>
      </x:c>
      <x:c r="M14" s="462" t="n">
        <x:f>-M7*'Hypothèses'!B7*'Hypothèses'!B18</x:f>
        <x:v>-72322.90343819006</x:v>
      </x:c>
      <x:c r="N14" s="462" t="n">
        <x:f>-N7*'Hypothèses'!B7*'Hypothèses'!B18</x:f>
        <x:v>-80634.2677907837</x:v>
      </x:c>
      <x:c r="O14" s="462" t="n">
        <x:f>-O7*'Hypothèses'!B7*'Hypothèses'!B18</x:f>
        <x:v>-90545.88159188026</x:v>
      </x:c>
      <x:c r="P14" s="462" t="n">
        <x:f>-P7*'Hypothèses'!B7*'Hypothèses'!B18</x:f>
        <x:v>-100825.55276613246</x:v>
      </x:c>
      <x:c r="Q14" s="462" t="n">
        <x:f>-Q7*'Hypothèses'!B7*'Hypothèses'!B18</x:f>
        <x:v>-111189.87713621047</x:v>
      </x:c>
      <x:c r="R14" s="462" t="n">
        <x:f>-R7*'Hypothèses'!B7*'Hypothèses'!B18</x:f>
        <x:v>-121573.67174132839</x:v>
      </x:c>
      <x:c r="S14" s="462" t="n">
        <x:f>-S7*'Hypothèses'!B7*'Hypothèses'!B18</x:f>
        <x:v>-131961.94450050552</x:v>
      </x:c>
      <x:c r="T14" s="462" t="n">
        <x:f>-T7*'Hypothèses'!B7*'Hypothèses'!B18</x:f>
        <x:v>-142351.2472351163</x:v>
      </x:c>
      <x:c r="U14" s="462" t="n">
        <x:f>-U7*'Hypothèses'!B7*'Hypothèses'!B18</x:f>
        <x:v>-152740.78686407674</x:v>
      </x:c>
      <x:c r="V14" s="462" t="n">
        <x:f>-V7*'Hypothèses'!B7*'Hypothèses'!B18</x:f>
        <x:v>-163130.38097873767</x:v>
      </x:c>
      <x:c r="W14" s="462" t="n">
        <x:f>-W7*'Hypothèses'!B7*'Hypothèses'!B18</x:f>
        <x:v>-173519.98762510964</x:v>
      </x:c>
      <x:c r="X14" s="462" t="n">
        <x:f>-X7*'Hypothèses'!B7*'Hypothèses'!B18</x:f>
        <x:v>-183909.59715377522</x:v>
      </x:c>
      <x:c r="Y14" s="462" t="n">
        <x:f>-Y7*'Hypothèses'!B7*'Hypothèses'!B18</x:f>
        <x:v>-202299.2073453683</x:v>
      </x:c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1" t="inlineStr">
        <x:is>
          <x:t xml:space="preserve">Fraude / paiement</x:t>
        </x:is>
      </x:c>
      <x:c r="B15" s="462" t="n">
        <x:f>-B8*'Hypothèses'!B20</x:f>
        <x:v>-6225</x:v>
      </x:c>
      <x:c r="C15" s="462" t="n">
        <x:f>-C8*'Hypothèses'!B20</x:f>
        <x:v>-11391.75</x:v>
      </x:c>
      <x:c r="D15" s="462" t="n">
        <x:f>-D8*'Hypothèses'!B20</x:f>
        <x:v>-17560.102500000005</x:v>
      </x:c>
      <x:c r="E15" s="462" t="n">
        <x:f>-E8*'Hypothèses'!B20</x:f>
        <x:v>-23958.823575</x:v>
      </x:c>
      <x:c r="F15" s="462" t="n">
        <x:f>-F8*'Hypothèses'!B20</x:f>
        <x:v>-30410.529422249998</x:v>
      </x:c>
      <x:c r="G15" s="462" t="n">
        <x:f>-G8*'Hypothèses'!B20</x:f>
        <x:v>-39364.42176711751</x:v>
      </x:c>
      <x:c r="H15" s="462" t="n">
        <x:f>-H8*'Hypothèses'!B20</x:f>
        <x:v>-48893.81700643703</x:v>
      </x:c>
      <x:c r="I15" s="462" t="n">
        <x:f>-I8*'Hypothèses'!B20</x:f>
        <x:v>-61045.57791148052</x:v>
      </x:c>
      <x:c r="J15" s="462" t="n">
        <x:f>-J8*'Hypothèses'!B20</x:f>
        <x:v>-73800.48291964052</x:v>
      </x:c>
      <x:c r="K15" s="462" t="n">
        <x:f>-K8*'Hypothèses'!B20</x:f>
        <x:v>-86694.11107151733</x:v>
      </x:c>
      <x:c r="L15" s="462" t="n">
        <x:f>-L8*'Hypothèses'!B20</x:f>
        <x:v>-99619.64554644898</x:v>
      </x:c>
      <x:c r="M15" s="462" t="n">
        <x:f>-M8*'Hypothèses'!B20</x:f>
        <x:v>-112552.51847568328</x:v>
      </x:c>
      <x:c r="N15" s="462" t="n">
        <x:f>-N8*'Hypothèses'!B20</x:f>
        <x:v>-125487.07924940716</x:v>
      </x:c>
      <x:c r="O15" s="462" t="n">
        <x:f>-O8*'Hypothèses'!B20</x:f>
        <x:v>-140912.02822736365</x:v>
      </x:c>
      <x:c r="P15" s="462" t="n">
        <x:f>-P8*'Hypothèses'!B20</x:f>
        <x:v>-156909.76649229365</x:v>
      </x:c>
      <x:c r="Q15" s="462" t="n">
        <x:f>-Q8*'Hypothèses'!B20</x:f>
        <x:v>-173039.24629322757</x:v>
      </x:c>
      <x:c r="R15" s="462" t="n">
        <x:f>-R8*'Hypothèses'!B20</x:f>
        <x:v>-189199.0266474423</x:v>
      </x:c>
      <x:c r="S15" s="462" t="n">
        <x:f>-S8*'Hypothèses'!B20</x:f>
        <x:v>-205365.7761289117</x:v>
      </x:c>
      <x:c r="T15" s="462" t="n">
        <x:f>-T8*'Hypothèses'!B20</x:f>
        <x:v>-221534.12850964972</x:v>
      </x:c>
      <x:c r="U15" s="462" t="n">
        <x:f>-U8*'Hypothèses'!B20</x:f>
        <x:v>-237702.84955721945</x:v>
      </x:c>
      <x:c r="V15" s="462" t="n">
        <x:f>-V8*'Hypothèses'!B20</x:f>
        <x:v>-253871.65539816048</x:v>
      </x:c>
      <x:c r="W15" s="462" t="n">
        <x:f>-W8*'Hypothèses'!B20</x:f>
        <x:v>-270040.4807415769</x:v>
      </x:c>
      <x:c r="X15" s="462" t="n">
        <x:f>-X8*'Hypothèses'!B20</x:f>
        <x:v>-286209.31057056267</x:v>
      </x:c>
      <x:c r="Y15" s="462" t="n">
        <x:f>-Y8*'Hypothèses'!B20</x:f>
        <x:v>-314828.1414312294</x:v>
      </x:c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1" t="inlineStr">
        <x:is>
          <x:t xml:space="preserve">Affiliation</x:t>
        </x:is>
      </x:c>
      <x:c r="B16" s="462" t="n">
        <x:f>-B8*'Hypothèses'!B21</x:f>
        <x:v>0</x:v>
      </x:c>
      <x:c r="C16" s="462" t="n">
        <x:f>-C8*'Hypothèses'!B21</x:f>
        <x:v>0</x:v>
      </x:c>
      <x:c r="D16" s="462" t="n">
        <x:f>-D8*'Hypothèses'!B21</x:f>
        <x:v>0</x:v>
      </x:c>
      <x:c r="E16" s="462" t="n">
        <x:f>-E8*'Hypothèses'!B21</x:f>
        <x:v>0</x:v>
      </x:c>
      <x:c r="F16" s="462" t="n">
        <x:f>-F8*'Hypothèses'!B21</x:f>
        <x:v>0</x:v>
      </x:c>
      <x:c r="G16" s="462" t="n">
        <x:f>-G8*'Hypothèses'!B21</x:f>
        <x:v>0</x:v>
      </x:c>
      <x:c r="H16" s="462" t="n">
        <x:f>-H8*'Hypothèses'!B21</x:f>
        <x:v>0</x:v>
      </x:c>
      <x:c r="I16" s="462" t="n">
        <x:f>-I8*'Hypothèses'!B21</x:f>
        <x:v>0</x:v>
      </x:c>
      <x:c r="J16" s="462" t="n">
        <x:f>-J8*'Hypothèses'!B21</x:f>
        <x:v>0</x:v>
      </x:c>
      <x:c r="K16" s="462" t="n">
        <x:f>-K8*'Hypothèses'!B21</x:f>
        <x:v>0</x:v>
      </x:c>
      <x:c r="L16" s="462" t="n">
        <x:f>-L8*'Hypothèses'!B21</x:f>
        <x:v>0</x:v>
      </x:c>
      <x:c r="M16" s="462" t="n">
        <x:f>-M8*'Hypothèses'!B21</x:f>
        <x:v>0</x:v>
      </x:c>
      <x:c r="N16" s="462" t="n">
        <x:f>-N8*'Hypothèses'!B21</x:f>
        <x:v>0</x:v>
      </x:c>
      <x:c r="O16" s="462" t="n">
        <x:f>-O8*'Hypothèses'!B21</x:f>
        <x:v>0</x:v>
      </x:c>
      <x:c r="P16" s="462" t="n">
        <x:f>-P8*'Hypothèses'!B21</x:f>
        <x:v>0</x:v>
      </x:c>
      <x:c r="Q16" s="462" t="n">
        <x:f>-Q8*'Hypothèses'!B21</x:f>
        <x:v>0</x:v>
      </x:c>
      <x:c r="R16" s="462" t="n">
        <x:f>-R8*'Hypothèses'!B21</x:f>
        <x:v>0</x:v>
      </x:c>
      <x:c r="S16" s="462" t="n">
        <x:f>-S8*'Hypothèses'!B21</x:f>
        <x:v>0</x:v>
      </x:c>
      <x:c r="T16" s="462" t="n">
        <x:f>-T8*'Hypothèses'!B21</x:f>
        <x:v>0</x:v>
      </x:c>
      <x:c r="U16" s="462" t="n">
        <x:f>-U8*'Hypothèses'!B21</x:f>
        <x:v>0</x:v>
      </x:c>
      <x:c r="V16" s="462" t="n">
        <x:f>-V8*'Hypothèses'!B21</x:f>
        <x:v>0</x:v>
      </x:c>
      <x:c r="W16" s="462" t="n">
        <x:f>-W8*'Hypothèses'!B21</x:f>
        <x:v>0</x:v>
      </x:c>
      <x:c r="X16" s="462" t="n">
        <x:f>-X8*'Hypothèses'!B21</x:f>
        <x:v>0</x:v>
      </x:c>
      <x:c r="Y16" s="462" t="n">
        <x:f>-Y8*'Hypothèses'!B21</x:f>
        <x:v>0</x:v>
      </x:c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289" t="inlineStr">
        <x:is>
          <x:t xml:space="preserve">Cash net avant réserve et OPEX</x:t>
        </x:is>
      </x:c>
      <x:c r="B17" s="464" t="n">
        <x:f>SUM(B8:B16)</x:f>
        <x:v>1043178.625</x:v>
      </x:c>
      <x:c r="C17" s="464" t="n">
        <x:f>SUM(C8:C16)</x:f>
        <x:v>1934891.88375</x:v>
      </x:c>
      <x:c r="D17" s="464" t="n">
        <x:f>SUM(D8:D16)</x:f>
        <x:v>2990053.8332625004</x:v>
      </x:c>
      <x:c r="E17" s="464" t="n">
        <x:f>SUM(E8:E16)</x:f>
        <x:v>4087983.981650375</x:v>
      </x:c>
      <x:c r="F17" s="464" t="n">
        <x:f>SUM(F8:F16)</x:f>
        <x:v>5195750.815779586</x:v>
      </x:c>
      <x:c r="G17" s="464" t="n">
        <x:f>SUM(G8:G16)</x:f>
        <x:v>6723051.537629305</x:v>
      </x:c>
      <x:c r="H17" s="464" t="n">
        <x:f>SUM(H8:H16)</x:f>
        <x:v>8357195.05365474</x:v>
      </x:c>
      <x:c r="I17" s="464" t="n">
        <x:f>SUM(I8:I16)</x:f>
        <x:v>10433183.86234059</x:v>
      </x:c>
      <x:c r="J17" s="464" t="n">
        <x:f>SUM(J8:J16)</x:f>
        <x:v>12621147.088338336</x:v>
      </x:c>
      <x:c r="K17" s="464" t="n">
        <x:f>SUM(K8:K16)</x:f>
        <x:v>14834864.430317817</x:v>
      </x:c>
      <x:c r="L17" s="464" t="n">
        <x:f>SUM(L8:L16)</x:f>
        <x:v>17054505.2189731</x:v>
      </x:c>
      <x:c r="M17" s="464" t="n">
        <x:f>SUM(M8:M16)</x:f>
        <x:v>19275508.400363814</x:v>
      </x:c>
      <x:c r="N17" s="464" t="n">
        <x:f>SUM(N8:N16)</x:f>
        <x:v>21496824.93208368</x:v>
      </x:c>
      <x:c r="O17" s="464" t="n">
        <x:f>SUM(O8:O16)</x:f>
        <x:v>24135484.98437925</x:v>
      </x:c>
      <x:c r="P17" s="464" t="n">
        <x:f>SUM(P8:P16)</x:f>
        <x:v>26880484.04640723</x:v>
      </x:c>
      <x:c r="Q17" s="464" t="n">
        <x:f>SUM(Q8:Q16)</x:f>
        <x:v>29649941.080673665</x:v>
      </x:c>
      <x:c r="R17" s="464" t="n">
        <x:f>SUM(R8:R16)</x:f>
        <x:v>32425023.448554944</x:v>
      </x:c>
      <x:c r="S17" s="464" t="n">
        <x:f>SUM(S8:S16)</x:f>
        <x:v>35201399.64316764</x:v>
      </x:c>
      <x:c r="T17" s="464" t="n">
        <x:f>SUM(T8:T16)</x:f>
        <x:v>37978073.417928554</x:v>
      </x:c>
      <x:c r="U17" s="464" t="n">
        <x:f>SUM(U8:U16)</x:f>
        <x:v>40754815.63612357</x:v>
      </x:c>
      <x:c r="V17" s="464" t="n">
        <x:f>SUM(V8:V16)</x:f>
        <x:v>43531573.59630842</x:v>
      </x:c>
      <x:c r="W17" s="464" t="n">
        <x:f>SUM(W8:W16)</x:f>
        <x:v>46308335.177150935</x:v>
      </x:c>
      <x:c r="X17" s="464" t="n">
        <x:f>SUM(X8:X16)</x:f>
        <x:v>49085097.59074471</x:v>
      </x:c>
      <x:c r="Y17" s="464" t="n">
        <x:f>SUM(Y8:Y16)</x:f>
        <x:v>53948217.445871286</x:v>
      </x:c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61" t="inlineStr">
        <x:is>
          <x:t xml:space="preserve">Transfert vers réserve</x:t>
        </x:is>
      </x:c>
      <x:c r="B18" s="462" t="n">
        <x:f>MAX(0,(B8+B9+B10+B11)*'Hypothèses'!B23)</x:f>
        <x:v>414191.26875</x:v>
      </x:c>
      <x:c r="C18" s="462" t="n">
        <x:f>MAX(0,(C8+C9+C10+C11)*'Hypothèses'!B23)</x:f>
        <x:v>757970.0218125</x:v>
      </x:c>
      <x:c r="D18" s="462" t="n">
        <x:f>MAX(0,(D8+D9+D10+D11)*'Hypothèses'!B23)</x:f>
        <x:v>1168392.150016875</x:v>
      </x:c>
      <x:c r="E18" s="462" t="n">
        <x:f>MAX(0,(E8+E9+E10+E11)*'Hypothèses'!B23)</x:f>
        <x:v>1594142.254503881</x:v>
      </x:c>
      <x:c r="F18" s="462" t="n">
        <x:f>MAX(0,(F8+F9+F10+F11)*'Hypothèses'!B23)</x:f>
        <x:v>2023417.7935358926</x:v>
      </x:c>
      <x:c r="G18" s="462" t="n">
        <x:f>MAX(0,(G8+G9+G10+G11)*'Hypothèses'!B23)</x:f>
        <x:v>2619180.6900132555</x:v>
      </x:c>
      <x:c r="H18" s="462" t="n">
        <x:f>MAX(0,(H8+H9+H10+H11)*'Hypothèses'!B23)</x:f>
        <x:v>3253235.6787030483</x:v>
      </x:c>
      <x:c r="I18" s="462" t="n">
        <x:f>MAX(0,(I8+I9+I10+I11)*'Hypothèses'!B23)</x:f>
        <x:v>4061774.356101701</x:v>
      </x:c>
      <x:c r="J18" s="462" t="n">
        <x:f>MAX(0,(J8+J9+J10+J11)*'Hypothèses'!B23)</x:f>
        <x:v>4910444.281903391</x:v>
      </x:c>
      <x:c r="K18" s="462" t="n">
        <x:f>MAX(0,(K8+K9+K10+K11)*'Hypothèses'!B23)</x:f>
        <x:v>5768344.39483778</x:v>
      </x:c>
      <x:c r="L18" s="462" t="n">
        <x:f>MAX(0,(L8+L9+L10+L11)*'Hypothèses'!B23)</x:f>
        <x:v>6628367.450812688</x:v>
      </x:c>
      <x:c r="M18" s="462" t="n">
        <x:f>MAX(0,(M8+M9+M10+M11)*'Hypothèses'!B23)</x:f>
        <x:v>7488878.783686918</x:v>
      </x:c>
      <x:c r="N18" s="462" t="n">
        <x:f>MAX(0,(N8+N9+N10+N11)*'Hypothèses'!B23)</x:f>
        <x:v>8349502.420247992</x:v>
      </x:c>
      <x:c r="O18" s="462" t="n">
        <x:f>MAX(0,(O8+O9+O10+O11)*'Hypothèses'!B23)</x:f>
        <x:v>9375828.394157039</x:v>
      </x:c>
      <x:c r="P18" s="462" t="n">
        <x:f>MAX(0,(P8+P9+P10+P11)*'Hypothèses'!B23)</x:f>
        <x:v>10440265.90565612</x:v>
      </x:c>
      <x:c r="Q18" s="462" t="n">
        <x:f>MAX(0,(Q8+Q9+Q10+Q11)*'Hypothèses'!B23)</x:f>
        <x:v>11513469.07080091</x:v>
      </x:c>
      <x:c r="R18" s="462" t="n">
        <x:f>MAX(0,(R8+R9+R10+R11)*'Hypothèses'!B23)</x:f>
        <x:v>12588688.336284207</x:v>
      </x:c>
      <x:c r="S18" s="462" t="n">
        <x:f>MAX(0,(S8+S9+S10+S11)*'Hypothèses'!B23)</x:f>
        <x:v>13664371.304845368</x:v>
      </x:c>
      <x:c r="T18" s="462" t="n">
        <x:f>MAX(0,(T8+T9+T10+T11)*'Hypothèses'!B23)</x:f>
        <x:v>14740160.925114432</x:v>
      </x:c>
      <x:c r="U18" s="462" t="n">
        <x:f>MAX(0,(U8+U9+U10+U11)*'Hypothèses'!B23)</x:f>
        <x:v>15815975.075276319</x:v>
      </x:c>
      <x:c r="V18" s="462" t="n">
        <x:f>MAX(0,(V8+V9+V10+V11)*'Hypothèses'!B23)</x:f>
        <x:v>16891794.867313553</x:v>
      </x:c>
      <x:c r="W18" s="462" t="n">
        <x:f>MAX(0,(W8+W9+W10+W11)*'Hypothèses'!B23)</x:f>
        <x:v>17967615.956982113</x:v>
      </x:c>
      <x:c r="X18" s="462" t="n">
        <x:f>MAX(0,(X8+X9+X10+X11)*'Hypothèses'!B23)</x:f>
        <x:v>19043437.345105886</x:v>
      </x:c>
      <x:c r="Y18" s="462" t="n">
        <x:f>MAX(0,(Y8+Y9+Y10+Y11)*'Hypothèses'!B23)</x:f>
        <x:v>20947641.339374352</x:v>
      </x:c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61" t="inlineStr">
        <x:is>
          <x:t xml:space="preserve">OPEX fixe</x:t>
        </x:is>
      </x:c>
      <x:c r="B19" s="462" t="n">
        <x:f>-'Hypothèses'!B24</x:f>
        <x:v>-900000</x:v>
      </x:c>
      <x:c r="C19" s="462" t="n">
        <x:f>-'Hypothèses'!B24</x:f>
        <x:v>-900000</x:v>
      </x:c>
      <x:c r="D19" s="462" t="n">
        <x:f>-'Hypothèses'!B24</x:f>
        <x:v>-900000</x:v>
      </x:c>
      <x:c r="E19" s="462" t="n">
        <x:f>-'Hypothèses'!B24</x:f>
        <x:v>-900000</x:v>
      </x:c>
      <x:c r="F19" s="462" t="n">
        <x:f>-'Hypothèses'!B24</x:f>
        <x:v>-900000</x:v>
      </x:c>
      <x:c r="G19" s="462" t="n">
        <x:f>-'Hypothèses'!B24</x:f>
        <x:v>-900000</x:v>
      </x:c>
      <x:c r="H19" s="462" t="n">
        <x:f>-'Hypothèses'!B24</x:f>
        <x:v>-900000</x:v>
      </x:c>
      <x:c r="I19" s="462" t="n">
        <x:f>-'Hypothèses'!B24</x:f>
        <x:v>-900000</x:v>
      </x:c>
      <x:c r="J19" s="462" t="n">
        <x:f>-'Hypothèses'!B24</x:f>
        <x:v>-900000</x:v>
      </x:c>
      <x:c r="K19" s="462" t="n">
        <x:f>-'Hypothèses'!B24</x:f>
        <x:v>-900000</x:v>
      </x:c>
      <x:c r="L19" s="462" t="n">
        <x:f>-'Hypothèses'!B24</x:f>
        <x:v>-900000</x:v>
      </x:c>
      <x:c r="M19" s="462" t="n">
        <x:f>-'Hypothèses'!B24</x:f>
        <x:v>-900000</x:v>
      </x:c>
      <x:c r="N19" s="462" t="n">
        <x:f>-'Hypothèses'!B24</x:f>
        <x:v>-900000</x:v>
      </x:c>
      <x:c r="O19" s="462" t="n">
        <x:f>-'Hypothèses'!B24</x:f>
        <x:v>-900000</x:v>
      </x:c>
      <x:c r="P19" s="462" t="n">
        <x:f>-'Hypothèses'!B24</x:f>
        <x:v>-900000</x:v>
      </x:c>
      <x:c r="Q19" s="462" t="n">
        <x:f>-'Hypothèses'!B24</x:f>
        <x:v>-900000</x:v>
      </x:c>
      <x:c r="R19" s="462" t="n">
        <x:f>-'Hypothèses'!B24</x:f>
        <x:v>-900000</x:v>
      </x:c>
      <x:c r="S19" s="462" t="n">
        <x:f>-'Hypothèses'!B24</x:f>
        <x:v>-900000</x:v>
      </x:c>
      <x:c r="T19" s="462" t="n">
        <x:f>-'Hypothèses'!B24</x:f>
        <x:v>-900000</x:v>
      </x:c>
      <x:c r="U19" s="462" t="n">
        <x:f>-'Hypothèses'!B24</x:f>
        <x:v>-900000</x:v>
      </x:c>
      <x:c r="V19" s="462" t="n">
        <x:f>-'Hypothèses'!B24</x:f>
        <x:v>-900000</x:v>
      </x:c>
      <x:c r="W19" s="462" t="n">
        <x:f>-'Hypothèses'!B24</x:f>
        <x:v>-900000</x:v>
      </x:c>
      <x:c r="X19" s="462" t="n">
        <x:f>-'Hypothèses'!B24</x:f>
        <x:v>-900000</x:v>
      </x:c>
      <x:c r="Y19" s="462" t="n">
        <x:f>-'Hypothèses'!B24</x:f>
        <x:v>-900000</x:v>
      </x:c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289" t="inlineStr">
        <x:is>
          <x:t xml:space="preserve">Cash-flow exploitation</x:t>
        </x:is>
      </x:c>
      <x:c r="B20" s="464" t="n">
        <x:f>B17-B18+B19</x:f>
        <x:v>-271012.64375000005</x:v>
      </x:c>
      <x:c r="C20" s="464" t="n">
        <x:f>C17-C18+C19</x:f>
        <x:v>276921.86193750007</x:v>
      </x:c>
      <x:c r="D20" s="464" t="n">
        <x:f>D17-D18+D19</x:f>
        <x:v>921661.6832456253</x:v>
      </x:c>
      <x:c r="E20" s="464" t="n">
        <x:f>E17-E18+E19</x:f>
        <x:v>1593841.7271464937</x:v>
      </x:c>
      <x:c r="F20" s="464" t="n">
        <x:f>F17-F18+F19</x:f>
        <x:v>2272333.0222436935</x:v>
      </x:c>
      <x:c r="G20" s="464" t="n">
        <x:f>G17-G18+G19</x:f>
        <x:v>3203870.84761605</x:v>
      </x:c>
      <x:c r="H20" s="464" t="n">
        <x:f>H17-H18+H19</x:f>
        <x:v>4203959.374951691</x:v>
      </x:c>
      <x:c r="I20" s="464" t="n">
        <x:f>I17-I18+I19</x:f>
        <x:v>5471409.506238889</x:v>
      </x:c>
      <x:c r="J20" s="464" t="n">
        <x:f>J17-J18+J19</x:f>
        <x:v>6810702.806434945</x:v>
      </x:c>
      <x:c r="K20" s="464" t="n">
        <x:f>K17-K18+K19</x:f>
        <x:v>8166520.035480037</x:v>
      </x:c>
      <x:c r="L20" s="464" t="n">
        <x:f>L17-L18+L19</x:f>
        <x:v>9526137.768160412</x:v>
      </x:c>
      <x:c r="M20" s="464" t="n">
        <x:f>M17-M18+M19</x:f>
        <x:v>10886629.616676897</x:v>
      </x:c>
      <x:c r="N20" s="464" t="n">
        <x:f>N17-N18+N19</x:f>
        <x:v>12247322.51183569</x:v>
      </x:c>
      <x:c r="O20" s="464" t="n">
        <x:f>O17-O18+O19</x:f>
        <x:v>13859656.590222212</x:v>
      </x:c>
      <x:c r="P20" s="464" t="n">
        <x:f>P17-P18+P19</x:f>
        <x:v>15540218.14075111</x:v>
      </x:c>
      <x:c r="Q20" s="464" t="n">
        <x:f>Q17-Q18+Q19</x:f>
        <x:v>17236472.009872757</x:v>
      </x:c>
      <x:c r="R20" s="464" t="n">
        <x:f>R17-R18+R19</x:f>
        <x:v>18936335.112270735</x:v>
      </x:c>
      <x:c r="S20" s="464" t="n">
        <x:f>S17-S18+S19</x:f>
        <x:v>20637028.338322267</x:v>
      </x:c>
      <x:c r="T20" s="464" t="n">
        <x:f>T17-T18+T19</x:f>
        <x:v>22337912.492814124</x:v>
      </x:c>
      <x:c r="U20" s="464" t="n">
        <x:f>U17-U18+U19</x:f>
        <x:v>24038840.56084725</x:v>
      </x:c>
      <x:c r="V20" s="464" t="n">
        <x:f>V17-V18+V19</x:f>
        <x:v>25739778.728994865</x:v>
      </x:c>
      <x:c r="W20" s="464" t="n">
        <x:f>W17-W18+W19</x:f>
        <x:v>27440719.22016882</x:v>
      </x:c>
      <x:c r="X20" s="464" t="n">
        <x:f>X17-X18+X19</x:f>
        <x:v>29141660.245638825</x:v>
      </x:c>
      <x:c r="Y20" s="464" t="n">
        <x:f>Y17-Y18+Y19</x:f>
        <x:v>32100576.106496934</x:v>
      </x:c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61" t="inlineStr">
        <x:is>
          <x:t xml:space="preserve">Payout #1</x:t>
        </x:is>
      </x:c>
      <x:c r="B21" s="462" t="n">
        <x:v>0</x:v>
      </x:c>
      <x:c r="C21" s="462" t="n">
        <x:v>0</x:v>
      </x:c>
      <x:c r="D21" s="462" t="n">
        <x:f>-B7*'Économie Unitaire'!F22</x:f>
        <x:v>-149619.81562499996</x:v>
      </x:c>
      <x:c r="E21" s="462" t="n">
        <x:f>-C7*'Économie Unitaire'!F22</x:f>
        <x:v>-273804.2625937499</x:v>
      </x:c>
      <x:c r="F21" s="462" t="n">
        <x:f>-D7*'Économie Unitaire'!F22</x:f>
        <x:v>-422062.5378965624</x:v>
      </x:c>
      <x:c r="G21" s="462" t="n">
        <x:f>-E7*'Économie Unitaire'!F22</x:f>
        <x:v>-575857.7937162092</x:v>
      </x:c>
      <x:c r="H21" s="462" t="n">
        <x:f>-F7*'Économie Unitaire'!F22</x:f>
        <x:v>-730926.5550547279</x:v>
      </x:c>
      <x:c r="I21" s="462" t="n">
        <x:f>-G7*'Économie Unitaire'!F22</x:f>
        <x:v>-946136.1489125872</x:v>
      </x:c>
      <x:c r="J21" s="462" t="n">
        <x:f>-H7*'Économie Unitaire'!F22</x:f>
        <x:v>-1175178.1342498946</x:v>
      </x:c>
      <x:c r="K21" s="462" t="n">
        <x:f>-I7*'Économie Unitaire'!F22</x:f>
        <x:v>-1467249.4958774755</x:v>
      </x:c>
      <x:c r="L21" s="462" t="n">
        <x:f>-J7*'Économie Unitaire'!F22</x:f>
        <x:v>-1773817.6140518188</x:v>
      </x:c>
      <x:c r="M21" s="462" t="n">
        <x:f>-K7*'Économie Unitaire'!F22</x:f>
        <x:v>-2083719.986231918</x:v>
      </x:c>
      <x:c r="N21" s="462" t="n">
        <x:f>-L7*'Économie Unitaire'!F22</x:f>
        <x:v>-2394389.2368333405</x:v>
      </x:c>
      <x:c r="O21" s="462" t="n">
        <x:f>-M7*'Économie Unitaire'!F22</x:f>
        <x:v>-2705234.869471668</x:v>
      </x:c>
      <x:c r="P21" s="462" t="n">
        <x:f>-N7*'Économie Unitaire'!F22</x:f>
        <x:v>-3016121.069978483</x:v>
      </x:c>
      <x:c r="Q21" s="462" t="n">
        <x:f>-O7*'Économie Unitaire'!F22</x:f>
        <x:v>-3386864.5273450506</x:v>
      </x:c>
      <x:c r="R21" s="462" t="n">
        <x:f>-P7*'Économie Unitaire'!F22</x:f>
        <x:v>-3771375.1537893605</x:v>
      </x:c>
      <x:c r="S21" s="462" t="n">
        <x:f>-Q7*'Économie Unitaire'!F22</x:f>
        <x:v>-4159052.2291215523</x:v>
      </x:c>
      <x:c r="T21" s="462" t="n">
        <x:f>-R7*'Économie Unitaire'!F22</x:f>
        <x:v>-4547457.587697956</x:v>
      </x:c>
      <x:c r="U21" s="462" t="n">
        <x:f>-S7*'Économie Unitaire'!F22</x:f>
        <x:v>-4936030.451420528</x:v>
      </x:c>
      <x:c r="V21" s="462" t="n">
        <x:f>-T7*'Économie Unitaire'!F22</x:f>
        <x:v>-5324641.841326721</x:v>
      </x:c>
      <x:c r="W21" s="462" t="n">
        <x:f>-U7*'Économie Unitaire'!F22</x:f>
        <x:v>-5713262.092255144</x:v>
      </x:c>
      <x:c r="X21" s="462" t="n">
        <x:f>-V7*'Économie Unitaire'!F22</x:f>
        <x:v>-6101884.381218682</x:v>
      </x:c>
      <x:c r="Y21" s="462" t="n">
        <x:f>-W7*'Économie Unitaire'!F22</x:f>
        <x:v>-6490507.138930295</x:v>
      </x:c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inlineStr">
        <x:is>
          <x:t xml:space="preserve">Payout #2</x:t>
        </x:is>
      </x:c>
      <x:c r="B22" s="462" t="n">
        <x:v>0</x:v>
      </x:c>
      <x:c r="C22" s="462" t="n">
        <x:v>0</x:v>
      </x:c>
      <x:c r="D22" s="462" t="n">
        <x:v>0</x:v>
      </x:c>
      <x:c r="E22" s="462" t="n">
        <x:f>-B7*'Économie Unitaire'!F23</x:f>
        <x:v>-119237.83265624997</x:v>
      </x:c>
      <x:c r="F22" s="462" t="n">
        <x:f>-C7*'Économie Unitaire'!F23</x:f>
        <x:v>-218205.23376093747</x:v>
      </x:c>
      <x:c r="G22" s="462" t="n">
        <x:f>-D7*'Économie Unitaire'!F23</x:f>
        <x:v>-336358.0021400156</x:v>
      </x:c>
      <x:c r="H22" s="462" t="n">
        <x:f>-E7*'Économie Unitaire'!F23</x:f>
        <x:v>-458923.40499220346</x:v>
      </x:c>
      <x:c r="I22" s="462" t="n">
        <x:f>-F7*'Économie Unitaire'!F23</x:f>
        <x:v>-582503.7137732067</x:v>
      </x:c>
      <x:c r="J22" s="462" t="n">
        <x:f>-G7*'Économie Unitaire'!F23</x:f>
        <x:v>-754012.5839803375</x:v>
      </x:c>
      <x:c r="K22" s="462" t="n">
        <x:f>-H7*'Économie Unitaire'!F23</x:f>
        <x:v>-936545.0233154774</x:v>
      </x:c>
      <x:c r="L22" s="462" t="n">
        <x:f>-I7*'Économie Unitaire'!F23</x:f>
        <x:v>-1169308.0166125596</x:v>
      </x:c>
      <x:c r="M22" s="462" t="n">
        <x:f>-J7*'Économie Unitaire'!F23</x:f>
        <x:v>-1413624.0373208884</x:v>
      </x:c>
      <x:c r="N22" s="462" t="n">
        <x:f>-K7*'Économie Unitaire'!F23</x:f>
        <x:v>-1660597.2543338041</x:v>
      </x:c>
      <x:c r="O22" s="462" t="n">
        <x:f>-L7*'Économie Unitaire'!F23</x:f>
        <x:v>-1908181.6264967746</x:v>
      </x:c>
      <x:c r="P22" s="462" t="n">
        <x:f>-M7*'Économie Unitaire'!F23</x:f>
        <x:v>-2155906.564344258</x:v>
      </x:c>
      <x:c r="Q22" s="462" t="n">
        <x:f>-N7*'Économie Unitaire'!F23</x:f>
        <x:v>-2403663.832299179</x:v>
      </x:c>
      <x:c r="R22" s="462" t="n">
        <x:f>-O7*'Économie Unitaire'!F23</x:f>
        <x:v>-2699123.669241311</x:v>
      </x:c>
      <x:c r="S22" s="462" t="n">
        <x:f>-P7*'Économie Unitaire'!F23</x:f>
        <x:v>-3005555.097050501</x:v>
      </x:c>
      <x:c r="T22" s="462" t="n">
        <x:f>-Q7*'Économie Unitaire'!F23</x:f>
        <x:v>-3314509.9907591147</x:v>
      </x:c>
      <x:c r="U22" s="462" t="n">
        <x:f>-R7*'Économie Unitaire'!F23</x:f>
        <x:v>-3624045.2816245956</x:v>
      </x:c>
      <x:c r="V22" s="462" t="n">
        <x:f>-S7*'Économie Unitaire'!F23</x:f>
        <x:v>-3933714.063836156</x:v>
      </x:c>
      <x:c r="W22" s="462" t="n">
        <x:f>-T7*'Économie Unitaire'!F23</x:f>
        <x:v>-4243413.549057315</x:v>
      </x:c>
      <x:c r="X22" s="462" t="n">
        <x:f>-U7*'Économie Unitaire'!F23</x:f>
        <x:v>-4553120.095970682</x:v>
      </x:c>
      <x:c r="Y22" s="462" t="n">
        <x:f>-V7*'Économie Unitaire'!F23</x:f>
        <x:v>-4862828.267073256</x:v>
      </x:c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inlineStr">
        <x:is>
          <x:t xml:space="preserve">Payout #3</x:t>
        </x:is>
      </x:c>
      <x:c r="B23" s="462" t="n">
        <x:v>0</x:v>
      </x:c>
      <x:c r="C23" s="462" t="n">
        <x:v>0</x:v>
      </x:c>
      <x:c r="D23" s="462" t="n">
        <x:v>0</x:v>
      </x:c>
      <x:c r="E23" s="462" t="n">
        <x:v>0</x:v>
      </x:c>
      <x:c r="F23" s="462" t="n">
        <x:f>-B7*'Économie Unitaire'!F24</x:f>
        <x:v>-78932.08640624999</x:v>
      </x:c>
      <x:c r="G23" s="462" t="n">
        <x:f>-C7*'Économie Unitaire'!F24</x:f>
        <x:v>-144445.7181234375</x:v>
      </x:c>
      <x:c r="H23" s="462" t="n">
        <x:f>-D7*'Économie Unitaire'!F24</x:f>
        <x:v>-222659.52254339063</x:v>
      </x:c>
      <x:c r="I23" s="462" t="n">
        <x:f>-E7*'Économie Unitaire'!F24</x:f>
        <x:v>-303794.3666849798</x:v>
      </x:c>
      <x:c r="J23" s="462" t="n">
        <x:f>-F7*'Économie Unitaire'!F24</x:f>
        <x:v>-385601.04996254534</x:v>
      </x:c>
      <x:c r="K23" s="462" t="n">
        <x:f>-G7*'Économie Unitaire'!F24</x:f>
        <x:v>-499135.0908038854</x:v>
      </x:c>
      <x:c r="L23" s="462" t="n">
        <x:f>-H7*'Économie Unitaire'!F24</x:f>
        <x:v>-619966.4238848935</x:v>
      </x:c>
      <x:c r="M23" s="462" t="n">
        <x:f>-I7*'Économie Unitaire'!F24</x:f>
        <x:v>-774048.9687435254</x:v>
      </x:c>
      <x:c r="N23" s="462" t="n">
        <x:f>-J7*'Économie Unitaire'!F24</x:f>
        <x:v>-935779.2923110108</x:v>
      </x:c>
      <x:c r="O23" s="462" t="n">
        <x:f>-K7*'Économie Unitaire'!F24</x:f>
        <x:v>-1099268.6049815326</x:v>
      </x:c>
      <x:c r="P23" s="462" t="n">
        <x:f>-L7*'Économie Unitaire'!F24</x:f>
        <x:v>-1263162.4851457523</x:v>
      </x:c>
      <x:c r="Q23" s="462" t="n">
        <x:f>-M7*'Économie Unitaire'!F24</x:f>
        <x:v>-1427149.415833523</x:v>
      </x:c>
      <x:c r="R23" s="462" t="n">
        <x:f>-N7*'Économie Unitaire'!F24</x:f>
        <x:v>-1591157.7481417102</x:v>
      </x:c>
      <x:c r="S23" s="462" t="n">
        <x:f>-O7*'Économie Unitaire'!F24</x:f>
        <x:v>-1786743.8373850933</x:v>
      </x:c>
      <x:c r="T23" s="462" t="n">
        <x:f>-P7*'Économie Unitaire'!F24</x:f>
        <x:v>-1989592.8107235713</x:v>
      </x:c>
      <x:c r="U23" s="462" t="n">
        <x:f>-Q7*'Économie Unitaire'!F24</x:f>
        <x:v>-2194112.2474039216</x:v>
      </x:c>
      <x:c r="V23" s="462" t="n">
        <x:f>-R7*'Économie Unitaire'!F24</x:f>
        <x:v>-2399015.8906529015</x:v>
      </x:c>
      <x:c r="W23" s="462" t="n">
        <x:f>-S7*'Économie Unitaire'!F24</x:f>
        <x:v>-2604007.9014126672</x:v>
      </x:c>
      <x:c r="X23" s="462" t="n">
        <x:f>-T7*'Économie Unitaire'!F24</x:f>
        <x:v>-2809020.2366999136</x:v>
      </x:c>
      <x:c r="Y23" s="462" t="n">
        <x:f>-U7*'Économie Unitaire'!F24</x:f>
        <x:v>-3014037.24662848</x:v>
      </x:c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inlineStr">
        <x:is>
          <x:t xml:space="preserve">Payout #4</x:t>
        </x:is>
      </x:c>
      <x:c r="B24" s="462" t="n">
        <x:v>0</x:v>
      </x:c>
      <x:c r="C24" s="462" t="n">
        <x:v>0</x:v>
      </x:c>
      <x:c r="D24" s="462" t="n">
        <x:v>0</x:v>
      </x:c>
      <x:c r="E24" s="462" t="n">
        <x:v>0</x:v>
      </x:c>
      <x:c r="F24" s="462" t="n">
        <x:v>0</x:v>
      </x:c>
      <x:c r="G24" s="462" t="n">
        <x:f>-B7*'Économie Unitaire'!F25</x:f>
        <x:v>-49500.49461328125</x:v>
      </x:c>
      <x:c r="H24" s="462" t="n">
        <x:f>-C7*'Économie Unitaire'!F25</x:f>
        <x:v>-90585.90514230469</x:v>
      </x:c>
      <x:c r="I24" s="462" t="n">
        <x:f>-D7*'Économie Unitaire'!F25</x:f>
        <x:v>-139635.9452546051</x:v>
      </x:c>
      <x:c r="J24" s="462" t="n">
        <x:f>-E7*'Économie Unitaire'!F25</x:f>
        <x:v>-190517.85017105917</x:v>
      </x:c>
      <x:c r="K24" s="462" t="n">
        <x:f>-F7*'Économie Unitaire'!F25</x:f>
        <x:v>-241821.0839924686</x:v>
      </x:c>
      <x:c r="L24" s="462" t="n">
        <x:f>-G7*'Économie Unitaire'!F25</x:f>
        <x:v>-313021.4213073303</x:v>
      </x:c>
      <x:c r="M24" s="462" t="n">
        <x:f>-H7*'Économie Unitaire'!F25</x:f>
        <x:v>-388798.09242568596</x:v>
      </x:c>
      <x:c r="N24" s="462" t="n">
        <x:f>-I7*'Économie Unitaire'!F25</x:f>
        <x:v>-485427.51816415775</x:v>
      </x:c>
      <x:c r="O24" s="462" t="n">
        <x:f>-J7*'Économie Unitaire'!F25</x:f>
        <x:v>-586853.0774652562</x:v>
      </x:c>
      <x:c r="P24" s="462" t="n">
        <x:f>-K7*'Économie Unitaire'!F25</x:f>
        <x:v>-689381.747485759</x:v>
      </x:c>
      <x:c r="Q24" s="462" t="n">
        <x:f>-L7*'Économie Unitaire'!F25</x:f>
        <x:v>-792164.1329717246</x:v>
      </x:c>
      <x:c r="R24" s="462" t="n">
        <x:f>-M7*'Économie Unitaire'!F25</x:f>
        <x:v>-895004.8730147467</x:v>
      </x:c>
      <x:c r="S24" s="462" t="n">
        <x:f>-N7*'Économie Unitaire'!F25</x:f>
        <x:v>-997859.0346058918</x:v>
      </x:c>
      <x:c r="T24" s="462" t="n">
        <x:f>-O7*'Économie Unitaire'!F25</x:f>
        <x:v>-1120516.4809984176</x:v>
      </x:c>
      <x:c r="U24" s="462" t="n">
        <x:f>-P7*'Économie Unitaire'!F25</x:f>
        <x:v>-1247728.682895261</x:v>
      </x:c>
      <x:c r="V24" s="462" t="n">
        <x:f>-Q7*'Économie Unitaire'!F25</x:f>
        <x:v>-1375988.4785580977</x:v>
      </x:c>
      <x:c r="W24" s="462" t="n">
        <x:f>-R7*'Économie Unitaire'!F25</x:f>
        <x:v>-1504489.2207871124</x:v>
      </x:c>
      <x:c r="X24" s="462" t="n">
        <x:f>-S7*'Économie Unitaire'!F25</x:f>
        <x:v>-1633045.3807263484</x:v>
      </x:c>
      <x:c r="Y24" s="462" t="n">
        <x:f>-T7*'Économie Unitaire'!F25</x:f>
        <x:v>-1761614.2867389352</x:v>
      </x:c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inlineStr">
        <x:is>
          <x:t xml:space="preserve">Payout #5</x:t>
        </x:is>
      </x:c>
      <x:c r="B25" s="462" t="n">
        <x:v>0</x:v>
      </x:c>
      <x:c r="C25" s="462" t="n">
        <x:v>0</x:v>
      </x:c>
      <x:c r="D25" s="462" t="n">
        <x:v>0</x:v>
      </x:c>
      <x:c r="E25" s="462" t="n">
        <x:v>0</x:v>
      </x:c>
      <x:c r="F25" s="462" t="n">
        <x:v>0</x:v>
      </x:c>
      <x:c r="G25" s="462" t="n">
        <x:v>0</x:v>
      </x:c>
      <x:c r="H25" s="462" t="n">
        <x:f>-B7*'Économie Unitaire'!F26</x:f>
        <x:v>-26886.303675</x:v>
      </x:c>
      <x:c r="I25" s="462" t="n">
        <x:f>-C7*'Économie Unitaire'!F26</x:f>
        <x:v>-49201.93572525</x:v>
      </x:c>
      <x:c r="J25" s="462" t="n">
        <x:f>-D7*'Économie Unitaire'!F26</x:f>
        <x:v>-75843.5740368075</x:v>
      </x:c>
      <x:c r="K25" s="462" t="n">
        <x:f>-E7*'Économie Unitaire'!F26</x:f>
        <x:v>-103480.19378846572</x:v>
      </x:c>
      <x:c r="L25" s="462" t="n">
        <x:f>-F7*'Économie Unitaire'!F26</x:f>
        <x:v>-131345.6592713471</x:v>
      </x:c>
      <x:c r="M25" s="462" t="n">
        <x:f>-G7*'Économie Unitaire'!F26</x:f>
        <x:v>-170018.28074240984</x:v>
      </x:c>
      <x:c r="N25" s="462" t="n">
        <x:f>-H7*'Économie Unitaire'!F26</x:f>
        <x:v>-211176.54809075425</x:v>
      </x:c>
      <x:c r="O25" s="462" t="n">
        <x:f>-I7*'Économie Unitaire'!F26</x:f>
        <x:v>-263661.03546087345</x:v>
      </x:c>
      <x:c r="P25" s="462" t="n">
        <x:f>-J7*'Économie Unitaire'!F26</x:f>
        <x:v>-318750.5534360009</x:v>
      </x:c>
      <x:c r="Q25" s="462" t="n">
        <x:f>-K7*'Économie Unitaire'!F26</x:f>
        <x:v>-374439.2284502802</x:v>
      </x:c>
      <x:c r="R25" s="462" t="n">
        <x:f>-L7*'Économie Unitaire'!F26</x:f>
        <x:v>-430265.7095835644</x:v>
      </x:c>
      <x:c r="S25" s="462" t="n">
        <x:f>-M7*'Économie Unitaire'!F26</x:f>
        <x:v>-486123.8861242198</x:v>
      </x:c>
      <x:c r="T25" s="462" t="n">
        <x:f>-N7*'Économie Unitaire'!F26</x:f>
        <x:v>-541989.3526085706</x:v>
      </x:c>
      <x:c r="U25" s="462" t="n">
        <x:f>-O7*'Économie Unitaire'!F26</x:f>
        <x:v>-608611.0172499713</x:v>
      </x:c>
      <x:c r="V25" s="462" t="n">
        <x:f>-P7*'Économie Unitaire'!F26</x:f>
        <x:v>-677706.6074674934</x:v>
      </x:c>
      <x:c r="W25" s="462" t="n">
        <x:f>-Q7*'Économie Unitaire'!F26</x:f>
        <x:v>-747371.2005675235</x:v>
      </x:c>
      <x:c r="X25" s="462" t="n">
        <x:f>-R7*'Économie Unitaire'!F26</x:f>
        <x:v>-817166.6643305303</x:v>
      </x:c>
      <x:c r="Y25" s="462" t="n">
        <x:f>-S7*'Économie Unitaire'!F26</x:f>
        <x:v>-886992.2283460218</x:v>
      </x:c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289" t="inlineStr">
        <x:is>
          <x:t xml:space="preserve">Payouts totaux</x:t>
        </x:is>
      </x:c>
      <x:c r="B26" s="464" t="n">
        <x:f>SUM(B21:B25)</x:f>
        <x:v>0</x:v>
      </x:c>
      <x:c r="C26" s="464" t="n">
        <x:f>SUM(C21:C25)</x:f>
        <x:v>0</x:v>
      </x:c>
      <x:c r="D26" s="464" t="n">
        <x:f>SUM(D21:D25)</x:f>
        <x:v>-149619.81562499996</x:v>
      </x:c>
      <x:c r="E26" s="464" t="n">
        <x:f>SUM(E21:E25)</x:f>
        <x:v>-393042.0952499999</x:v>
      </x:c>
      <x:c r="F26" s="464" t="n">
        <x:f>SUM(F21:F25)</x:f>
        <x:v>-719199.85806375</x:v>
      </x:c>
      <x:c r="G26" s="464" t="n">
        <x:f>SUM(G21:G25)</x:f>
        <x:v>-1106162.0085929434</x:v>
      </x:c>
      <x:c r="H26" s="464" t="n">
        <x:f>SUM(H21:H25)</x:f>
        <x:v>-1529981.6914076267</x:v>
      </x:c>
      <x:c r="I26" s="464" t="n">
        <x:f>SUM(I21:I25)</x:f>
        <x:v>-2021272.1103506288</x:v>
      </x:c>
      <x:c r="J26" s="464" t="n">
        <x:f>SUM(J21:J25)</x:f>
        <x:v>-2581153.192400644</x:v>
      </x:c>
      <x:c r="K26" s="464" t="n">
        <x:f>SUM(K21:K25)</x:f>
        <x:v>-3248230.8877777723</x:v>
      </x:c>
      <x:c r="L26" s="464" t="n">
        <x:f>SUM(L21:L25)</x:f>
        <x:v>-4007459.1351279495</x:v>
      </x:c>
      <x:c r="M26" s="464" t="n">
        <x:f>SUM(M21:M25)</x:f>
        <x:v>-4830209.3654644275</x:v>
      </x:c>
      <x:c r="N26" s="464" t="n">
        <x:f>SUM(N21:N25)</x:f>
        <x:v>-5687369.849733068</x:v>
      </x:c>
      <x:c r="O26" s="464" t="n">
        <x:f>SUM(O21:O25)</x:f>
        <x:v>-6563199.213876105</x:v>
      </x:c>
      <x:c r="P26" s="464" t="n">
        <x:f>SUM(P21:P25)</x:f>
        <x:v>-7443322.420390253</x:v>
      </x:c>
      <x:c r="Q26" s="464" t="n">
        <x:f>SUM(Q21:Q25)</x:f>
        <x:v>-8384281.136899757</x:v>
      </x:c>
      <x:c r="R26" s="464" t="n">
        <x:f>SUM(R21:R25)</x:f>
        <x:v>-9386927.15377069</x:v>
      </x:c>
      <x:c r="S26" s="464" t="n">
        <x:f>SUM(S21:S25)</x:f>
        <x:v>-10435334.08428726</x:v>
      </x:c>
      <x:c r="T26" s="464" t="n">
        <x:f>SUM(T21:T25)</x:f>
        <x:v>-11514066.22278763</x:v>
      </x:c>
      <x:c r="U26" s="464" t="n">
        <x:f>SUM(U21:U25)</x:f>
        <x:v>-12610527.680594278</x:v>
      </x:c>
      <x:c r="V26" s="464" t="n">
        <x:f>SUM(V21:V25)</x:f>
        <x:v>-13711066.881841367</x:v>
      </x:c>
      <x:c r="W26" s="464" t="n">
        <x:f>SUM(W21:W25)</x:f>
        <x:v>-14812543.964079762</x:v>
      </x:c>
      <x:c r="X26" s="464" t="n">
        <x:f>SUM(X21:X25)</x:f>
        <x:v>-15914236.758946158</x:v>
      </x:c>
      <x:c r="Y26" s="464" t="n">
        <x:f>SUM(Y21:Y25)</x:f>
        <x:v>-17015979.167716987</x:v>
      </x:c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289" t="inlineStr">
        <x:is>
          <x:t xml:space="preserve">Cash-flow réserve</x:t>
        </x:is>
      </x:c>
      <x:c r="B27" s="464" t="n">
        <x:f>B18+B26</x:f>
        <x:v>414191.26875</x:v>
      </x:c>
      <x:c r="C27" s="464" t="n">
        <x:f>C18+C26</x:f>
        <x:v>757970.0218125</x:v>
      </x:c>
      <x:c r="D27" s="464" t="n">
        <x:f>D18+D26</x:f>
        <x:v>1018772.3343918751</x:v>
      </x:c>
      <x:c r="E27" s="464" t="n">
        <x:f>E18+E26</x:f>
        <x:v>1201100.1592538813</x:v>
      </x:c>
      <x:c r="F27" s="464" t="n">
        <x:f>F18+F26</x:f>
        <x:v>1304217.9354721426</x:v>
      </x:c>
      <x:c r="G27" s="464" t="n">
        <x:f>G18+G26</x:f>
        <x:v>1513018.681420312</x:v>
      </x:c>
      <x:c r="H27" s="464" t="n">
        <x:f>H18+H26</x:f>
        <x:v>1723253.9872954215</x:v>
      </x:c>
      <x:c r="I27" s="464" t="n">
        <x:f>I18+I26</x:f>
        <x:v>2040502.2457510722</x:v>
      </x:c>
      <x:c r="J27" s="464" t="n">
        <x:f>J18+J26</x:f>
        <x:v>2329291.0895027467</x:v>
      </x:c>
      <x:c r="K27" s="464" t="n">
        <x:f>K18+K26</x:f>
        <x:v>2520113.5070600077</x:v>
      </x:c>
      <x:c r="L27" s="464" t="n">
        <x:f>L18+L26</x:f>
        <x:v>2620908.3156847386</x:v>
      </x:c>
      <x:c r="M27" s="464" t="n">
        <x:f>M18+M26</x:f>
        <x:v>2658669.4182224907</x:v>
      </x:c>
      <x:c r="N27" s="464" t="n">
        <x:f>N18+N26</x:f>
        <x:v>2662132.570514924</x:v>
      </x:c>
      <x:c r="O27" s="464" t="n">
        <x:f>O18+O26</x:f>
        <x:v>2812629.180280934</x:v>
      </x:c>
      <x:c r="P27" s="464" t="n">
        <x:f>P18+P26</x:f>
        <x:v>2996943.485265867</x:v>
      </x:c>
      <x:c r="Q27" s="464" t="n">
        <x:f>Q18+Q26</x:f>
        <x:v>3129187.9339011526</x:v>
      </x:c>
      <x:c r="R27" s="464" t="n">
        <x:f>R18+R26</x:f>
        <x:v>3201761.1825135164</x:v>
      </x:c>
      <x:c r="S27" s="464" t="n">
        <x:f>S18+S26</x:f>
        <x:v>3229037.2205581088</x:v>
      </x:c>
      <x:c r="T27" s="464" t="n">
        <x:f>T18+T26</x:f>
        <x:v>3226094.7023268025</x:v>
      </x:c>
      <x:c r="U27" s="464" t="n">
        <x:f>U18+U26</x:f>
        <x:v>3205447.3946820404</x:v>
      </x:c>
      <x:c r="V27" s="464" t="n">
        <x:f>V18+V26</x:f>
        <x:v>3180727.9854721855</x:v>
      </x:c>
      <x:c r="W27" s="464" t="n">
        <x:f>W18+W26</x:f>
        <x:v>3155071.9929023515</x:v>
      </x:c>
      <x:c r="X27" s="464" t="n">
        <x:f>X18+X26</x:f>
        <x:v>3129200.5861597285</x:v>
      </x:c>
      <x:c r="Y27" s="464" t="n">
        <x:f>Y18+Y26</x:f>
        <x:v>3931662.171657365</x:v>
      </x:c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289" t="inlineStr">
        <x:is>
          <x:t xml:space="preserve">Trésorerie exploitation fin</x:t>
        </x:is>
      </x:c>
      <x:c r="B28" s="464" t="n">
        <x:f>'Hypothèses'!B36+B20</x:f>
        <x:v>728987.35625</x:v>
      </x:c>
      <x:c r="C28" s="464" t="n">
        <x:f>B28+C20</x:f>
        <x:v>1005909.2181875</x:v>
      </x:c>
      <x:c r="D28" s="464" t="n">
        <x:f>C28+D20</x:f>
        <x:v>1927570.9014331254</x:v>
      </x:c>
      <x:c r="E28" s="464" t="n">
        <x:f>D28+E20</x:f>
        <x:v>3521412.6285796193</x:v>
      </x:c>
      <x:c r="F28" s="464" t="n">
        <x:f>E28+F20</x:f>
        <x:v>5793745.650823313</x:v>
      </x:c>
      <x:c r="G28" s="464" t="n">
        <x:f>F28+G20</x:f>
        <x:v>8997616.498439362</x:v>
      </x:c>
      <x:c r="H28" s="464" t="n">
        <x:f>G28+H20</x:f>
        <x:v>13201575.873391055</x:v>
      </x:c>
      <x:c r="I28" s="464" t="n">
        <x:f>H28+I20</x:f>
        <x:v>18672985.379629944</x:v>
      </x:c>
      <x:c r="J28" s="464" t="n">
        <x:f>I28+J20</x:f>
        <x:v>25483688.186064888</x:v>
      </x:c>
      <x:c r="K28" s="464" t="n">
        <x:f>J28+K20</x:f>
        <x:v>33650208.22154492</x:v>
      </x:c>
      <x:c r="L28" s="464" t="n">
        <x:f>K28+L20</x:f>
        <x:v>43176345.98970533</x:v>
      </x:c>
      <x:c r="M28" s="464" t="n">
        <x:f>L28+M20</x:f>
        <x:v>54062975.60638223</x:v>
      </x:c>
      <x:c r="N28" s="464" t="n">
        <x:f>M28+N20</x:f>
        <x:v>66310298.118217915</x:v>
      </x:c>
      <x:c r="O28" s="464" t="n">
        <x:f>N28+O20</x:f>
        <x:v>80169954.70844012</x:v>
      </x:c>
      <x:c r="P28" s="464" t="n">
        <x:f>O28+P20</x:f>
        <x:v>95710172.84919123</x:v>
      </x:c>
      <x:c r="Q28" s="464" t="n">
        <x:f>P28+Q20</x:f>
        <x:v>112946644.85906398</x:v>
      </x:c>
      <x:c r="R28" s="464" t="n">
        <x:f>Q28+R20</x:f>
        <x:v>131882979.97133473</x:v>
      </x:c>
      <x:c r="S28" s="464" t="n">
        <x:f>R28+S20</x:f>
        <x:v>152520008.30965698</x:v>
      </x:c>
      <x:c r="T28" s="464" t="n">
        <x:f>S28+T20</x:f>
        <x:v>174857920.8024711</x:v>
      </x:c>
      <x:c r="U28" s="464" t="n">
        <x:f>T28+U20</x:f>
        <x:v>198896761.36331835</x:v>
      </x:c>
      <x:c r="V28" s="464" t="n">
        <x:f>U28+V20</x:f>
        <x:v>224636540.09231323</x:v>
      </x:c>
      <x:c r="W28" s="464" t="n">
        <x:f>V28+W20</x:f>
        <x:v>252077259.31248206</x:v>
      </x:c>
      <x:c r="X28" s="464" t="n">
        <x:f>W28+X20</x:f>
        <x:v>281218919.5581209</x:v>
      </x:c>
      <x:c r="Y28" s="464" t="n">
        <x:f>X28+Y20</x:f>
        <x:v>313319495.66461784</x:v>
      </x:c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289" t="inlineStr">
        <x:is>
          <x:t xml:space="preserve">Réserve payout fin</x:t>
        </x:is>
      </x:c>
      <x:c r="B29" s="464" t="n">
        <x:f>'Hypothèses'!B37+B27</x:f>
        <x:v>2414191.26875</x:v>
      </x:c>
      <x:c r="C29" s="464" t="n">
        <x:f>B29+C27</x:f>
        <x:v>3172161.2905625</x:v>
      </x:c>
      <x:c r="D29" s="464" t="n">
        <x:f>C29+D27</x:f>
        <x:v>4190933.624954375</x:v>
      </x:c>
      <x:c r="E29" s="464" t="n">
        <x:f>D29+E27</x:f>
        <x:v>5392033.784208257</x:v>
      </x:c>
      <x:c r="F29" s="464" t="n">
        <x:f>E29+F27</x:f>
        <x:v>6696251.7196804</x:v>
      </x:c>
      <x:c r="G29" s="464" t="n">
        <x:f>F29+G27</x:f>
        <x:v>8209270.401100712</x:v>
      </x:c>
      <x:c r="H29" s="464" t="n">
        <x:f>G29+H27</x:f>
        <x:v>9932524.388396133</x:v>
      </x:c>
      <x:c r="I29" s="464" t="n">
        <x:f>H29+I27</x:f>
        <x:v>11973026.634147204</x:v>
      </x:c>
      <x:c r="J29" s="464" t="n">
        <x:f>I29+J27</x:f>
        <x:v>14302317.72364995</x:v>
      </x:c>
      <x:c r="K29" s="464" t="n">
        <x:f>J29+K27</x:f>
        <x:v>16822431.23070996</x:v>
      </x:c>
      <x:c r="L29" s="464" t="n">
        <x:f>K29+L27</x:f>
        <x:v>19443339.5463947</x:v>
      </x:c>
      <x:c r="M29" s="464" t="n">
        <x:f>L29+M27</x:f>
        <x:v>22102008.96461719</x:v>
      </x:c>
      <x:c r="N29" s="464" t="n">
        <x:f>M29+N27</x:f>
        <x:v>24764141.535132114</x:v>
      </x:c>
      <x:c r="O29" s="464" t="n">
        <x:f>N29+O27</x:f>
        <x:v>27576770.71541305</x:v>
      </x:c>
      <x:c r="P29" s="464" t="n">
        <x:f>O29+P27</x:f>
        <x:v>30573714.200678915</x:v>
      </x:c>
      <x:c r="Q29" s="464" t="n">
        <x:f>P29+Q27</x:f>
        <x:v>33702902.13458007</x:v>
      </x:c>
      <x:c r="R29" s="464" t="n">
        <x:f>Q29+R27</x:f>
        <x:v>36904663.31709358</x:v>
      </x:c>
      <x:c r="S29" s="464" t="n">
        <x:f>R29+S27</x:f>
        <x:v>40133700.53765169</x:v>
      </x:c>
      <x:c r="T29" s="464" t="n">
        <x:f>S29+T27</x:f>
        <x:v>43359795.23997849</x:v>
      </x:c>
      <x:c r="U29" s="464" t="n">
        <x:f>T29+U27</x:f>
        <x:v>46565242.634660535</x:v>
      </x:c>
      <x:c r="V29" s="464" t="n">
        <x:f>U29+V27</x:f>
        <x:v>49745970.62013272</x:v>
      </x:c>
      <x:c r="W29" s="464" t="n">
        <x:f>V29+W27</x:f>
        <x:v>52901042.613035075</x:v>
      </x:c>
      <x:c r="X29" s="464" t="n">
        <x:f>W29+X27</x:f>
        <x:v>56030243.199194804</x:v>
      </x:c>
      <x:c r="Y29" s="464" t="n">
        <x:f>X29+Y27</x:f>
        <x:v>59961905.37085217</x:v>
      </x:c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inlineStr">
        <x:is>
          <x:t xml:space="preserve">Payouts prochains 30 jours</x:t>
        </x:is>
      </x:c>
      <x:c r="B30" s="462" t="n">
        <x:f>0</x:f>
        <x:v>0</x:v>
      </x:c>
      <x:c r="C30" s="462" t="n">
        <x:f>B7*'Économie Unitaire'!F22</x:f>
        <x:v>149619.81562499996</x:v>
      </x:c>
      <x:c r="D30" s="462" t="n">
        <x:f>C7*'Économie Unitaire'!F22+B7*'Économie Unitaire'!F23</x:f>
        <x:v>393042.0952499999</x:v>
      </x:c>
      <x:c r="E30" s="462" t="n">
        <x:f>D7*'Économie Unitaire'!F22+C7*'Économie Unitaire'!F23+B7*'Économie Unitaire'!F24</x:f>
        <x:v>719199.85806375</x:v>
      </x:c>
      <x:c r="F30" s="462" t="n">
        <x:f>E7*'Économie Unitaire'!F22+D7*'Économie Unitaire'!F23+C7*'Économie Unitaire'!F24+B7*'Économie Unitaire'!F25</x:f>
        <x:v>1106162.0085929434</x:v>
      </x:c>
      <x:c r="G30" s="462" t="n">
        <x:f>F7*'Économie Unitaire'!F22+E7*'Économie Unitaire'!F23+D7*'Économie Unitaire'!F24+C7*'Économie Unitaire'!F25+B7*'Économie Unitaire'!F26</x:f>
        <x:v>1529981.6914076267</x:v>
      </x:c>
      <x:c r="H30" s="462" t="n">
        <x:f>G7*'Économie Unitaire'!F22+F7*'Économie Unitaire'!F23+E7*'Économie Unitaire'!F24+D7*'Économie Unitaire'!F25+C7*'Économie Unitaire'!F26</x:f>
        <x:v>2021272.1103506288</x:v>
      </x:c>
      <x:c r="I30" s="462" t="n">
        <x:f>H7*'Économie Unitaire'!F22+G7*'Économie Unitaire'!F23+F7*'Économie Unitaire'!F24+E7*'Économie Unitaire'!F25+D7*'Économie Unitaire'!F26</x:f>
        <x:v>2581153.192400644</x:v>
      </x:c>
      <x:c r="J30" s="462" t="n">
        <x:f>I7*'Économie Unitaire'!F22+H7*'Économie Unitaire'!F23+G7*'Économie Unitaire'!F24+F7*'Économie Unitaire'!F25+E7*'Économie Unitaire'!F26</x:f>
        <x:v>3248230.8877777723</x:v>
      </x:c>
      <x:c r="K30" s="462" t="n">
        <x:f>J7*'Économie Unitaire'!F22+I7*'Économie Unitaire'!F23+H7*'Économie Unitaire'!F24+G7*'Économie Unitaire'!F25+F7*'Économie Unitaire'!F26</x:f>
        <x:v>4007459.1351279495</x:v>
      </x:c>
      <x:c r="L30" s="462" t="n">
        <x:f>K7*'Économie Unitaire'!F22+J7*'Économie Unitaire'!F23+I7*'Économie Unitaire'!F24+H7*'Économie Unitaire'!F25+G7*'Économie Unitaire'!F26</x:f>
        <x:v>4830209.3654644275</x:v>
      </x:c>
      <x:c r="M30" s="462" t="n">
        <x:f>L7*'Économie Unitaire'!F22+K7*'Économie Unitaire'!F23+J7*'Économie Unitaire'!F24+I7*'Économie Unitaire'!F25+H7*'Économie Unitaire'!F26</x:f>
        <x:v>5687369.849733068</x:v>
      </x:c>
      <x:c r="N30" s="462" t="n">
        <x:f>M7*'Économie Unitaire'!F22+L7*'Économie Unitaire'!F23+K7*'Économie Unitaire'!F24+J7*'Économie Unitaire'!F25+I7*'Économie Unitaire'!F26</x:f>
        <x:v>6563199.213876105</x:v>
      </x:c>
      <x:c r="O30" s="462" t="n">
        <x:f>N7*'Économie Unitaire'!F22+M7*'Économie Unitaire'!F23+L7*'Économie Unitaire'!F24+K7*'Économie Unitaire'!F25+J7*'Économie Unitaire'!F26</x:f>
        <x:v>7443322.420390253</x:v>
      </x:c>
      <x:c r="P30" s="462" t="n">
        <x:f>O7*'Économie Unitaire'!F22+N7*'Économie Unitaire'!F23+M7*'Économie Unitaire'!F24+L7*'Économie Unitaire'!F25+K7*'Économie Unitaire'!F26</x:f>
        <x:v>8384281.136899757</x:v>
      </x:c>
      <x:c r="Q30" s="462" t="n">
        <x:f>P7*'Économie Unitaire'!F22+O7*'Économie Unitaire'!F23+N7*'Économie Unitaire'!F24+M7*'Économie Unitaire'!F25+L7*'Économie Unitaire'!F26</x:f>
        <x:v>9386927.15377069</x:v>
      </x:c>
      <x:c r="R30" s="462" t="n">
        <x:f>Q7*'Économie Unitaire'!F22+P7*'Économie Unitaire'!F23+O7*'Économie Unitaire'!F24+N7*'Économie Unitaire'!F25+M7*'Économie Unitaire'!F26</x:f>
        <x:v>10435334.08428726</x:v>
      </x:c>
      <x:c r="S30" s="462" t="n">
        <x:f>R7*'Économie Unitaire'!F22+Q7*'Économie Unitaire'!F23+P7*'Économie Unitaire'!F24+O7*'Économie Unitaire'!F25+N7*'Économie Unitaire'!F26</x:f>
        <x:v>11514066.22278763</x:v>
      </x:c>
      <x:c r="T30" s="462" t="n">
        <x:f>S7*'Économie Unitaire'!F22+R7*'Économie Unitaire'!F23+Q7*'Économie Unitaire'!F24+P7*'Économie Unitaire'!F25+O7*'Économie Unitaire'!F26</x:f>
        <x:v>12610527.680594278</x:v>
      </x:c>
      <x:c r="U30" s="462" t="n">
        <x:f>T7*'Économie Unitaire'!F22+S7*'Économie Unitaire'!F23+R7*'Économie Unitaire'!F24+Q7*'Économie Unitaire'!F25+P7*'Économie Unitaire'!F26</x:f>
        <x:v>13711066.881841367</x:v>
      </x:c>
      <x:c r="V30" s="462" t="n">
        <x:f>U7*'Économie Unitaire'!F22+T7*'Économie Unitaire'!F23+S7*'Économie Unitaire'!F24+R7*'Économie Unitaire'!F25+Q7*'Économie Unitaire'!F26</x:f>
        <x:v>14812543.964079762</x:v>
      </x:c>
      <x:c r="W30" s="462" t="n">
        <x:f>V7*'Économie Unitaire'!F22+U7*'Économie Unitaire'!F23+T7*'Économie Unitaire'!F24+S7*'Économie Unitaire'!F25+R7*'Économie Unitaire'!F26</x:f>
        <x:v>15914236.758946158</x:v>
      </x:c>
      <x:c r="X30" s="462" t="n">
        <x:f>W7*'Économie Unitaire'!F22+V7*'Économie Unitaire'!F23+U7*'Économie Unitaire'!F24+T7*'Économie Unitaire'!F25+S7*'Économie Unitaire'!F26</x:f>
        <x:v>17015979.167716987</x:v>
      </x:c>
      <x:c r="Y30" s="462" t="n">
        <x:f>X7*'Économie Unitaire'!F22+W7*'Économie Unitaire'!F23+V7*'Économie Unitaire'!F24+U7*'Économie Unitaire'!F25+T7*'Économie Unitaire'!F26</x:f>
        <x:v>18117732.987685844</x:v>
      </x:c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289" t="inlineStr">
        <x:is>
          <x:t xml:space="preserve">Couverture réserve</x:t>
        </x:is>
      </x:c>
      <x:c r="B31" s="474" t="str">
        <x:f>IF(B30&gt;0,B29/B30,"")</x:f>
      </x:c>
      <x:c r="C31" s="474" t="n">
        <x:f>IF(C30&gt;0,C29/C30,"")</x:f>
        <x:v>21.201478409203865</x:v>
      </x:c>
      <x:c r="D31" s="474" t="n">
        <x:f>IF(D30&gt;0,D29/D30,"")</x:f>
        <x:v>10.662811122784884</x:v>
      </x:c>
      <x:c r="E31" s="474" t="n">
        <x:f>IF(E30&gt;0,E29/E30,"")</x:f>
        <x:v>7.497267586682847</x:v>
      </x:c>
      <x:c r="F31" s="474" t="n">
        <x:f>IF(F30&gt;0,F29/F30,"")</x:f>
        <x:v>6.053590403270262</x:v>
      </x:c>
      <x:c r="G31" s="474" t="n">
        <x:f>IF(G30&gt;0,G29/G30,"")</x:f>
        <x:v>5.3656004167918825</x:v>
      </x:c>
      <x:c r="H31" s="474" t="n">
        <x:f>IF(H30&gt;0,H29/H30,"")</x:f>
        <x:v>4.913996654647921</x:v>
      </x:c>
      <x:c r="I31" s="474" t="n">
        <x:f>IF(I30&gt;0,I29/I30,"")</x:f>
        <x:v>4.638634649581373</x:v>
      </x:c>
      <x:c r="J31" s="474" t="n">
        <x:f>IF(J30&gt;0,J29/J30,"")</x:f>
        <x:v>4.403109944390272</x:v>
      </x:c>
      <x:c r="K31" s="474" t="n">
        <x:f>IF(K30&gt;0,K29/K30,"")</x:f>
        <x:v>4.197779855881888</x:v>
      </x:c>
      <x:c r="L31" s="474" t="n">
        <x:f>IF(L30&gt;0,L29/L30,"")</x:f>
        <x:v>4.025361651073112</x:v>
      </x:c>
      <x:c r="M31" s="474" t="n">
        <x:f>IF(M30&gt;0,M29/M30,"")</x:f>
        <x:v>3.88615643936969</x:v>
      </x:c>
      <x:c r="N31" s="474" t="n">
        <x:f>IF(N30&gt;0,N29/N30,"")</x:f>
        <x:v>3.773181451322558</x:v>
      </x:c>
      <x:c r="O31" s="474" t="n">
        <x:f>IF(O30&gt;0,O29/O30,"")</x:f>
        <x:v>3.704900736245038</x:v>
      </x:c>
      <x:c r="P31" s="474" t="n">
        <x:f>IF(P30&gt;0,P29/P30,"")</x:f>
        <x:v>3.646551648431974</x:v>
      </x:c>
      <x:c r="Q31" s="474" t="n">
        <x:f>IF(Q30&gt;0,Q29/Q30,"")</x:f>
        <x:v>3.5904084033550583</x:v>
      </x:c>
      <x:c r="R31" s="474" t="n">
        <x:f>IF(R30&gt;0,R29/R30,"")</x:f>
        <x:v>3.5365099975727508</x:v>
      </x:c>
      <x:c r="S31" s="474" t="n">
        <x:f>IF(S30&gt;0,S29/S30,"")</x:f>
        <x:v>3.48562356348295</x:v>
      </x:c>
      <x:c r="T31" s="474" t="n">
        <x:f>IF(T30&gt;0,T29/T30,"")</x:f>
        <x:v>3.4383807195239537</x:v>
      </x:c>
      <x:c r="U31" s="474" t="n">
        <x:f>IF(U30&gt;0,U29/U30,"")</x:f>
        <x:v>3.396179380929905</x:v>
      </x:c>
      <x:c r="V31" s="474" t="n">
        <x:f>IF(V30&gt;0,V29/V30,"")</x:f>
        <x:v>3.3583677956174234</x:v>
      </x:c>
      <x:c r="W31" s="474" t="n">
        <x:f>IF(W30&gt;0,W29/W30,"")</x:f>
        <x:v>3.324133190572074</x:v>
      </x:c>
      <x:c r="X31" s="474" t="n">
        <x:f>IF(X30&gt;0,X29/X30,"")</x:f>
        <x:v>3.2928015864932627</x:v>
      </x:c>
      <x:c r="Y31" s="474" t="n">
        <x:f>IF(Y30&gt;0,Y29/Y30,"")</x:f>
        <x:v>3.309569989336234</x:v>
      </x:c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289" t="inlineStr">
        <x:is>
          <x:t xml:space="preserve">Cash total fin</x:t>
        </x:is>
      </x:c>
      <x:c r="B32" s="464" t="n">
        <x:f>B28+B29</x:f>
        <x:v>3143178.625</x:v>
      </x:c>
      <x:c r="C32" s="464" t="n">
        <x:f>C28+C29</x:f>
        <x:v>4178070.50875</x:v>
      </x:c>
      <x:c r="D32" s="464" t="n">
        <x:f>D28+D29</x:f>
        <x:v>6118504.526387501</x:v>
      </x:c>
      <x:c r="E32" s="464" t="n">
        <x:f>E28+E29</x:f>
        <x:v>8913446.412787877</x:v>
      </x:c>
      <x:c r="F32" s="464" t="n">
        <x:f>F28+F29</x:f>
        <x:v>12489997.370503712</x:v>
      </x:c>
      <x:c r="G32" s="464" t="n">
        <x:f>G28+G29</x:f>
        <x:v>17206886.899540074</x:v>
      </x:c>
      <x:c r="H32" s="464" t="n">
        <x:f>H28+H29</x:f>
        <x:v>23134100.261787187</x:v>
      </x:c>
      <x:c r="I32" s="464" t="n">
        <x:f>I28+I29</x:f>
        <x:v>30646012.013777148</x:v>
      </x:c>
      <x:c r="J32" s="464" t="n">
        <x:f>J28+J29</x:f>
        <x:v>39786005.90971484</x:v>
      </x:c>
      <x:c r="K32" s="464" t="n">
        <x:f>K28+K29</x:f>
        <x:v>50472639.45225488</x:v>
      </x:c>
      <x:c r="L32" s="464" t="n">
        <x:f>L28+L29</x:f>
        <x:v>62619685.53610003</x:v>
      </x:c>
      <x:c r="M32" s="464" t="n">
        <x:f>M28+M29</x:f>
        <x:v>76164984.57099941</x:v>
      </x:c>
      <x:c r="N32" s="464" t="n">
        <x:f>N28+N29</x:f>
        <x:v>91074439.65335003</x:v>
      </x:c>
      <x:c r="O32" s="464" t="n">
        <x:f>O28+O29</x:f>
        <x:v>107746725.42385317</x:v>
      </x:c>
      <x:c r="P32" s="464" t="n">
        <x:f>P28+P29</x:f>
        <x:v>126283887.04987015</x:v>
      </x:c>
      <x:c r="Q32" s="464" t="n">
        <x:f>Q28+Q29</x:f>
        <x:v>146649546.99364406</x:v>
      </x:c>
      <x:c r="R32" s="464" t="n">
        <x:f>R28+R29</x:f>
        <x:v>168787643.2884283</x:v>
      </x:c>
      <x:c r="S32" s="464" t="n">
        <x:f>S28+S29</x:f>
        <x:v>192653708.84730867</x:v>
      </x:c>
      <x:c r="T32" s="464" t="n">
        <x:f>T28+T29</x:f>
        <x:v>218217716.0424496</x:v>
      </x:c>
      <x:c r="U32" s="464" t="n">
        <x:f>U28+U29</x:f>
        <x:v>245462003.9979789</x:v>
      </x:c>
      <x:c r="V32" s="464" t="n">
        <x:f>V28+V29</x:f>
        <x:v>274382510.712446</x:v>
      </x:c>
      <x:c r="W32" s="464" t="n">
        <x:f>W28+W29</x:f>
        <x:v>304978301.92551714</x:v>
      </x:c>
      <x:c r="X32" s="464" t="n">
        <x:f>X28+X29</x:f>
        <x:v>337249162.7573157</x:v>
      </x:c>
      <x:c r="Y32" s="464" t="n">
        <x:f>Y28+Y29</x:f>
        <x:v>373281401.03547</x:v>
      </x:c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289" t="inlineStr">
        <x:is>
          <x:t xml:space="preserve">Statut réserve</x:t>
        </x:is>
      </x:c>
      <x:c r="B33" s="289" t="str">
        <x:f>IF(B31="","DÉMARRAGE",IF(B31&gt;=2,"NORMAL",IF(B31&gt;=1.5,"PRUDENCE",IF(B31&gt;=1.2,"DÉFENSIF","CRITIQUE"))))</x:f>
        <x:v>DÉMARRAGE</x:v>
      </x:c>
      <x:c r="C33" s="289" t="str">
        <x:f>IF(C31="","DÉMARRAGE",IF(C31&gt;=2,"NORMAL",IF(C31&gt;=1.5,"PRUDENCE",IF(C31&gt;=1.2,"DÉFENSIF","CRITIQUE"))))</x:f>
        <x:v>NORMAL</x:v>
      </x:c>
      <x:c r="D33" s="289" t="str">
        <x:f>IF(D31="","DÉMARRAGE",IF(D31&gt;=2,"NORMAL",IF(D31&gt;=1.5,"PRUDENCE",IF(D31&gt;=1.2,"DÉFENSIF","CRITIQUE"))))</x:f>
        <x:v>NORMAL</x:v>
      </x:c>
      <x:c r="E33" s="289" t="str">
        <x:f>IF(E31="","DÉMARRAGE",IF(E31&gt;=2,"NORMAL",IF(E31&gt;=1.5,"PRUDENCE",IF(E31&gt;=1.2,"DÉFENSIF","CRITIQUE"))))</x:f>
        <x:v>NORMAL</x:v>
      </x:c>
      <x:c r="F33" s="289" t="str">
        <x:f>IF(F31="","DÉMARRAGE",IF(F31&gt;=2,"NORMAL",IF(F31&gt;=1.5,"PRUDENCE",IF(F31&gt;=1.2,"DÉFENSIF","CRITIQUE"))))</x:f>
        <x:v>NORMAL</x:v>
      </x:c>
      <x:c r="G33" s="289" t="str">
        <x:f>IF(G31="","DÉMARRAGE",IF(G31&gt;=2,"NORMAL",IF(G31&gt;=1.5,"PRUDENCE",IF(G31&gt;=1.2,"DÉFENSIF","CRITIQUE"))))</x:f>
        <x:v>NORMAL</x:v>
      </x:c>
      <x:c r="H33" s="289" t="str">
        <x:f>IF(H31="","DÉMARRAGE",IF(H31&gt;=2,"NORMAL",IF(H31&gt;=1.5,"PRUDENCE",IF(H31&gt;=1.2,"DÉFENSIF","CRITIQUE"))))</x:f>
        <x:v>NORMAL</x:v>
      </x:c>
      <x:c r="I33" s="289" t="str">
        <x:f>IF(I31="","DÉMARRAGE",IF(I31&gt;=2,"NORMAL",IF(I31&gt;=1.5,"PRUDENCE",IF(I31&gt;=1.2,"DÉFENSIF","CRITIQUE"))))</x:f>
        <x:v>NORMAL</x:v>
      </x:c>
      <x:c r="J33" s="289" t="str">
        <x:f>IF(J31="","DÉMARRAGE",IF(J31&gt;=2,"NORMAL",IF(J31&gt;=1.5,"PRUDENCE",IF(J31&gt;=1.2,"DÉFENSIF","CRITIQUE"))))</x:f>
        <x:v>NORMAL</x:v>
      </x:c>
      <x:c r="K33" s="289" t="str">
        <x:f>IF(K31="","DÉMARRAGE",IF(K31&gt;=2,"NORMAL",IF(K31&gt;=1.5,"PRUDENCE",IF(K31&gt;=1.2,"DÉFENSIF","CRITIQUE"))))</x:f>
        <x:v>NORMAL</x:v>
      </x:c>
      <x:c r="L33" s="289" t="str">
        <x:f>IF(L31="","DÉMARRAGE",IF(L31&gt;=2,"NORMAL",IF(L31&gt;=1.5,"PRUDENCE",IF(L31&gt;=1.2,"DÉFENSIF","CRITIQUE"))))</x:f>
        <x:v>NORMAL</x:v>
      </x:c>
      <x:c r="M33" s="289" t="str">
        <x:f>IF(M31="","DÉMARRAGE",IF(M31&gt;=2,"NORMAL",IF(M31&gt;=1.5,"PRUDENCE",IF(M31&gt;=1.2,"DÉFENSIF","CRITIQUE"))))</x:f>
        <x:v>NORMAL</x:v>
      </x:c>
      <x:c r="N33" s="289" t="str">
        <x:f>IF(N31="","DÉMARRAGE",IF(N31&gt;=2,"NORMAL",IF(N31&gt;=1.5,"PRUDENCE",IF(N31&gt;=1.2,"DÉFENSIF","CRITIQUE"))))</x:f>
        <x:v>NORMAL</x:v>
      </x:c>
      <x:c r="O33" s="289" t="str">
        <x:f>IF(O31="","DÉMARRAGE",IF(O31&gt;=2,"NORMAL",IF(O31&gt;=1.5,"PRUDENCE",IF(O31&gt;=1.2,"DÉFENSIF","CRITIQUE"))))</x:f>
        <x:v>NORMAL</x:v>
      </x:c>
      <x:c r="P33" s="289" t="str">
        <x:f>IF(P31="","DÉMARRAGE",IF(P31&gt;=2,"NORMAL",IF(P31&gt;=1.5,"PRUDENCE",IF(P31&gt;=1.2,"DÉFENSIF","CRITIQUE"))))</x:f>
        <x:v>NORMAL</x:v>
      </x:c>
      <x:c r="Q33" s="289" t="str">
        <x:f>IF(Q31="","DÉMARRAGE",IF(Q31&gt;=2,"NORMAL",IF(Q31&gt;=1.5,"PRUDENCE",IF(Q31&gt;=1.2,"DÉFENSIF","CRITIQUE"))))</x:f>
        <x:v>NORMAL</x:v>
      </x:c>
      <x:c r="R33" s="289" t="str">
        <x:f>IF(R31="","DÉMARRAGE",IF(R31&gt;=2,"NORMAL",IF(R31&gt;=1.5,"PRUDENCE",IF(R31&gt;=1.2,"DÉFENSIF","CRITIQUE"))))</x:f>
        <x:v>NORMAL</x:v>
      </x:c>
      <x:c r="S33" s="289" t="str">
        <x:f>IF(S31="","DÉMARRAGE",IF(S31&gt;=2,"NORMAL",IF(S31&gt;=1.5,"PRUDENCE",IF(S31&gt;=1.2,"DÉFENSIF","CRITIQUE"))))</x:f>
        <x:v>NORMAL</x:v>
      </x:c>
      <x:c r="T33" s="289" t="str">
        <x:f>IF(T31="","DÉMARRAGE",IF(T31&gt;=2,"NORMAL",IF(T31&gt;=1.5,"PRUDENCE",IF(T31&gt;=1.2,"DÉFENSIF","CRITIQUE"))))</x:f>
        <x:v>NORMAL</x:v>
      </x:c>
      <x:c r="U33" s="289" t="str">
        <x:f>IF(U31="","DÉMARRAGE",IF(U31&gt;=2,"NORMAL",IF(U31&gt;=1.5,"PRUDENCE",IF(U31&gt;=1.2,"DÉFENSIF","CRITIQUE"))))</x:f>
        <x:v>NORMAL</x:v>
      </x:c>
      <x:c r="V33" s="289" t="str">
        <x:f>IF(V31="","DÉMARRAGE",IF(V31&gt;=2,"NORMAL",IF(V31&gt;=1.5,"PRUDENCE",IF(V31&gt;=1.2,"DÉFENSIF","CRITIQUE"))))</x:f>
        <x:v>NORMAL</x:v>
      </x:c>
      <x:c r="W33" s="289" t="str">
        <x:f>IF(W31="","DÉMARRAGE",IF(W31&gt;=2,"NORMAL",IF(W31&gt;=1.5,"PRUDENCE",IF(W31&gt;=1.2,"DÉFENSIF","CRITIQUE"))))</x:f>
        <x:v>NORMAL</x:v>
      </x:c>
      <x:c r="X33" s="289" t="str">
        <x:f>IF(X31="","DÉMARRAGE",IF(X31&gt;=2,"NORMAL",IF(X31&gt;=1.5,"PRUDENCE",IF(X31&gt;=1.2,"DÉFENSIF","CRITIQUE"))))</x:f>
        <x:v>NORMAL</x:v>
      </x:c>
      <x:c r="Y33" s="289" t="str">
        <x:f>IF(Y31="","DÉMARRAGE",IF(Y31&gt;=2,"NORMAL",IF(Y31&gt;=1.5,"PRUDENCE",IF(Y31&gt;=1.2,"DÉFENSIF","CRITIQUE"))))</x:f>
        <x:v>NORMAL</x:v>
      </x:c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2:Y2"/>
    <x:mergeCell ref="A1:Y1"/>
  </x:mergeCells>
  <x:conditionalFormatting sqref="B31:Y31">
    <x:cfRule type="colorScale" priority="1">
      <x:colorScale>
        <x:cfvo type="min"/>
        <x:cfvo type="percentile" val="50"/>
        <x:cfvo type="max"/>
        <x:color rgb="FFFBE7E7"/>
        <x:color rgb="FFFFF1D5"/>
        <x:color rgb="FFE3F3EC"/>
      </x:colorScale>
    </x:cfRule>
  </x:conditionalFormatting>
  <x:conditionalFormatting sqref="B33:Y33">
    <x:cfRule type="expression" dxfId="0" priority="2">
      <x:formula>B33="CRITIQUE"</x:formula>
    </x:cfRule>
    <x:cfRule type="expression" dxfId="1" priority="3">
      <x:formula>B33="DÉFENSIF"</x:formula>
    </x:cfRule>
    <x:cfRule type="expression" dxfId="2" priority="4">
      <x:formula>B33="NORMAL"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34" customWidth="1"/>
    <x:col min="2" max="2" width="18" customWidth="1"/>
    <x:col min="3" max="3" width="18" customWidth="1"/>
    <x:col min="4" max="4" width="18" customWidth="1"/>
    <x:col min="5" max="5" width="14" customWidth="1"/>
    <x:col min="6" max="6" width="32" customWidth="1"/>
  </x:cols>
  <x:sheetData>
    <x:row r="1" ht="15" customHeight="1">
      <x:c r="A1" s="401" t="inlineStr">
        <x:is>
          <x:t xml:space="preserve">WARIBA — Comparaison Base / Upside / Stress</x:t>
        </x:is>
      </x:c>
      <x:c r="B1" s="1" t="n"/>
      <x:c r="C1" s="1" t="n"/>
      <x:c r="D1" s="1" t="n"/>
      <x:c r="E1" s="1" t="n"/>
      <x:c r="F1" s="1" t="n"/>
      <x:c r="G1" s="161" t="n"/>
      <x:c r="H1" s="16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Les résultats sont calculés indépendamment du scénario actif pour éviter une lecture partielle.</x:t>
        </x:is>
      </x:c>
      <x:c r="B2" s="1" t="n"/>
      <x:c r="C2" s="1" t="n"/>
      <x:c r="D2" s="1" t="n"/>
      <x:c r="E2" s="1" t="n"/>
      <x:c r="F2" s="1" t="n"/>
      <x:c r="G2" s="161" t="n"/>
      <x:c r="H2" s="16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4" t="inlineStr">
        <x:is>
          <x:t xml:space="preserve">Indicateur</x:t>
        </x:is>
      </x:c>
      <x:c r="B4" s="164" t="inlineStr">
        <x:is>
          <x:t xml:space="preserve">Base</x:t>
        </x:is>
      </x:c>
      <x:c r="C4" s="164" t="inlineStr">
        <x:is>
          <x:t xml:space="preserve">Upside</x:t>
        </x:is>
      </x:c>
      <x:c r="D4" s="164" t="inlineStr">
        <x:is>
          <x:t xml:space="preserve">Stress</x:t>
        </x:is>
      </x:c>
      <x:c r="E4" s="164" t="inlineStr">
        <x:is>
          <x:t xml:space="preserve">Unité</x:t>
        </x:is>
      </x:c>
      <x:c r="F4" s="164" t="inlineStr">
        <x:is>
          <x:t xml:space="preserve">Lecture</x:t>
        </x:is>
      </x:c>
      <x:c r="G4" s="161" t="n"/>
      <x:c r="H4" s="16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1" t="inlineStr">
        <x:is>
          <x:t xml:space="preserve">Prix moyen pondéré</x:t>
        </x:is>
      </x:c>
      <x:c r="B5" s="467" t="n">
        <x:f>'Économie Unitaire'!B7</x:f>
        <x:v>49800</x:v>
      </x:c>
      <x:c r="C5" s="467" t="n">
        <x:f>'Économie Unitaire'!B7</x:f>
        <x:v>49800</x:v>
      </x:c>
      <x:c r="D5" s="467" t="n">
        <x:f>'Économie Unitaire'!B7</x:f>
        <x:v>49800</x:v>
      </x:c>
      <x:c r="E5" s="161" t="inlineStr">
        <x:is>
          <x:t xml:space="preserve">FCFA</x:t>
        </x:is>
      </x:c>
      <x:c r="F5" s="161" t="inlineStr">
        <x:is>
          <x:t xml:space="preserve">Offre pondérée</x:t>
        </x:is>
      </x:c>
      <x:c r="G5" s="161" t="n"/>
      <x:c r="H5" s="161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61" t="inlineStr">
        <x:is>
          <x:t xml:space="preserve">Coût payout attendu / achat</x:t>
        </x:is>
      </x:c>
      <x:c r="B6" s="467" t="n">
        <x:f>('Hypothèses'!E7*'Hypothèses'!E8)*SUMPRODUCT('Offre v1.1'!$L$5:$L$9,'Offre v1.1'!$S$5:$S$9)*'Hypothèses'!B35*'Hypothèses'!E13*0.85*(1+'Hypothèses'!E19)+('Hypothèses'!E7*'Hypothèses'!E8*'Hypothèses'!E9)*SUMPRODUCT('Offre v1.1'!$M$5:$M$9,'Offre v1.1'!$S$5:$S$9)*'Hypothèses'!B35*'Hypothèses'!E13*0.85*(1+'Hypothèses'!E19)+('Hypothèses'!E7*'Hypothèses'!E8*'Hypothèses'!E9*'Hypothèses'!E10)*SUMPRODUCT('Offre v1.1'!$N$5:$N$9,'Offre v1.1'!$S$5:$S$9)*'Hypothèses'!B35*'Hypothèses'!E13*0.85*(1+'Hypothèses'!E19)+('Hypothèses'!E7*'Hypothèses'!E8*'Hypothèses'!E9*'Hypothèses'!E10*'Hypothèses'!E11)*SUMPRODUCT('Offre v1.1'!$O$5:$O$9,'Offre v1.1'!$S$5:$S$9)*'Hypothèses'!B35*'Hypothèses'!E13*0.85*(1+'Hypothèses'!E19)+('Hypothèses'!E7*'Hypothèses'!E8*'Hypothèses'!E9*'Hypothèses'!E10*'Hypothèses'!E11*'Hypothèses'!E12)*SUMPRODUCT('Offre v1.1'!$P$5:$P$9,'Offre v1.1'!$S$5:$S$9)*'Hypothèses'!B35*'Hypothèses'!E13*0.90*(1+'Hypothèses'!E19)</x:f>
        <x:v>16967.061319031247</x:v>
      </x:c>
      <x:c r="C6" s="467" t="n">
        <x:f>('Hypothèses'!F7*'Hypothèses'!F8)*SUMPRODUCT('Offre v1.1'!$L$5:$L$9,'Offre v1.1'!$S$5:$S$9)*'Hypothèses'!B35*'Hypothèses'!F13*0.85*(1+'Hypothèses'!F19)+('Hypothèses'!F7*'Hypothèses'!F8*'Hypothèses'!F9)*SUMPRODUCT('Offre v1.1'!$M$5:$M$9,'Offre v1.1'!$S$5:$S$9)*'Hypothèses'!B35*'Hypothèses'!F13*0.85*(1+'Hypothèses'!F19)+('Hypothèses'!F7*'Hypothèses'!F8*'Hypothèses'!F9*'Hypothèses'!F10)*SUMPRODUCT('Offre v1.1'!$N$5:$N$9,'Offre v1.1'!$S$5:$S$9)*'Hypothèses'!B35*'Hypothèses'!F13*0.85*(1+'Hypothèses'!F19)+('Hypothèses'!F7*'Hypothèses'!F8*'Hypothèses'!F9*'Hypothèses'!F10*'Hypothèses'!F11)*SUMPRODUCT('Offre v1.1'!$O$5:$O$9,'Offre v1.1'!$S$5:$S$9)*'Hypothèses'!B35*'Hypothèses'!F13*0.85*(1+'Hypothèses'!F19)+('Hypothèses'!F7*'Hypothèses'!F8*'Hypothèses'!F9*'Hypothèses'!F10*'Hypothèses'!F11*'Hypothèses'!F12)*SUMPRODUCT('Offre v1.1'!$P$5:$P$9,'Offre v1.1'!$S$5:$S$9)*'Hypothèses'!B35*'Hypothèses'!F13*0.90*(1+'Hypothèses'!F19)</x:f>
        <x:v>4667.561592353516</x:v>
      </x:c>
      <x:c r="D6" s="467" t="n">
        <x:f>('Hypothèses'!G7*'Hypothèses'!G8)*SUMPRODUCT('Offre v1.1'!$L$5:$L$9,'Offre v1.1'!$S$5:$S$9)*'Hypothèses'!B35*'Hypothèses'!G13*0.85*(1+'Hypothèses'!G19)+('Hypothèses'!G7*'Hypothèses'!G8*'Hypothèses'!G9)*SUMPRODUCT('Offre v1.1'!$M$5:$M$9,'Offre v1.1'!$S$5:$S$9)*'Hypothèses'!B35*'Hypothèses'!G13*0.85*(1+'Hypothèses'!G19)+('Hypothèses'!G7*'Hypothèses'!G8*'Hypothèses'!G9*'Hypothèses'!G10)*SUMPRODUCT('Offre v1.1'!$N$5:$N$9,'Offre v1.1'!$S$5:$S$9)*'Hypothèses'!B35*'Hypothèses'!G13*0.85*(1+'Hypothèses'!G19)+('Hypothèses'!G7*'Hypothèses'!G8*'Hypothèses'!G9*'Hypothèses'!G10*'Hypothèses'!G11)*SUMPRODUCT('Offre v1.1'!$O$5:$O$9,'Offre v1.1'!$S$5:$S$9)*'Hypothèses'!B35*'Hypothèses'!G13*0.85*(1+'Hypothèses'!G19)+('Hypothèses'!G7*'Hypothèses'!G8*'Hypothèses'!G9*'Hypothèses'!G10*'Hypothèses'!G11*'Hypothèses'!G12)*SUMPRODUCT('Offre v1.1'!$P$5:$P$9,'Offre v1.1'!$S$5:$S$9)*'Hypothèses'!B35*'Hypothèses'!G13*0.90*(1+'Hypothèses'!G19)</x:f>
        <x:v>70957.28242476564</x:v>
      </x:c>
      <x:c r="E6" s="161" t="inlineStr">
        <x:is>
          <x:t xml:space="preserve">FCFA</x:t>
        </x:is>
      </x:c>
      <x:c r="F6" s="161" t="inlineStr">
        <x:is>
          <x:t xml:space="preserve">Cash trader + frais</x:t>
        </x:is>
      </x:c>
      <x:c r="G6" s="161" t="n"/>
      <x:c r="H6" s="161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inlineStr">
        <x:is>
          <x:t xml:space="preserve">Contribution / achat</x:t>
        </x:is>
      </x:c>
      <x:c r="B7" s="467" t="n">
        <x:f>B5-B5*'Hypothèses'!E14-(B5-B5*'Hypothèses'!E14)*'Hypothèses'!E15-B5*'Hypothèses'!E25-'Hypothèses'!E16-'Hypothèses'!E17-'Hypothèses'!E7*'Hypothèses'!E18-B5*'Hypothèses'!E20-B5*'Hypothèses'!E21-B6</x:f>
        <x:v>24760.08368096875</x:v>
      </x:c>
      <x:c r="C7" s="467" t="n">
        <x:f>C5-C5*'Hypothèses'!F14-(C5-C5*'Hypothèses'!F14)*'Hypothèses'!F15-C5*'Hypothèses'!F25-'Hypothèses'!F16-'Hypothèses'!F17-'Hypothèses'!F7*'Hypothèses'!F18-C5*'Hypothèses'!F20-C5*'Hypothèses'!F21-C6</x:f>
        <x:v>38980.77840764649</x:v>
      </x:c>
      <x:c r="D7" s="467" t="n">
        <x:f>D5-D5*'Hypothèses'!G14-(D5-D5*'Hypothèses'!G14)*'Hypothèses'!G15-D5*'Hypothèses'!G25-'Hypothèses'!G16-'Hypothèses'!G17-'Hypothèses'!G7*'Hypothèses'!G18-D5*'Hypothèses'!G20-D5*'Hypothèses'!G21-D6</x:f>
        <x:v>-36482.052424765636</x:v>
      </x:c>
      <x:c r="E7" s="161" t="inlineStr">
        <x:is>
          <x:t xml:space="preserve">FCFA</x:t>
        </x:is>
      </x:c>
      <x:c r="F7" s="161" t="inlineStr">
        <x:is>
          <x:t xml:space="preserve">Après coûts variables et payouts</x:t>
        </x:is>
      </x:c>
      <x:c r="G7" s="161" t="n"/>
      <x:c r="H7" s="161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161" t="inlineStr">
        <x:is>
          <x:t xml:space="preserve">Marge de contribution</x:t>
        </x:is>
      </x:c>
      <x:c r="B8" s="475" t="n">
        <x:f>B7/B5</x:f>
        <x:v>0.49719043536081825</x:v>
      </x:c>
      <x:c r="C8" s="475" t="n">
        <x:f>C7/C5</x:f>
        <x:v>0.7827465543704114</x:v>
      </x:c>
      <x:c r="D8" s="475" t="n">
        <x:f>D7/D5</x:f>
        <x:v>-0.7325713338306352</x:v>
      </x:c>
      <x:c r="E8" s="161" t="inlineStr">
        <x:is>
          <x:t xml:space="preserve">%</x:t>
        </x:is>
      </x:c>
      <x:c r="F8" s="161" t="str"/>
      <x:c r="G8" s="161" t="n"/>
      <x:c r="H8" s="161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161" t="inlineStr">
        <x:is>
          <x:t xml:space="preserve">Break-even mensuel</x:t>
        </x:is>
      </x:c>
      <x:c r="B9" s="473" t="n">
        <x:f>IF(B7&gt;0,'Hypothèses'!E24/B7,0)</x:f>
        <x:v>36.34882707168569</x:v>
      </x:c>
      <x:c r="C9" s="473" t="n">
        <x:f>IF(C7&gt;0,'Hypothèses'!F24/C7,0)</x:f>
        <x:v>17.9575685400548</x:v>
      </x:c>
      <x:c r="D9" s="473" t="n">
        <x:f>IF(D7&gt;0,'Hypothèses'!G24/D7,0)</x:f>
        <x:v>0</x:v>
      </x:c>
      <x:c r="E9" s="161" t="inlineStr">
        <x:is>
          <x:t xml:space="preserve">achats</x:t>
        </x:is>
      </x:c>
      <x:c r="F9" s="161" t="inlineStr">
        <x:is>
          <x:t xml:space="preserve">OPEX ÷ contribution</x:t>
        </x:is>
      </x:c>
      <x:c r="G9" s="161" t="n"/>
      <x:c r="H9" s="161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61" t="inlineStr">
        <x:is>
          <x:t xml:space="preserve">Réserve / 1 000 achats à 2,0x</x:t>
        </x:is>
      </x:c>
      <x:c r="B10" s="467" t="n">
        <x:f>B6*1000*'Hypothèses'!B38</x:f>
        <x:v>33934122.63806249</x:v>
      </x:c>
      <x:c r="C10" s="467" t="n">
        <x:f>C6*1000*'Hypothèses'!B38</x:f>
        <x:v>9335123.184707033</x:v>
      </x:c>
      <x:c r="D10" s="467" t="n">
        <x:f>D6*1000*'Hypothèses'!B38</x:f>
        <x:v>141914564.8495313</x:v>
      </x:c>
      <x:c r="E10" s="161" t="inlineStr">
        <x:is>
          <x:t xml:space="preserve">FCFA</x:t>
        </x:is>
      </x:c>
      <x:c r="F10" s="161" t="str"/>
      <x:c r="G10" s="161" t="n"/>
      <x:c r="H10" s="161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inlineStr">
        <x:is>
          <x:t xml:space="preserve">Probabilité payout #1 / achat</x:t>
        </x:is>
      </x:c>
      <x:c r="B11" s="475" t="n">
        <x:f>('Hypothèses'!E7*'Hypothèses'!E8)</x:f>
        <x:v>0.027999999999999997</x:v>
      </x:c>
      <x:c r="C11" s="475" t="n">
        <x:f>('Hypothèses'!F7*'Hypothèses'!F8)</x:f>
        <x:v>0.0125</x:v>
      </x:c>
      <x:c r="D11" s="475" t="n">
        <x:f>('Hypothèses'!G7*'Hypothèses'!G8)</x:f>
        <x:v>0.07</x:v>
      </x:c>
      <x:c r="E11" s="161" t="inlineStr">
        <x:is>
          <x:t xml:space="preserve">%</x:t>
        </x:is>
      </x:c>
      <x:c r="F11" s="161" t="str"/>
      <x:c r="G11" s="161" t="n"/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61" t="inlineStr">
        <x:is>
          <x:t xml:space="preserve">Probabilité payout #5 / achat</x:t>
        </x:is>
      </x:c>
      <x:c r="B12" s="475" t="n">
        <x:f>((((('Hypothèses'!E7*'Hypothèses'!E8)*'Hypothèses'!E9)*'Hypothèses'!E10)*'Hypothèses'!E11)*'Hypothèses'!E12)</x:f>
        <x:v>0.001386</x:v>
      </x:c>
      <x:c r="C12" s="475" t="n">
        <x:f>((((('Hypothèses'!F7*'Hypothèses'!F8)*'Hypothèses'!F9)*'Hypothèses'!F10)*'Hypothèses'!F11)*'Hypothèses'!F12)</x:f>
        <x:v>0.00023625</x:v>
      </x:c>
      <x:c r="D12" s="475" t="n">
        <x:f>((((('Hypothèses'!G7*'Hypothèses'!G8)*'Hypothèses'!G9)*'Hypothèses'!G10)*'Hypothèses'!G11)*'Hypothèses'!G12)</x:f>
        <x:v>0.007507500000000001</x:v>
      </x:c>
      <x:c r="E12" s="161" t="inlineStr">
        <x:is>
          <x:t xml:space="preserve">%</x:t>
        </x:is>
      </x:c>
      <x:c r="F12" s="161" t="str"/>
      <x:c r="G12" s="161" t="n"/>
      <x:c r="H12" s="161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n"/>
      <x:c r="B13" s="161" t="n"/>
      <x:c r="C13" s="161" t="n"/>
      <x:c r="D13" s="161" t="n"/>
      <x:c r="E13" s="161" t="n"/>
      <x:c r="F13" s="161" t="n"/>
      <x:c r="G13" s="161" t="n"/>
      <x:c r="H13" s="161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1" t="n"/>
      <x:c r="B14" s="161" t="n"/>
      <x:c r="C14" s="161" t="n"/>
      <x:c r="D14" s="161" t="n"/>
      <x:c r="E14" s="161" t="n"/>
      <x:c r="F14" s="161" t="n"/>
      <x:c r="G14" s="161" t="n"/>
      <x:c r="H14" s="16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1" t="n"/>
      <x:c r="B15" s="161" t="n"/>
      <x:c r="C15" s="161" t="n"/>
      <x:c r="D15" s="161" t="n"/>
      <x:c r="E15" s="161" t="n"/>
      <x:c r="F15" s="161" t="n"/>
      <x:c r="G15" s="161" t="n"/>
      <x:c r="H15" s="161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1" t="n"/>
      <x:c r="B16" s="161" t="n"/>
      <x:c r="C16" s="161" t="n"/>
      <x:c r="D16" s="161" t="n"/>
      <x:c r="E16" s="161" t="n"/>
      <x:c r="F16" s="161" t="n"/>
      <x:c r="G16" s="161" t="n"/>
      <x:c r="H16" s="16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161" t="n"/>
      <x:c r="B17" s="161" t="n"/>
      <x:c r="C17" s="161" t="n"/>
      <x:c r="D17" s="161" t="n"/>
      <x:c r="E17" s="161" t="n"/>
      <x:c r="F17" s="161" t="n"/>
      <x:c r="G17" s="161" t="n"/>
      <x:c r="H17" s="161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161" t="n"/>
      <x:c r="B18" s="161" t="n"/>
      <x:c r="C18" s="161" t="n"/>
      <x:c r="D18" s="161" t="n"/>
      <x:c r="E18" s="161" t="n"/>
      <x:c r="F18" s="161" t="n"/>
      <x:c r="G18" s="161" t="n"/>
      <x:c r="H18" s="16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161" t="n"/>
      <x:c r="B19" s="161" t="n"/>
      <x:c r="C19" s="161" t="n"/>
      <x:c r="D19" s="161" t="n"/>
      <x:c r="E19" s="161" t="n"/>
      <x:c r="F19" s="161" t="n"/>
      <x:c r="G19" s="161" t="n"/>
      <x:c r="H19" s="161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161" t="n"/>
      <x:c r="B20" s="161" t="n"/>
      <x:c r="C20" s="161" t="n"/>
      <x:c r="D20" s="161" t="n"/>
      <x:c r="E20" s="161" t="n"/>
      <x:c r="F20" s="161" t="n"/>
      <x:c r="G20" s="161" t="n"/>
      <x:c r="H20" s="161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161" t="n"/>
      <x:c r="B21" s="161" t="n"/>
      <x:c r="C21" s="161" t="n"/>
      <x:c r="D21" s="161" t="n"/>
      <x:c r="E21" s="161" t="n"/>
      <x:c r="F21" s="161" t="n"/>
      <x:c r="G21" s="161" t="n"/>
      <x:c r="H21" s="161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n"/>
      <x:c r="B22" s="161" t="n"/>
      <x:c r="C22" s="161" t="n"/>
      <x:c r="D22" s="161" t="n"/>
      <x:c r="E22" s="161" t="n"/>
      <x:c r="F22" s="161" t="n"/>
      <x:c r="G22" s="161" t="n"/>
      <x:c r="H22" s="161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n"/>
      <x:c r="B23" s="161" t="n"/>
      <x:c r="C23" s="161" t="n"/>
      <x:c r="D23" s="161" t="n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n"/>
      <x:c r="B24" s="161" t="n"/>
      <x:c r="C24" s="161" t="n"/>
      <x:c r="D24" s="161" t="n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n"/>
      <x:c r="B25" s="161" t="n"/>
      <x:c r="C25" s="161" t="n"/>
      <x:c r="D25" s="161" t="n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n"/>
      <x:c r="B26" s="161" t="n"/>
      <x:c r="C26" s="161" t="n"/>
      <x:c r="D26" s="161" t="n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61" t="n"/>
      <x:c r="B28" s="161" t="n"/>
      <x:c r="C28" s="161" t="n"/>
      <x:c r="D28" s="161" t="n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2:F2"/>
    <x:mergeCell ref="A1:F1"/>
  </x:mergeCells>
  <x:conditionalFormatting sqref="B7:D8">
    <x:cfRule type="colorScale" priority="1">
      <x:colorScale>
        <x:cfvo type="min"/>
        <x:cfvo type="percentile" val="50"/>
        <x:cfvo type="max"/>
        <x:color rgb="FFFBE7E7"/>
        <x:color rgb="FFFFF1D5"/>
        <x:color rgb="FFE3F3EC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25" customWidth="1"/>
    <x:col min="2" max="2" width="15" customWidth="1"/>
    <x:col min="3" max="3" width="15" customWidth="1"/>
    <x:col min="4" max="4" width="15" customWidth="1"/>
    <x:col min="5" max="5" width="15" customWidth="1"/>
    <x:col min="6" max="6" width="15" customWidth="1"/>
    <x:col min="7" max="7" width="15" customWidth="1"/>
  </x:cols>
  <x:sheetData>
    <x:row r="1" ht="15" customHeight="1">
      <x:c r="A1" s="401" t="inlineStr">
        <x:is>
          <x:t xml:space="preserve">WARIBA — Sensibilités économiques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Les matrices testent les deux variables les plus dangereuses : taux de réussite et utilisation des caps.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168" t="inlineStr">
        <x:is>
          <x:t xml:space="preserve">A. Contribution par achat — FCFA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164" t="inlineStr">
        <x:is>
          <x:t xml:space="preserve">Pass rate \ Cap usage</x:t>
        </x:is>
      </x:c>
      <x:c r="B5" s="476" t="n">
        <x:v>0.5</x:v>
      </x:c>
      <x:c r="C5" s="476" t="n">
        <x:v>0.6</x:v>
      </x:c>
      <x:c r="D5" s="476" t="n">
        <x:v>0.7</x:v>
      </x:c>
      <x:c r="E5" s="476" t="n">
        <x:v>0.8</x:v>
      </x:c>
      <x:c r="F5" s="476" t="n">
        <x:v>0.9</x:v>
      </x:c>
      <x:c r="G5" s="476" t="n">
        <x:v>1</x:v>
      </x:c>
      <x:c r="H5" s="161" t="n"/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477" t="n">
        <x:v>0.05</x:v>
      </x:c>
      <x:c r="B6" s="467" t="n">
        <x:f>'Économie Unitaire'!B17-('Économie Unitaire'!B28*($A6/'Hypothèses'!B7)*(B$5/'Hypothèses'!B13))</x:f>
        <x:v>34152.5640540039</x:v>
      </x:c>
      <x:c r="C6" s="467" t="n">
        <x:f>'Économie Unitaire'!B17-('Économie Unitaire'!B28*($A6/'Hypothèses'!B7)*(C$5/'Hypothèses'!B13))</x:f>
        <x:v>32637.647864804683</x:v>
      </x:c>
      <x:c r="D6" s="467" t="n">
        <x:f>'Économie Unitaire'!B17-('Économie Unitaire'!B28*($A6/'Hypothèses'!B7)*(D$5/'Hypothèses'!B13))</x:f>
        <x:v>31122.731675605468</x:v>
      </x:c>
      <x:c r="E6" s="467" t="n">
        <x:f>'Économie Unitaire'!B17-('Économie Unitaire'!B28*($A6/'Hypothèses'!B7)*(E$5/'Hypothèses'!B13))</x:f>
        <x:v>29607.815486406245</x:v>
      </x:c>
      <x:c r="F6" s="467" t="n">
        <x:f>'Économie Unitaire'!B17-('Économie Unitaire'!B28*($A6/'Hypothèses'!B7)*(F$5/'Hypothèses'!B13))</x:f>
        <x:v>28092.89929720703</x:v>
      </x:c>
      <x:c r="G6" s="467" t="n">
        <x:f>'Économie Unitaire'!B17-('Économie Unitaire'!B28*($A6/'Hypothèses'!B7)*(G$5/'Hypothèses'!B13))</x:f>
        <x:v>26577.983108007815</x:v>
      </x:c>
      <x:c r="H6" s="161" t="n"/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477" t="n">
        <x:v>0.08</x:v>
      </x:c>
      <x:c r="B7" s="467" t="n">
        <x:f>'Économie Unitaire'!B17-('Économie Unitaire'!B28*($A7/'Hypothèses'!B7)*(B$5/'Hypothèses'!B13))</x:f>
        <x:v>29607.81548640625</x:v>
      </x:c>
      <x:c r="C7" s="467" t="n">
        <x:f>'Économie Unitaire'!B17-('Économie Unitaire'!B28*($A7/'Hypothèses'!B7)*(C$5/'Hypothèses'!B13))</x:f>
        <x:v>27183.9495836875</x:v>
      </x:c>
      <x:c r="D7" s="467" t="n">
        <x:f>'Économie Unitaire'!B17-('Économie Unitaire'!B28*($A7/'Hypothèses'!B7)*(D$5/'Hypothèses'!B13))</x:f>
        <x:v>24760.08368096875</x:v>
      </x:c>
      <x:c r="E7" s="467" t="n">
        <x:f>'Économie Unitaire'!B17-('Économie Unitaire'!B28*($A7/'Hypothèses'!B7)*(E$5/'Hypothèses'!B13))</x:f>
        <x:v>22336.217778249997</x:v>
      </x:c>
      <x:c r="F7" s="467" t="n">
        <x:f>'Économie Unitaire'!B17-('Économie Unitaire'!B28*($A7/'Hypothèses'!B7)*(F$5/'Hypothèses'!B13))</x:f>
        <x:v>19912.35187553125</x:v>
      </x:c>
      <x:c r="G7" s="467" t="n">
        <x:f>'Économie Unitaire'!B17-('Économie Unitaire'!B28*($A7/'Hypothèses'!B7)*(G$5/'Hypothèses'!B13))</x:f>
        <x:v>17488.4859728125</x:v>
      </x:c>
      <x:c r="H7" s="161" t="n"/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477" t="n">
        <x:v>0.11</x:v>
      </x:c>
      <x:c r="B8" s="467" t="n">
        <x:f>'Économie Unitaire'!B17-('Économie Unitaire'!B28*($A8/'Hypothèses'!B7)*(B$5/'Hypothèses'!B13))</x:f>
        <x:v>25063.066918808592</x:v>
      </x:c>
      <x:c r="C8" s="467" t="n">
        <x:f>'Économie Unitaire'!B17-('Économie Unitaire'!B28*($A8/'Hypothèses'!B7)*(C$5/'Hypothèses'!B13))</x:f>
        <x:v>21730.251302570312</x:v>
      </x:c>
      <x:c r="D8" s="467" t="n">
        <x:f>'Économie Unitaire'!B17-('Économie Unitaire'!B28*($A8/'Hypothèses'!B7)*(D$5/'Hypothèses'!B13))</x:f>
        <x:v>18397.43568633203</x:v>
      </x:c>
      <x:c r="E8" s="467" t="n">
        <x:f>'Économie Unitaire'!B17-('Économie Unitaire'!B28*($A8/'Hypothèses'!B7)*(E$5/'Hypothèses'!B13))</x:f>
        <x:v>15064.620070093748</x:v>
      </x:c>
      <x:c r="F8" s="467" t="n">
        <x:f>'Économie Unitaire'!B17-('Économie Unitaire'!B28*($A8/'Hypothèses'!B7)*(F$5/'Hypothèses'!B13))</x:f>
        <x:v>11731.804453855468</x:v>
      </x:c>
      <x:c r="G8" s="467" t="n">
        <x:f>'Économie Unitaire'!B17-('Économie Unitaire'!B28*($A8/'Hypothèses'!B7)*(G$5/'Hypothèses'!B13))</x:f>
        <x:v>8398.988837617188</x:v>
      </x:c>
      <x:c r="H8" s="161" t="n"/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477" t="n">
        <x:v>0.14</x:v>
      </x:c>
      <x:c r="B9" s="467" t="n">
        <x:f>'Économie Unitaire'!B17-('Économie Unitaire'!B28*($A9/'Hypothèses'!B7)*(B$5/'Hypothèses'!B13))</x:f>
        <x:v>20518.318351210935</x:v>
      </x:c>
      <x:c r="C9" s="467" t="n">
        <x:f>'Économie Unitaire'!B17-('Économie Unitaire'!B28*($A9/'Hypothèses'!B7)*(C$5/'Hypothèses'!B13))</x:f>
        <x:v>16276.55302145312</x:v>
      </x:c>
      <x:c r="D9" s="467" t="n">
        <x:f>'Économie Unitaire'!B17-('Économie Unitaire'!B28*($A9/'Hypothèses'!B7)*(D$5/'Hypothèses'!B13))</x:f>
        <x:v>12034.78769169531</x:v>
      </x:c>
      <x:c r="E9" s="467" t="n">
        <x:f>'Économie Unitaire'!B17-('Économie Unitaire'!B28*($A9/'Hypothèses'!B7)*(E$5/'Hypothèses'!B13))</x:f>
        <x:v>7793.022361937496</x:v>
      </x:c>
      <x:c r="F9" s="467" t="n">
        <x:f>'Économie Unitaire'!B17-('Économie Unitaire'!B28*($A9/'Hypothèses'!B7)*(F$5/'Hypothèses'!B13))</x:f>
        <x:v>3551.257032179681</x:v>
      </x:c>
      <x:c r="G9" s="467" t="n">
        <x:f>'Économie Unitaire'!B17-('Économie Unitaire'!B28*($A9/'Hypothèses'!B7)*(G$5/'Hypothèses'!B13))</x:f>
        <x:v>-690.5082975781261</x:v>
      </x:c>
      <x:c r="H9" s="161" t="n"/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477" t="n">
        <x:v>0.17</x:v>
      </x:c>
      <x:c r="B10" s="467" t="n">
        <x:f>'Économie Unitaire'!B17-('Économie Unitaire'!B28*($A10/'Hypothèses'!B7)*(B$5/'Hypothèses'!B13))</x:f>
        <x:v>15973.569783613282</x:v>
      </x:c>
      <x:c r="C10" s="467" t="n">
        <x:f>'Économie Unitaire'!B17-('Économie Unitaire'!B28*($A10/'Hypothèses'!B7)*(C$5/'Hypothèses'!B13))</x:f>
        <x:v>10822.85474033594</x:v>
      </x:c>
      <x:c r="D10" s="467" t="n">
        <x:f>'Économie Unitaire'!B17-('Économie Unitaire'!B28*($A10/'Hypothèses'!B7)*(D$5/'Hypothèses'!B13))</x:f>
        <x:v>5672.139697058599</x:v>
      </x:c>
      <x:c r="E10" s="467" t="n">
        <x:f>'Économie Unitaire'!B17-('Économie Unitaire'!B28*($A10/'Hypothèses'!B7)*(E$5/'Hypothèses'!B13))</x:f>
        <x:v>521.4246537812505</x:v>
      </x:c>
      <x:c r="F10" s="467" t="n">
        <x:f>'Économie Unitaire'!B17-('Économie Unitaire'!B28*($A10/'Hypothèses'!B7)*(F$5/'Hypothèses'!B13))</x:f>
        <x:v>-4629.290389496091</x:v>
      </x:c>
      <x:c r="G10" s="467" t="n">
        <x:f>'Économie Unitaire'!B17-('Économie Unitaire'!B28*($A10/'Hypothèses'!B7)*(G$5/'Hypothèses'!B13))</x:f>
        <x:v>-9780.005432773432</x:v>
      </x:c>
      <x:c r="H10" s="161" t="n"/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477" t="n">
        <x:v>0.2</x:v>
      </x:c>
      <x:c r="B11" s="467" t="n">
        <x:f>'Économie Unitaire'!B17-('Économie Unitaire'!B28*($A11/'Hypothèses'!B7)*(B$5/'Hypothèses'!B13))</x:f>
        <x:v>11428.821216015629</x:v>
      </x:c>
      <x:c r="C11" s="467" t="n">
        <x:f>'Économie Unitaire'!B17-('Économie Unitaire'!B28*($A11/'Hypothèses'!B7)*(C$5/'Hypothèses'!B13))</x:f>
        <x:v>5369.15645921875</x:v>
      </x:c>
      <x:c r="D11" s="467" t="n">
        <x:f>'Économie Unitaire'!B17-('Économie Unitaire'!B28*($A11/'Hypothèses'!B7)*(D$5/'Hypothèses'!B13))</x:f>
        <x:v>-690.5082975781188</x:v>
      </x:c>
      <x:c r="E11" s="467" t="n">
        <x:f>'Économie Unitaire'!B17-('Économie Unitaire'!B28*($A11/'Hypothèses'!B7)*(E$5/'Hypothèses'!B13))</x:f>
        <x:v>-6750.173054375002</x:v>
      </x:c>
      <x:c r="F11" s="467" t="n">
        <x:f>'Économie Unitaire'!B17-('Économie Unitaire'!B28*($A11/'Hypothèses'!B7)*(F$5/'Hypothèses'!B13))</x:f>
        <x:v>-12809.83781117187</x:v>
      </x:c>
      <x:c r="G11" s="467" t="n">
        <x:f>'Économie Unitaire'!B17-('Économie Unitaire'!B28*($A11/'Hypothèses'!B7)*(G$5/'Hypothèses'!B13))</x:f>
        <x:v>-18869.50256796874</x:v>
      </x:c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161" t="n"/>
      <x:c r="B12" s="161" t="n"/>
      <x:c r="C12" s="161" t="n"/>
      <x:c r="D12" s="161" t="n"/>
      <x:c r="E12" s="161" t="n"/>
      <x:c r="F12" s="161" t="n"/>
      <x:c r="G12" s="161" t="n"/>
      <x:c r="H12" s="161" t="n"/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161" t="n"/>
      <x:c r="B13" s="161" t="n"/>
      <x:c r="C13" s="161" t="n"/>
      <x:c r="D13" s="161" t="n"/>
      <x:c r="E13" s="161" t="n"/>
      <x:c r="F13" s="161" t="n"/>
      <x:c r="G13" s="161" t="n"/>
      <x:c r="H13" s="161" t="n"/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68" t="inlineStr">
        <x:is>
          <x:t xml:space="preserve">B. Réserve requise pour 1 000 achats — FCFA</x:t>
        </x:is>
      </x:c>
      <x:c r="B14" s="1" t="n"/>
      <x:c r="C14" s="1" t="n"/>
      <x:c r="D14" s="1" t="n"/>
      <x:c r="E14" s="1" t="n"/>
      <x:c r="F14" s="1" t="n"/>
      <x:c r="G14" s="1" t="n"/>
      <x:c r="H14" s="1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4" t="inlineStr">
        <x:is>
          <x:t xml:space="preserve">Pass rate \ Cap usage</x:t>
        </x:is>
      </x:c>
      <x:c r="B15" s="476" t="n">
        <x:v>0.5</x:v>
      </x:c>
      <x:c r="C15" s="476" t="n">
        <x:v>0.6</x:v>
      </x:c>
      <x:c r="D15" s="476" t="n">
        <x:v>0.7</x:v>
      </x:c>
      <x:c r="E15" s="476" t="n">
        <x:v>0.8</x:v>
      </x:c>
      <x:c r="F15" s="476" t="n">
        <x:v>0.9</x:v>
      </x:c>
      <x:c r="G15" s="476" t="n">
        <x:v>1</x:v>
      </x:c>
      <x:c r="H15" s="161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477" t="n">
        <x:v>0.05</x:v>
      </x:c>
      <x:c r="B16" s="467" t="n">
        <x:f>'Économie Unitaire'!B28*($A16/'Hypothèses'!B7)*(B$15/'Hypothèses'!B13)*1000*'Hypothèses'!B38</x:f>
        <x:v>15149161.891992183</x:v>
      </x:c>
      <x:c r="C16" s="467" t="n">
        <x:f>'Économie Unitaire'!B28*($A16/'Hypothèses'!B7)*(C$15/'Hypothèses'!B13)*1000*'Hypothèses'!B38</x:f>
        <x:v>18178994.270390622</x:v>
      </x:c>
      <x:c r="D16" s="467" t="n">
        <x:f>'Économie Unitaire'!B28*($A16/'Hypothèses'!B7)*(D$15/'Hypothèses'!B13)*1000*'Hypothèses'!B38</x:f>
        <x:v>21208826.64878906</x:v>
      </x:c>
      <x:c r="E16" s="467" t="n">
        <x:f>'Économie Unitaire'!B28*($A16/'Hypothèses'!B7)*(E$15/'Hypothèses'!B13)*1000*'Hypothèses'!B38</x:f>
        <x:v>24238659.0271875</x:v>
      </x:c>
      <x:c r="F16" s="467" t="n">
        <x:f>'Économie Unitaire'!B28*($A16/'Hypothèses'!B7)*(F$15/'Hypothèses'!B13)*1000*'Hypothèses'!B38</x:f>
        <x:v>27268491.405585933</x:v>
      </x:c>
      <x:c r="G16" s="467" t="n">
        <x:f>'Économie Unitaire'!B28*($A16/'Hypothèses'!B7)*(G$15/'Hypothèses'!B13)*1000*'Hypothèses'!B38</x:f>
        <x:v>30298323.783984367</x:v>
      </x:c>
      <x:c r="H16" s="16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477" t="n">
        <x:v>0.08</x:v>
      </x:c>
      <x:c r="B17" s="467" t="n">
        <x:f>'Économie Unitaire'!B28*($A17/'Hypothèses'!B7)*(B$15/'Hypothèses'!B13)*1000*'Hypothèses'!B38</x:f>
        <x:v>24238659.027187496</x:v>
      </x:c>
      <x:c r="C17" s="467" t="n">
        <x:f>'Économie Unitaire'!B28*($A17/'Hypothèses'!B7)*(C$15/'Hypothèses'!B13)*1000*'Hypothèses'!B38</x:f>
        <x:v>29086390.832624998</x:v>
      </x:c>
      <x:c r="D17" s="467" t="n">
        <x:f>'Économie Unitaire'!B28*($A17/'Hypothèses'!B7)*(D$15/'Hypothèses'!B13)*1000*'Hypothèses'!B38</x:f>
        <x:v>33934122.63806249</x:v>
      </x:c>
      <x:c r="E17" s="467" t="n">
        <x:f>'Économie Unitaire'!B28*($A17/'Hypothèses'!B7)*(E$15/'Hypothèses'!B13)*1000*'Hypothèses'!B38</x:f>
        <x:v>38781854.4435</x:v>
      </x:c>
      <x:c r="F17" s="467" t="n">
        <x:f>'Économie Unitaire'!B28*($A17/'Hypothèses'!B7)*(F$15/'Hypothèses'!B13)*1000*'Hypothèses'!B38</x:f>
        <x:v>43629586.248937495</x:v>
      </x:c>
      <x:c r="G17" s="467" t="n">
        <x:f>'Économie Unitaire'!B28*($A17/'Hypothèses'!B7)*(G$15/'Hypothèses'!B13)*1000*'Hypothèses'!B38</x:f>
        <x:v>48477318.05437499</x:v>
      </x:c>
      <x:c r="H17" s="161" t="n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customHeight="1">
      <x:c r="A18" s="477" t="n">
        <x:v>0.11</x:v>
      </x:c>
      <x:c r="B18" s="467" t="n">
        <x:f>'Économie Unitaire'!B28*($A18/'Hypothèses'!B7)*(B$15/'Hypothèses'!B13)*1000*'Hypothèses'!B38</x:f>
        <x:v>33328156.162382808</x:v>
      </x:c>
      <x:c r="C18" s="467" t="n">
        <x:f>'Économie Unitaire'!B28*($A18/'Hypothèses'!B7)*(C$15/'Hypothèses'!B13)*1000*'Hypothèses'!B38</x:f>
        <x:v>39993787.394859366</x:v>
      </x:c>
      <x:c r="D18" s="467" t="n">
        <x:f>'Économie Unitaire'!B28*($A18/'Hypothèses'!B7)*(D$15/'Hypothèses'!B13)*1000*'Hypothèses'!B38</x:f>
        <x:v>46659418.62733593</x:v>
      </x:c>
      <x:c r="E18" s="467" t="n">
        <x:f>'Économie Unitaire'!B28*($A18/'Hypothèses'!B7)*(E$15/'Hypothèses'!B13)*1000*'Hypothèses'!B38</x:f>
        <x:v>53325049.8598125</x:v>
      </x:c>
      <x:c r="F18" s="467" t="n">
        <x:f>'Économie Unitaire'!B28*($A18/'Hypothèses'!B7)*(F$15/'Hypothèses'!B13)*1000*'Hypothèses'!B38</x:f>
        <x:v>59990681.09228906</x:v>
      </x:c>
      <x:c r="G18" s="467" t="n">
        <x:f>'Économie Unitaire'!B28*($A18/'Hypothèses'!B7)*(G$15/'Hypothèses'!B13)*1000*'Hypothèses'!B38</x:f>
        <x:v>66656312.324765615</x:v>
      </x:c>
      <x:c r="H18" s="161" t="n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customHeight="1">
      <x:c r="A19" s="477" t="n">
        <x:v>0.14</x:v>
      </x:c>
      <x:c r="B19" s="467" t="n">
        <x:f>'Économie Unitaire'!B28*($A19/'Hypothèses'!B7)*(B$15/'Hypothèses'!B13)*1000*'Hypothèses'!B38</x:f>
        <x:v>42417653.297578126</x:v>
      </x:c>
      <x:c r="C19" s="467" t="n">
        <x:f>'Économie Unitaire'!B28*($A19/'Hypothèses'!B7)*(C$15/'Hypothèses'!B13)*1000*'Hypothèses'!B38</x:f>
        <x:v>50901183.95709375</x:v>
      </x:c>
      <x:c r="D19" s="467" t="n">
        <x:f>'Économie Unitaire'!B28*($A19/'Hypothèses'!B7)*(D$15/'Hypothèses'!B13)*1000*'Hypothèses'!B38</x:f>
        <x:v>59384714.61660937</x:v>
      </x:c>
      <x:c r="E19" s="467" t="n">
        <x:f>'Économie Unitaire'!B28*($A19/'Hypothèses'!B7)*(E$15/'Hypothèses'!B13)*1000*'Hypothèses'!B38</x:f>
        <x:v>67868245.276125</x:v>
      </x:c>
      <x:c r="F19" s="467" t="n">
        <x:f>'Économie Unitaire'!B28*($A19/'Hypothèses'!B7)*(F$15/'Hypothèses'!B13)*1000*'Hypothèses'!B38</x:f>
        <x:v>76351775.93564063</x:v>
      </x:c>
      <x:c r="G19" s="467" t="n">
        <x:f>'Économie Unitaire'!B28*($A19/'Hypothèses'!B7)*(G$15/'Hypothèses'!B13)*1000*'Hypothèses'!B38</x:f>
        <x:v>84835306.59515625</x:v>
      </x:c>
      <x:c r="H19" s="161" t="n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customHeight="1">
      <x:c r="A20" s="477" t="n">
        <x:v>0.17</x:v>
      </x:c>
      <x:c r="B20" s="467" t="n">
        <x:f>'Économie Unitaire'!B28*($A20/'Hypothèses'!B7)*(B$15/'Hypothèses'!B13)*1000*'Hypothèses'!B38</x:f>
        <x:v>51507150.432773426</x:v>
      </x:c>
      <x:c r="C20" s="467" t="n">
        <x:f>'Économie Unitaire'!B28*($A20/'Hypothèses'!B7)*(C$15/'Hypothèses'!B13)*1000*'Hypothèses'!B38</x:f>
        <x:v>61808580.51932811</x:v>
      </x:c>
      <x:c r="D20" s="467" t="n">
        <x:f>'Économie Unitaire'!B28*($A20/'Hypothèses'!B7)*(D$15/'Hypothèses'!B13)*1000*'Hypothèses'!B38</x:f>
        <x:v>72110010.6058828</x:v>
      </x:c>
      <x:c r="E20" s="467" t="n">
        <x:f>'Économie Unitaire'!B28*($A20/'Hypothèses'!B7)*(E$15/'Hypothèses'!B13)*1000*'Hypothèses'!B38</x:f>
        <x:v>82411440.6924375</x:v>
      </x:c>
      <x:c r="F20" s="467" t="n">
        <x:f>'Économie Unitaire'!B28*($A20/'Hypothèses'!B7)*(F$15/'Hypothèses'!B13)*1000*'Hypothèses'!B38</x:f>
        <x:v>92712870.77899218</x:v>
      </x:c>
      <x:c r="G20" s="467" t="n">
        <x:f>'Économie Unitaire'!B28*($A20/'Hypothèses'!B7)*(G$15/'Hypothèses'!B13)*1000*'Hypothèses'!B38</x:f>
        <x:v>103014300.86554685</x:v>
      </x:c>
      <x:c r="H20" s="161" t="n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customHeight="1">
      <x:c r="A21" s="477" t="n">
        <x:v>0.2</x:v>
      </x:c>
      <x:c r="B21" s="467" t="n">
        <x:f>'Économie Unitaire'!B28*($A21/'Hypothèses'!B7)*(B$15/'Hypothèses'!B13)*1000*'Hypothèses'!B38</x:f>
        <x:v>60596647.56796873</x:v>
      </x:c>
      <x:c r="C21" s="467" t="n">
        <x:f>'Économie Unitaire'!B28*($A21/'Hypothèses'!B7)*(C$15/'Hypothèses'!B13)*1000*'Hypothèses'!B38</x:f>
        <x:v>72715977.08156249</x:v>
      </x:c>
      <x:c r="D21" s="467" t="n">
        <x:f>'Économie Unitaire'!B28*($A21/'Hypothèses'!B7)*(D$15/'Hypothèses'!B13)*1000*'Hypothèses'!B38</x:f>
        <x:v>84835306.59515624</x:v>
      </x:c>
      <x:c r="E21" s="467" t="n">
        <x:f>'Économie Unitaire'!B28*($A21/'Hypothèses'!B7)*(E$15/'Hypothèses'!B13)*1000*'Hypothèses'!B38</x:f>
        <x:v>96954636.10875</x:v>
      </x:c>
      <x:c r="F21" s="467" t="n">
        <x:f>'Économie Unitaire'!B28*($A21/'Hypothèses'!B7)*(F$15/'Hypothèses'!B13)*1000*'Hypothèses'!B38</x:f>
        <x:v>109073965.62234373</x:v>
      </x:c>
      <x:c r="G21" s="467" t="n">
        <x:f>'Économie Unitaire'!B28*($A21/'Hypothèses'!B7)*(G$15/'Hypothèses'!B13)*1000*'Hypothèses'!B38</x:f>
        <x:v>121193295.13593747</x:v>
      </x:c>
      <x:c r="H21" s="161" t="n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customHeight="1">
      <x:c r="A22" s="161" t="n"/>
      <x:c r="B22" s="161" t="n"/>
      <x:c r="C22" s="161" t="n"/>
      <x:c r="D22" s="161" t="n"/>
      <x:c r="E22" s="161" t="n"/>
      <x:c r="F22" s="161" t="n"/>
      <x:c r="G22" s="161" t="n"/>
      <x:c r="H22" s="161" t="n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n"/>
      <x:c r="B23" s="161" t="n"/>
      <x:c r="C23" s="161" t="n"/>
      <x:c r="D23" s="161" t="n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n"/>
      <x:c r="B24" s="161" t="n"/>
      <x:c r="C24" s="161" t="n"/>
      <x:c r="D24" s="161" t="n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n"/>
      <x:c r="B25" s="161" t="n"/>
      <x:c r="C25" s="161" t="n"/>
      <x:c r="D25" s="161" t="n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n"/>
      <x:c r="B26" s="161" t="n"/>
      <x:c r="C26" s="161" t="n"/>
      <x:c r="D26" s="161" t="n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61" t="n"/>
      <x:c r="B28" s="161" t="n"/>
      <x:c r="C28" s="161" t="n"/>
      <x:c r="D28" s="161" t="n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4:H4"/>
    <x:mergeCell ref="A2:H2"/>
    <x:mergeCell ref="A14:H14"/>
    <x:mergeCell ref="A1:H1"/>
  </x:mergeCells>
  <x:conditionalFormatting sqref="B6:G11">
    <x:cfRule type="colorScale" priority="1">
      <x:colorScale>
        <x:cfvo type="min"/>
        <x:cfvo type="percentile" val="50"/>
        <x:cfvo type="max"/>
        <x:color rgb="FFFBE7E7"/>
        <x:color rgb="FFFFF1D5"/>
        <x:color rgb="FFE3F3EC"/>
      </x:colorScale>
    </x:cfRule>
  </x:conditionalFormatting>
  <x:conditionalFormatting sqref="B16:G21">
    <x:cfRule type="colorScale" priority="2">
      <x:colorScale>
        <x:cfvo type="min"/>
        <x:cfvo type="percentile" val="50"/>
        <x:cfvo type="max"/>
        <x:color rgb="FFE3F3EC"/>
        <x:color rgb="FFFFF1D5"/>
        <x:color rgb="FFFBE7E7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29" hidden="0" customWidth="1"/>
    <x:col min="2" max="2" width="21" hidden="0" customWidth="1"/>
    <x:col min="3" max="3" width="40" hidden="0" customWidth="1"/>
    <x:col min="4" max="4" width="12" hidden="0" customWidth="1"/>
    <x:col min="5" max="5" width="12" hidden="0" customWidth="1"/>
    <x:col min="6" max="6" width="42" hidden="0" customWidth="1"/>
    <x:col min="7" max="7" width="19" hidden="0" customWidth="1"/>
    <x:col min="8" max="8" width="30" hidden="0" customWidth="1"/>
  </x:cols>
  <x:sheetData>
    <x:row r="1" ht="15" customHeight="1">
      <x:c r="A1" s="650" t="inlineStr">
        <x:is>
          <x:t xml:space="preserve">WARIBA — Gates financiers et décisions de lancement</x:t>
        </x:is>
      </x:c>
      <x:c r="B1" s="491" t="n"/>
      <x:c r="C1" s="491" t="n"/>
      <x:c r="D1" s="491" t="n"/>
      <x:c r="E1" s="491" t="n"/>
      <x:c r="F1" s="491" t="n"/>
      <x:c r="G1" s="491" t="n"/>
      <x:c r="H1" s="49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651" t="inlineStr">
        <x:is>
          <x:t xml:space="preserve">Un résultat positif ne remplace pas les gates juridiques, PSP, données de marché, sécurité et opérations.</x:t>
        </x:is>
      </x:c>
      <x:c r="B2" s="491" t="n"/>
      <x:c r="C2" s="491" t="n"/>
      <x:c r="D2" s="491" t="n"/>
      <x:c r="E2" s="491" t="n"/>
      <x:c r="F2" s="491" t="n"/>
      <x:c r="G2" s="491" t="n"/>
      <x:c r="H2" s="49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488" t="n"/>
      <x:c r="B3" s="488" t="n"/>
      <x:c r="C3" s="488" t="n"/>
      <x:c r="D3" s="488" t="n"/>
      <x:c r="E3" s="488" t="n"/>
      <x:c r="F3" s="488" t="n"/>
      <x:c r="G3" s="488" t="n"/>
      <x:c r="H3" s="488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652" t="inlineStr">
        <x:is>
          <x:t xml:space="preserve">A. Gates calculés</x:t>
        </x:is>
      </x:c>
      <x:c r="B4" s="491" t="n"/>
      <x:c r="C4" s="491" t="n"/>
      <x:c r="D4" s="491" t="n"/>
      <x:c r="E4" s="491" t="n"/>
      <x:c r="F4" s="491" t="n"/>
      <x:c r="G4" s="491" t="n"/>
      <x:c r="H4" s="491" t="n"/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hidden="0" customHeight="1">
      <x:c r="A5" s="653" t="inlineStr">
        <x:is>
          <x:t xml:space="preserve">Gate</x:t>
        </x:is>
      </x:c>
      <x:c r="B5" s="653" t="inlineStr">
        <x:is>
          <x:t xml:space="preserve">Mesure</x:t>
        </x:is>
      </x:c>
      <x:c r="C5" s="653" t="inlineStr">
        <x:is>
          <x:t xml:space="preserve">Seuil</x:t>
        </x:is>
      </x:c>
      <x:c r="D5" s="653" t="inlineStr">
        <x:is>
          <x:t xml:space="preserve">Résultat</x:t>
        </x:is>
      </x:c>
      <x:c r="E5" s="653" t="inlineStr">
        <x:is>
          <x:t xml:space="preserve">Statut</x:t>
        </x:is>
      </x:c>
      <x:c r="F5" s="653" t="inlineStr">
        <x:is>
          <x:t xml:space="preserve">Action</x:t>
        </x:is>
      </x:c>
      <x:c r="G5" s="653" t="inlineStr">
        <x:is>
          <x:t xml:space="preserve">Responsable</x:t>
        </x:is>
      </x:c>
      <x:c r="H5" s="653" t="inlineStr">
        <x:is>
          <x:t xml:space="preserve">Decision Log</x:t>
        </x:is>
      </x:c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hidden="0" customHeight="1">
      <x:c r="A6" s="488" t="inlineStr">
        <x:is>
          <x:t xml:space="preserve">Contribution positive</x:t>
        </x:is>
      </x:c>
      <x:c r="B6" s="654" t="n">
        <x:f>'Économie Unitaire'!B32</x:f>
        <x:v>24760.08368096875</x:v>
      </x:c>
      <x:c r="C6" s="488" t="inlineStr">
        <x:is>
          <x:t xml:space="preserve">&gt; 0</x:t>
        </x:is>
      </x:c>
      <x:c r="D6" s="490" t="str">
        <x:f>IF(B6&gt;0,"PASS","FAIL")</x:f>
        <x:v>PASS</x:v>
      </x:c>
      <x:c r="E6" s="490" t="str">
        <x:f>D6</x:f>
        <x:v>PASS</x:v>
      </x:c>
      <x:c r="F6" s="488" t="inlineStr">
        <x:is>
          <x:t xml:space="preserve">Continuer seulement si positive</x:t>
        </x:is>
      </x:c>
      <x:c r="G6" s="488" t="inlineStr">
        <x:is>
          <x:t xml:space="preserve">CFO</x:t>
        </x:is>
      </x:c>
      <x:c r="H6" s="488" t="inlineStr">
        <x:is>
          <x:t xml:space="preserve">FM-001</x:t>
        </x:is>
      </x:c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hidden="0" customHeight="1">
      <x:c r="A7" s="488" t="inlineStr">
        <x:is>
          <x:t xml:space="preserve">Marge de contribution</x:t>
        </x:is>
      </x:c>
      <x:c r="B7" s="655" t="n">
        <x:f>'Économie Unitaire'!B33</x:f>
        <x:v>0.49719043536081825</x:v>
      </x:c>
      <x:c r="C7" s="488" t="inlineStr">
        <x:is>
          <x:t xml:space="preserve">≥ 35 %</x:t>
        </x:is>
      </x:c>
      <x:c r="D7" s="490" t="str">
        <x:f>IF(B7&gt;=0.35,"PASS","FAIL")</x:f>
        <x:v>PASS</x:v>
      </x:c>
      <x:c r="E7" s="490" t="str">
        <x:f>D7</x:f>
        <x:v>PASS</x:v>
      </x:c>
      <x:c r="F7" s="488" t="inlineStr">
        <x:is>
          <x:t xml:space="preserve">Revoir prix/caps/coûts</x:t>
        </x:is>
      </x:c>
      <x:c r="G7" s="488" t="inlineStr">
        <x:is>
          <x:t xml:space="preserve">CFO</x:t>
        </x:is>
      </x:c>
      <x:c r="H7" s="488" t="inlineStr">
        <x:is>
          <x:t xml:space="preserve">FM-002</x:t>
        </x:is>
      </x:c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hidden="0" customHeight="1">
      <x:c r="A8" s="488" t="inlineStr">
        <x:is>
          <x:t xml:space="preserve">Break-even mensuel</x:t>
        </x:is>
      </x:c>
      <x:c r="B8" s="656" t="n">
        <x:f>'Économie Unitaire'!B34</x:f>
        <x:v>36.34882707168569</x:v>
      </x:c>
      <x:c r="C8" s="488" t="inlineStr">
        <x:is>
          <x:t xml:space="preserve">≤ ventes M6</x:t>
        </x:is>
      </x:c>
      <x:c r="D8" s="490" t="str">
        <x:f>IF(B8&lt;='Hypothèses'!G43,"PASS","FAIL")</x:f>
        <x:v>PASS</x:v>
      </x:c>
      <x:c r="E8" s="490" t="str">
        <x:f>D8</x:f>
        <x:v>PASS</x:v>
      </x:c>
      <x:c r="F8" s="488" t="inlineStr">
        <x:is>
          <x:t xml:space="preserve">Réduire OPEX ou augmenter contribution</x:t>
        </x:is>
      </x:c>
      <x:c r="G8" s="488" t="inlineStr">
        <x:is>
          <x:t xml:space="preserve">COO</x:t>
        </x:is>
      </x:c>
      <x:c r="H8" s="488" t="inlineStr">
        <x:is>
          <x:t xml:space="preserve">FM-003</x:t>
        </x:is>
      </x:c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hidden="0" customHeight="1">
      <x:c r="A9" s="488" t="inlineStr">
        <x:is>
          <x:t xml:space="preserve">Réserve / 1 000 achats</x:t>
        </x:is>
      </x:c>
      <x:c r="B9" s="654" t="n">
        <x:f>'Économie Unitaire'!B35</x:f>
        <x:v>33934122.63806249</x:v>
      </x:c>
      <x:c r="C9" s="488" t="inlineStr">
        <x:is>
          <x:t xml:space="preserve">Financée avant scale</x:t>
        </x:is>
      </x:c>
      <x:c r="D9" s="490" t="str">
        <x:f>IF('Hypothèses'!B37&gt;=B9,"PASS","PARTIEL")</x:f>
        <x:v>PARTIEL</x:v>
      </x:c>
      <x:c r="E9" s="490" t="str">
        <x:f>D9</x:f>
        <x:v>PARTIEL</x:v>
      </x:c>
      <x:c r="F9" s="488" t="inlineStr">
        <x:is>
          <x:t xml:space="preserve">Alimenter réserve avant acquisition</x:t>
        </x:is>
      </x:c>
      <x:c r="G9" s="488" t="inlineStr">
        <x:is>
          <x:t xml:space="preserve">CFO</x:t>
        </x:is>
      </x:c>
      <x:c r="H9" s="488" t="inlineStr">
        <x:is>
          <x:t xml:space="preserve">FM-004</x:t>
        </x:is>
      </x:c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hidden="0" customHeight="1">
      <x:c r="A10" s="488" t="inlineStr">
        <x:is>
          <x:t xml:space="preserve">Stress contribution</x:t>
        </x:is>
      </x:c>
      <x:c r="B10" s="654" t="n">
        <x:f>'Scénarios v1.1'!E35</x:f>
        <x:v>-1824227.728799999</x:v>
      </x:c>
      <x:c r="C10" s="488" t="str">
        <x:v>&gt; 0 dans Scénarios v1.1</x:v>
      </x:c>
      <x:c r="D10" s="490" t="str">
        <x:f>IF(B10&gt;0,"PASS","FAIL")</x:f>
        <x:v>FAIL</x:v>
      </x:c>
      <x:c r="E10" s="490" t="str">
        <x:f>D10</x:f>
        <x:v>FAIL</x:v>
      </x:c>
      <x:c r="F10" s="488" t="inlineStr">
        <x:is>
          <x:t xml:space="preserve">Ne pas lancer si négative</x:t>
        </x:is>
      </x:c>
      <x:c r="G10" s="488" t="inlineStr">
        <x:is>
          <x:t xml:space="preserve">CFO/CRO</x:t>
        </x:is>
      </x:c>
      <x:c r="H10" s="488" t="inlineStr">
        <x:is>
          <x:t xml:space="preserve">FM-005</x:t>
        </x:is>
      </x:c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24" hidden="0" customHeight="1">
      <x:c r="A11" s="488" t="str">
        <x:v>Ventes publiques 25K/50K/100K</x:v>
      </x:c>
      <x:c r="B11" s="489" t="str">
        <x:v>CANDIDATE — non approuvé</x:v>
      </x:c>
      <x:c r="C11" s="488" t="str">
        <x:v>Stress: contribution positive + réserve 2x + gates non financiers</x:v>
      </x:c>
      <x:c r="D11" s="490" t="str">
        <x:v>OPEN</x:v>
      </x:c>
      <x:c r="E11" s="490" t="str">
        <x:v>OPEN</x:v>
      </x:c>
      <x:c r="F11" s="488" t="str">
        <x:v>Garder les flags publics désactivables par taille</x:v>
      </x:c>
      <x:c r="G11" s="488" t="str">
        <x:v>CFO/CRO</x:v>
      </x:c>
      <x:c r="H11" s="488" t="str">
        <x:v>FM-006 / ARM-011 / ARM-012</x:v>
      </x:c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hidden="0" customHeight="1">
      <x:c r="A12" s="488" t="inlineStr">
        <x:is>
          <x:t xml:space="preserve">Cash exploitation M12</x:t>
        </x:is>
      </x:c>
      <x:c r="B12" s="654" t="n">
        <x:f>'Prévision 24M'!M28</x:f>
        <x:v>54062975.60638223</x:v>
      </x:c>
      <x:c r="C12" s="488" t="inlineStr">
        <x:is>
          <x:t xml:space="preserve">&gt; 0</x:t>
        </x:is>
      </x:c>
      <x:c r="D12" s="490" t="str">
        <x:f>IF(B12&gt;0,"PASS","FAIL")</x:f>
        <x:v>PASS</x:v>
      </x:c>
      <x:c r="E12" s="490" t="str">
        <x:f>D12</x:f>
        <x:v>PASS</x:v>
      </x:c>
      <x:c r="F12" s="488" t="inlineStr">
        <x:is>
          <x:t xml:space="preserve">Contrôler dépenses et croissance</x:t>
        </x:is>
      </x:c>
      <x:c r="G12" s="488" t="inlineStr">
        <x:is>
          <x:t xml:space="preserve">COO</x:t>
        </x:is>
      </x:c>
      <x:c r="H12" s="488" t="inlineStr">
        <x:is>
          <x:t xml:space="preserve">FM-007</x:t>
        </x:is>
      </x:c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hidden="0" customHeight="1">
      <x:c r="A13" s="488" t="inlineStr">
        <x:is>
          <x:t xml:space="preserve">Couverture minimum 24M</x:t>
        </x:is>
      </x:c>
      <x:c r="B13" s="489" t="n">
        <x:f>MIN('Prévision 24M'!B31:Y31)</x:f>
        <x:v>3.2928015864932627</x:v>
      </x:c>
      <x:c r="C13" s="488" t="inlineStr">
        <x:is>
          <x:t xml:space="preserve">≥ 1,2x</x:t>
        </x:is>
      </x:c>
      <x:c r="D13" s="490" t="str">
        <x:f>IF(B13&gt;=1.2,"PASS","FAIL")</x:f>
        <x:v>PASS</x:v>
      </x:c>
      <x:c r="E13" s="490" t="str">
        <x:f>D13</x:f>
        <x:v>PASS</x:v>
      </x:c>
      <x:c r="F13" s="488" t="inlineStr">
        <x:is>
          <x:t xml:space="preserve">Suspendre nouvelles ventes si critique</x:t>
        </x:is>
      </x:c>
      <x:c r="G13" s="488" t="inlineStr">
        <x:is>
          <x:t xml:space="preserve">CFO</x:t>
        </x:is>
      </x:c>
      <x:c r="H13" s="488" t="inlineStr">
        <x:is>
          <x:t xml:space="preserve">FM-008</x:t>
        </x:is>
      </x:c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hidden="0" customHeight="1">
      <x:c r="A14" s="488" t="n"/>
      <x:c r="B14" s="488" t="n"/>
      <x:c r="C14" s="488" t="n"/>
      <x:c r="D14" s="488" t="n"/>
      <x:c r="E14" s="488" t="n"/>
      <x:c r="F14" s="488" t="n"/>
      <x:c r="G14" s="488" t="n"/>
      <x:c r="H14" s="488" t="n"/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hidden="0" customHeight="1">
      <x:c r="A15" s="488" t="n"/>
      <x:c r="B15" s="488" t="n"/>
      <x:c r="C15" s="488" t="n"/>
      <x:c r="D15" s="488" t="n"/>
      <x:c r="E15" s="488" t="n"/>
      <x:c r="F15" s="488" t="n"/>
      <x:c r="G15" s="488" t="n"/>
      <x:c r="H15" s="488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hidden="0" customHeight="1">
      <x:c r="A16" s="652" t="inlineStr">
        <x:is>
          <x:t xml:space="preserve">B. Gates non financiers</x:t>
        </x:is>
      </x:c>
      <x:c r="B16" s="491" t="n"/>
      <x:c r="C16" s="491" t="n"/>
      <x:c r="D16" s="491" t="n"/>
      <x:c r="E16" s="491" t="n"/>
      <x:c r="F16" s="491" t="n"/>
      <x:c r="G16" s="491" t="n"/>
      <x:c r="H16" s="491" t="n"/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hidden="0" customHeight="1">
      <x:c r="A17" s="653" t="inlineStr">
        <x:is>
          <x:t xml:space="preserve">Gate</x:t>
        </x:is>
      </x:c>
      <x:c r="B17" s="653" t="inlineStr">
        <x:is>
          <x:t xml:space="preserve">Statut actuel</x:t>
        </x:is>
      </x:c>
      <x:c r="C17" s="653" t="inlineStr">
        <x:is>
          <x:t xml:space="preserve">Condition avant vente publique</x:t>
        </x:is>
      </x:c>
      <x:c r="D17" s="653" t="inlineStr">
        <x:is>
          <x:t xml:space="preserve">Responsable</x:t>
        </x:is>
      </x:c>
      <x:c r="E17" s="488" t="str"/>
      <x:c r="F17" s="488" t="str"/>
      <x:c r="G17" s="488" t="str"/>
      <x:c r="H17" s="488" t="str"/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hidden="0" customHeight="1">
      <x:c r="A18" s="488" t="inlineStr">
        <x:is>
          <x:t xml:space="preserve">Avis juridique local</x:t>
        </x:is>
      </x:c>
      <x:c r="B18" s="657" t="inlineStr">
        <x:is>
          <x:t xml:space="preserve">OPEN</x:t>
        </x:is>
      </x:c>
      <x:c r="C18" s="488" t="inlineStr">
        <x:is>
          <x:t xml:space="preserve">Position écrite et conditions contractuelles</x:t>
        </x:is>
      </x:c>
      <x:c r="D18" s="488" t="inlineStr">
        <x:is>
          <x:t xml:space="preserve">Legal</x:t>
        </x:is>
      </x:c>
      <x:c r="E18" s="488" t="str"/>
      <x:c r="F18" s="488" t="str"/>
      <x:c r="G18" s="488" t="str"/>
      <x:c r="H18" s="488" t="str"/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hidden="0" customHeight="1">
      <x:c r="A19" s="488" t="inlineStr">
        <x:is>
          <x:t xml:space="preserve">PSP marchand</x:t>
        </x:is>
      </x:c>
      <x:c r="B19" s="657" t="inlineStr">
        <x:is>
          <x:t xml:space="preserve">OPEN</x:t>
        </x:is>
      </x:c>
      <x:c r="C19" s="488" t="inlineStr">
        <x:is>
          <x:t xml:space="preserve">Contrat et webhooks testés</x:t>
        </x:is>
      </x:c>
      <x:c r="D19" s="488" t="inlineStr">
        <x:is>
          <x:t xml:space="preserve">Payments</x:t>
        </x:is>
      </x:c>
      <x:c r="E19" s="488" t="str"/>
      <x:c r="F19" s="488" t="str"/>
      <x:c r="G19" s="488" t="str"/>
      <x:c r="H19" s="488" t="str"/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hidden="0" customHeight="1">
      <x:c r="A20" s="488" t="inlineStr">
        <x:is>
          <x:t xml:space="preserve">Données de marché</x:t>
        </x:is>
      </x:c>
      <x:c r="B20" s="657" t="inlineStr">
        <x:is>
          <x:t xml:space="preserve">OPEN</x:t>
        </x:is>
      </x:c>
      <x:c r="C20" s="488" t="inlineStr">
        <x:is>
          <x:t xml:space="preserve">Licence commerciale et plan de continuité</x:t>
        </x:is>
      </x:c>
      <x:c r="D20" s="488" t="inlineStr">
        <x:is>
          <x:t xml:space="preserve">Market Data</x:t>
        </x:is>
      </x:c>
      <x:c r="E20" s="488" t="str"/>
      <x:c r="F20" s="488" t="str"/>
      <x:c r="G20" s="488" t="str"/>
      <x:c r="H20" s="488" t="str"/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hidden="0" customHeight="1">
      <x:c r="A21" s="488" t="inlineStr">
        <x:is>
          <x:t xml:space="preserve">KYC / payout</x:t>
        </x:is>
      </x:c>
      <x:c r="B21" s="657" t="inlineStr">
        <x:is>
          <x:t xml:space="preserve">OPEN</x:t>
        </x:is>
      </x:c>
      <x:c r="C21" s="488" t="inlineStr">
        <x:is>
          <x:t xml:space="preserve">Processus réel et privacy validés</x:t>
        </x:is>
      </x:c>
      <x:c r="D21" s="488" t="inlineStr">
        <x:is>
          <x:t xml:space="preserve">Operations</x:t>
        </x:is>
      </x:c>
      <x:c r="E21" s="488" t="str"/>
      <x:c r="F21" s="488" t="str"/>
      <x:c r="G21" s="488" t="str"/>
      <x:c r="H21" s="488" t="str"/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hidden="0" customHeight="1">
      <x:c r="A22" s="488" t="inlineStr">
        <x:is>
          <x:t xml:space="preserve">Sécurité</x:t>
        </x:is>
      </x:c>
      <x:c r="B22" s="657" t="inlineStr">
        <x:is>
          <x:t xml:space="preserve">OPEN</x:t>
        </x:is>
      </x:c>
      <x:c r="C22" s="488" t="inlineStr">
        <x:is>
          <x:t xml:space="preserve">Audit, RLS, secrets, backups et incident drills</x:t>
        </x:is>
      </x:c>
      <x:c r="D22" s="488" t="inlineStr">
        <x:is>
          <x:t xml:space="preserve">Security</x:t>
        </x:is>
      </x:c>
      <x:c r="E22" s="488" t="str"/>
      <x:c r="F22" s="488" t="str"/>
      <x:c r="G22" s="488" t="str"/>
      <x:c r="H22" s="488" t="str"/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hidden="0" customHeight="1">
      <x:c r="A23" s="488" t="inlineStr">
        <x:is>
          <x:t xml:space="preserve">Support et recours</x:t>
        </x:is>
      </x:c>
      <x:c r="B23" s="657" t="inlineStr">
        <x:is>
          <x:t xml:space="preserve">OPEN</x:t>
        </x:is>
      </x:c>
      <x:c r="C23" s="488" t="inlineStr">
        <x:is>
          <x:t xml:space="preserve">Runbooks, SLA réalistes et humain disponible</x:t>
        </x:is>
      </x:c>
      <x:c r="D23" s="488" t="inlineStr">
        <x:is>
          <x:t xml:space="preserve">Operations</x:t>
        </x:is>
      </x:c>
      <x:c r="E23" s="488" t="str"/>
      <x:c r="F23" s="488" t="str"/>
      <x:c r="G23" s="488" t="str"/>
      <x:c r="H23" s="488" t="str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hidden="0" customHeight="1">
      <x:c r="A24" s="488" t="inlineStr">
        <x:is>
          <x:t xml:space="preserve">Ancien WARIBA BRVM</x:t>
        </x:is>
      </x:c>
      <x:c r="B24" s="657" t="inlineStr">
        <x:is>
          <x:t xml:space="preserve">OPEN</x:t>
        </x:is>
      </x:c>
      <x:c r="C24" s="488" t="inlineStr">
        <x:is>
          <x:t xml:space="preserve">Renommage et séparation des actifs</x:t>
        </x:is>
      </x:c>
      <x:c r="D24" s="488" t="inlineStr">
        <x:is>
          <x:t xml:space="preserve">Brand/Legal</x:t>
        </x:is>
      </x:c>
      <x:c r="E24" s="488" t="str"/>
      <x:c r="F24" s="488" t="str"/>
      <x:c r="G24" s="488" t="str"/>
      <x:c r="H24" s="488" t="str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57" t="n"/>
      <x:c r="B25" s="157" t="n"/>
      <x:c r="C25" s="157" t="n"/>
      <x:c r="D25" s="157" t="n"/>
      <x:c r="E25" s="157" t="n"/>
      <x:c r="F25" s="157" t="n"/>
      <x:c r="G25" s="157" t="n"/>
      <x:c r="H25" s="157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57" t="n"/>
      <x:c r="B26" s="157" t="n"/>
      <x:c r="C26" s="157" t="n"/>
      <x:c r="D26" s="157" t="n"/>
      <x:c r="E26" s="157" t="n"/>
      <x:c r="F26" s="157" t="n"/>
      <x:c r="G26" s="157" t="n"/>
      <x:c r="H26" s="157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57" t="n"/>
      <x:c r="B27" s="157" t="n"/>
      <x:c r="C27" s="157" t="n"/>
      <x:c r="D27" s="157" t="n"/>
      <x:c r="E27" s="157" t="n"/>
      <x:c r="F27" s="157" t="n"/>
      <x:c r="G27" s="157" t="n"/>
      <x:c r="H27" s="157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57" t="n"/>
      <x:c r="B28" s="157" t="n"/>
      <x:c r="C28" s="157" t="n"/>
      <x:c r="D28" s="157" t="n"/>
      <x:c r="E28" s="157" t="n"/>
      <x:c r="F28" s="157" t="n"/>
      <x:c r="G28" s="157" t="n"/>
      <x:c r="H28" s="157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57" t="n"/>
      <x:c r="B29" s="157" t="n"/>
      <x:c r="C29" s="157" t="n"/>
      <x:c r="D29" s="157" t="n"/>
      <x:c r="E29" s="157" t="n"/>
      <x:c r="F29" s="157" t="n"/>
      <x:c r="G29" s="157" t="n"/>
      <x:c r="H29" s="157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57" t="n"/>
      <x:c r="B30" s="157" t="n"/>
      <x:c r="C30" s="157" t="n"/>
      <x:c r="D30" s="157" t="n"/>
      <x:c r="E30" s="157" t="n"/>
      <x:c r="F30" s="157" t="n"/>
      <x:c r="G30" s="157" t="n"/>
      <x:c r="H30" s="157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4:H4"/>
    <x:mergeCell ref="A2:H2"/>
    <x:mergeCell ref="A16:H16"/>
    <x:mergeCell ref="A1:H1"/>
  </x:mergeCells>
  <x:conditionalFormatting sqref="D6:E13">
    <x:cfRule type="expression" dxfId="0" priority="1">
      <x:formula>OR(D6="FAIL",D6="SUSPEND")</x:formula>
    </x:cfRule>
    <x:cfRule type="expression" dxfId="2" priority="2">
      <x:formula>OR(D6="PASS",D6="OPEN")</x:formula>
    </x:cfRule>
    <x:cfRule type="expression" dxfId="1" priority="3">
      <x:formula>D6="PARTIEL"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4" customWidth="1"/>
    <x:col min="4" max="4" width="14" customWidth="1"/>
    <x:col min="5" max="5" width="12" customWidth="1"/>
    <x:col min="6" max="6" width="12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</x:cols>
  <x:sheetData>
    <x:row r="1" ht="15" customHeight="1">
      <x:c r="A1" s="401" t="inlineStr">
        <x:is>
          <x:t xml:space="preserve">WARIBA — Dashboard financier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167" t="inlineStr">
        <x:is>
          <x:t xml:space="preserve">Vue de décision. Les paramètres restent CANDIDATE jusqu’au modèle stressé, à la bêta et aux launch gates.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61" t="n"/>
      <x:c r="N2" s="678" t="inlineStr">
        <x:is>
          <x:t xml:space="preserve">M1</x:t>
        </x:is>
      </x:c>
      <x:c r="O2" s="678" t="inlineStr">
        <x:is>
          <x:t xml:space="preserve">M2</x:t>
        </x:is>
      </x:c>
      <x:c r="P2" s="678" t="inlineStr">
        <x:is>
          <x:t xml:space="preserve">M3</x:t>
        </x:is>
      </x:c>
      <x:c r="Q2" s="678" t="inlineStr">
        <x:is>
          <x:t xml:space="preserve">M4</x:t>
        </x:is>
      </x:c>
      <x:c r="R2" s="678" t="inlineStr">
        <x:is>
          <x:t xml:space="preserve">M5</x:t>
        </x:is>
      </x:c>
      <x:c r="S2" s="678" t="inlineStr">
        <x:is>
          <x:t xml:space="preserve">M6</x:t>
        </x:is>
      </x:c>
      <x:c r="T2" s="678" t="inlineStr">
        <x:is>
          <x:t xml:space="preserve">M7</x:t>
        </x:is>
      </x:c>
      <x:c r="U2" s="678" t="inlineStr">
        <x:is>
          <x:t xml:space="preserve">M8</x:t>
        </x:is>
      </x:c>
      <x:c r="V2" s="678" t="inlineStr">
        <x:is>
          <x:t xml:space="preserve">M9</x:t>
        </x:is>
      </x:c>
      <x:c r="W2" s="678" t="inlineStr">
        <x:is>
          <x:t xml:space="preserve">M10</x:t>
        </x:is>
      </x:c>
      <x:c r="X2" s="678" t="inlineStr">
        <x:is>
          <x:t xml:space="preserve">M11</x:t>
        </x:is>
      </x:c>
      <x:c r="Y2" s="678" t="inlineStr">
        <x:is>
          <x:t xml:space="preserve">M12</x:t>
        </x:is>
      </x:c>
      <x:c r="Z2" s="678" t="inlineStr">
        <x:is>
          <x:t xml:space="preserve">M13</x:t>
        </x:is>
      </x:c>
      <x:c r="AA2" s="678" t="inlineStr">
        <x:is>
          <x:t xml:space="preserve">M14</x:t>
        </x:is>
      </x:c>
      <x:c r="AB2" s="678" t="inlineStr">
        <x:is>
          <x:t xml:space="preserve">M15</x:t>
        </x:is>
      </x:c>
      <x:c r="AC2" s="678" t="inlineStr">
        <x:is>
          <x:t xml:space="preserve">M16</x:t>
        </x:is>
      </x:c>
      <x:c r="AD2" s="678" t="inlineStr">
        <x:is>
          <x:t xml:space="preserve">M17</x:t>
        </x:is>
      </x:c>
      <x:c r="AE2" s="678" t="inlineStr">
        <x:is>
          <x:t xml:space="preserve">M18</x:t>
        </x:is>
      </x:c>
      <x:c r="AF2" s="678" t="inlineStr">
        <x:is>
          <x:t xml:space="preserve">M19</x:t>
        </x:is>
      </x:c>
      <x:c r="AG2" s="678" t="inlineStr">
        <x:is>
          <x:t xml:space="preserve">M20</x:t>
        </x:is>
      </x:c>
      <x:c r="AH2" s="678" t="inlineStr">
        <x:is>
          <x:t xml:space="preserve">M21</x:t>
        </x:is>
      </x:c>
      <x:c r="AI2" s="678" t="inlineStr">
        <x:is>
          <x:t xml:space="preserve">M22</x:t>
        </x:is>
      </x:c>
      <x:c r="AJ2" s="678" t="inlineStr">
        <x:is>
          <x:t xml:space="preserve">M23</x:t>
        </x:is>
      </x:c>
      <x:c r="AK2" s="678" t="inlineStr">
        <x:is>
          <x:t xml:space="preserve">M24</x:t>
        </x:is>
      </x:c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161" t="n"/>
      <x:c r="B3" s="161" t="n"/>
      <x:c r="C3" s="161" t="n"/>
      <x:c r="D3" s="161" t="n"/>
      <x:c r="E3" s="161" t="n"/>
      <x:c r="F3" s="161" t="n"/>
      <x:c r="G3" s="161" t="n"/>
      <x:c r="H3" s="161" t="n"/>
      <x:c r="I3" s="161" t="n"/>
      <x:c r="J3" s="161" t="n"/>
      <x:c r="K3" s="161" t="n"/>
      <x:c r="L3" s="161" t="n"/>
      <x:c r="M3" s="161" t="inlineStr">
        <x:is>
          <x:t xml:space="preserve">CA</x:t>
        </x:is>
      </x:c>
      <x:c r="N3" s="678" t="n">
        <x:f>'Prévision 24M'!B8</x:f>
        <x:v>1245000</x:v>
      </x:c>
      <x:c r="O3" s="678" t="n">
        <x:f>'Prévision 24M'!C8</x:f>
        <x:v>2278350</x:v>
      </x:c>
      <x:c r="P3" s="678" t="n">
        <x:f>'Prévision 24M'!D8</x:f>
        <x:v>3512020.5000000005</x:v>
      </x:c>
      <x:c r="Q3" s="678" t="n">
        <x:f>'Prévision 24M'!E8</x:f>
        <x:v>4791764.715</x:v>
      </x:c>
      <x:c r="R3" s="678" t="n">
        <x:f>'Prévision 24M'!F8</x:f>
        <x:v>6082105.88445</x:v>
      </x:c>
      <x:c r="S3" s="678" t="n">
        <x:f>'Prévision 24M'!G8</x:f>
        <x:v>7872884.3534235</x:v>
      </x:c>
      <x:c r="T3" s="678" t="n">
        <x:f>'Prévision 24M'!H8</x:f>
        <x:v>9778763.401287405</x:v>
      </x:c>
      <x:c r="U3" s="678" t="n">
        <x:f>'Prévision 24M'!I8</x:f>
        <x:v>12209115.582296103</x:v>
      </x:c>
      <x:c r="V3" s="678" t="n">
        <x:f>'Prévision 24M'!J8</x:f>
        <x:v>14760096.583928103</x:v>
      </x:c>
      <x:c r="W3" s="678" t="n">
        <x:f>'Prévision 24M'!K8</x:f>
        <x:v>17338822.214303464</x:v>
      </x:c>
      <x:c r="X3" s="678" t="n">
        <x:f>'Prévision 24M'!L8</x:f>
        <x:v>19923929.109289795</x:v>
      </x:c>
      <x:c r="Y3" s="678" t="n">
        <x:f>'Prévision 24M'!M8</x:f>
        <x:v>22510503.695136655</x:v>
      </x:c>
      <x:c r="Z3" s="678" t="n">
        <x:f>'Prévision 24M'!N8</x:f>
        <x:v>25097415.849881433</x:v>
      </x:c>
      <x:c r="AA3" s="678" t="n">
        <x:f>'Prévision 24M'!O8</x:f>
        <x:v>28182405.64547273</x:v>
      </x:c>
      <x:c r="AB3" s="678" t="n">
        <x:f>'Prévision 24M'!P8</x:f>
        <x:v>31381953.29845873</x:v>
      </x:c>
      <x:c r="AC3" s="678" t="n">
        <x:f>'Prévision 24M'!Q8</x:f>
        <x:v>34607849.25864551</x:v>
      </x:c>
      <x:c r="AD3" s="678" t="n">
        <x:f>'Prévision 24M'!R8</x:f>
        <x:v>37839805.32948846</x:v>
      </x:c>
      <x:c r="AE3" s="678" t="n">
        <x:f>'Prévision 24M'!S8</x:f>
        <x:v>41073155.22578234</x:v>
      </x:c>
      <x:c r="AF3" s="678" t="n">
        <x:f>'Prévision 24M'!T8</x:f>
        <x:v>44306825.70192994</x:v>
      </x:c>
      <x:c r="AG3" s="678" t="n">
        <x:f>'Prévision 24M'!U8</x:f>
        <x:v>47540569.91144389</x:v>
      </x:c>
      <x:c r="AH3" s="678" t="n">
        <x:f>'Prévision 24M'!V8</x:f>
        <x:v>50774331.079632096</x:v>
      </x:c>
      <x:c r="AI3" s="678" t="n">
        <x:f>'Prévision 24M'!W8</x:f>
        <x:v>54008096.14831538</x:v>
      </x:c>
      <x:c r="AJ3" s="678" t="n">
        <x:f>'Prévision 24M'!X8</x:f>
        <x:v>57241862.11411253</x:v>
      </x:c>
      <x:c r="AK3" s="678" t="n">
        <x:f>'Prévision 24M'!Y8</x:f>
        <x:v>62965628.28624588</x:v>
      </x:c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customHeight="1">
      <x:c r="A4" s="393" t="inlineStr">
        <x:is>
          <x:t xml:space="preserve">Scénario</x:t>
        </x:is>
      </x:c>
      <x:c r="B4" s="1" t="n"/>
      <x:c r="C4" s="1" t="n"/>
      <x:c r="D4" s="393" t="inlineStr">
        <x:is>
          <x:t xml:space="preserve">Prix moyen</x:t>
        </x:is>
      </x:c>
      <x:c r="E4" s="1" t="n"/>
      <x:c r="F4" s="1" t="n"/>
      <x:c r="G4" s="393" t="inlineStr">
        <x:is>
          <x:t xml:space="preserve">Contribution / achat</x:t>
        </x:is>
      </x:c>
      <x:c r="H4" s="1" t="n"/>
      <x:c r="I4" s="1" t="n"/>
      <x:c r="J4" s="393" t="inlineStr">
        <x:is>
          <x:t xml:space="preserve">Marge contribution</x:t>
        </x:is>
      </x:c>
      <x:c r="K4" s="1" t="n"/>
      <x:c r="L4" s="1" t="n"/>
      <x:c r="M4" s="161" t="inlineStr">
        <x:is>
          <x:t xml:space="preserve">Payouts</x:t>
        </x:is>
      </x:c>
      <x:c r="N4" s="678" t="n">
        <x:f>-'Prévision 24M'!B26</x:f>
        <x:v>0</x:v>
      </x:c>
      <x:c r="O4" s="678" t="n">
        <x:f>-'Prévision 24M'!C26</x:f>
        <x:v>0</x:v>
      </x:c>
      <x:c r="P4" s="678" t="n">
        <x:f>-'Prévision 24M'!D26</x:f>
        <x:v>149619.81562499996</x:v>
      </x:c>
      <x:c r="Q4" s="678" t="n">
        <x:f>-'Prévision 24M'!E26</x:f>
        <x:v>393042.0952499999</x:v>
      </x:c>
      <x:c r="R4" s="678" t="n">
        <x:f>-'Prévision 24M'!F26</x:f>
        <x:v>719199.85806375</x:v>
      </x:c>
      <x:c r="S4" s="678" t="n">
        <x:f>-'Prévision 24M'!G26</x:f>
        <x:v>1106162.0085929434</x:v>
      </x:c>
      <x:c r="T4" s="678" t="n">
        <x:f>-'Prévision 24M'!H26</x:f>
        <x:v>1529981.6914076267</x:v>
      </x:c>
      <x:c r="U4" s="678" t="n">
        <x:f>-'Prévision 24M'!I26</x:f>
        <x:v>2021272.1103506288</x:v>
      </x:c>
      <x:c r="V4" s="678" t="n">
        <x:f>-'Prévision 24M'!J26</x:f>
        <x:v>2581153.192400644</x:v>
      </x:c>
      <x:c r="W4" s="678" t="n">
        <x:f>-'Prévision 24M'!K26</x:f>
        <x:v>3248230.8877777723</x:v>
      </x:c>
      <x:c r="X4" s="678" t="n">
        <x:f>-'Prévision 24M'!L26</x:f>
        <x:v>4007459.1351279495</x:v>
      </x:c>
      <x:c r="Y4" s="678" t="n">
        <x:f>-'Prévision 24M'!M26</x:f>
        <x:v>4830209.3654644275</x:v>
      </x:c>
      <x:c r="Z4" s="678" t="n">
        <x:f>-'Prévision 24M'!N26</x:f>
        <x:v>5687369.849733068</x:v>
      </x:c>
      <x:c r="AA4" s="678" t="n">
        <x:f>-'Prévision 24M'!O26</x:f>
        <x:v>6563199.213876105</x:v>
      </x:c>
      <x:c r="AB4" s="678" t="n">
        <x:f>-'Prévision 24M'!P26</x:f>
        <x:v>7443322.420390253</x:v>
      </x:c>
      <x:c r="AC4" s="678" t="n">
        <x:f>-'Prévision 24M'!Q26</x:f>
        <x:v>8384281.136899757</x:v>
      </x:c>
      <x:c r="AD4" s="678" t="n">
        <x:f>-'Prévision 24M'!R26</x:f>
        <x:v>9386927.15377069</x:v>
      </x:c>
      <x:c r="AE4" s="678" t="n">
        <x:f>-'Prévision 24M'!S26</x:f>
        <x:v>10435334.08428726</x:v>
      </x:c>
      <x:c r="AF4" s="678" t="n">
        <x:f>-'Prévision 24M'!T26</x:f>
        <x:v>11514066.22278763</x:v>
      </x:c>
      <x:c r="AG4" s="678" t="n">
        <x:f>-'Prévision 24M'!U26</x:f>
        <x:v>12610527.680594278</x:v>
      </x:c>
      <x:c r="AH4" s="678" t="n">
        <x:f>-'Prévision 24M'!V26</x:f>
        <x:v>13711066.881841367</x:v>
      </x:c>
      <x:c r="AI4" s="678" t="n">
        <x:f>-'Prévision 24M'!W26</x:f>
        <x:v>14812543.964079762</x:v>
      </x:c>
      <x:c r="AJ4" s="678" t="n">
        <x:f>-'Prévision 24M'!X26</x:f>
        <x:v>15914236.758946158</x:v>
      </x:c>
      <x:c r="AK4" s="678" t="n">
        <x:f>-'Prévision 24M'!Y26</x:f>
        <x:v>17015979.167716987</x:v>
      </x:c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customHeight="1">
      <x:c r="A5" s="480" t="str">
        <x:f>'Hypothèses'!B3</x:f>
        <x:v>Base</x:v>
      </x:c>
      <x:c r="B5" s="1" t="n"/>
      <x:c r="C5" s="1" t="n"/>
      <x:c r="D5" s="481" t="n">
        <x:f>'Économie Unitaire'!B7</x:f>
        <x:v>49800</x:v>
      </x:c>
      <x:c r="E5" s="1" t="n"/>
      <x:c r="F5" s="1" t="n"/>
      <x:c r="G5" s="481" t="n">
        <x:f>'Économie Unitaire'!B32</x:f>
        <x:v>24760.08368096875</x:v>
      </x:c>
      <x:c r="H5" s="1" t="n"/>
      <x:c r="I5" s="1" t="n"/>
      <x:c r="J5" s="482" t="n">
        <x:f>'Économie Unitaire'!B33</x:f>
        <x:v>0.49719043536081825</x:v>
      </x:c>
      <x:c r="K5" s="1" t="n"/>
      <x:c r="L5" s="1" t="n"/>
      <x:c r="M5" s="161" t="n"/>
      <x:c r="N5" s="678" t="n"/>
      <x:c r="O5" s="678" t="n"/>
      <x:c r="P5" s="678" t="n"/>
      <x:c r="Q5" s="678" t="n"/>
      <x:c r="R5" s="678" t="n"/>
      <x:c r="S5" s="678" t="n"/>
      <x:c r="T5" s="678" t="n"/>
      <x:c r="U5" s="678" t="n"/>
      <x:c r="V5" s="678" t="n"/>
      <x:c r="W5" s="678" t="n"/>
      <x:c r="X5" s="678" t="n"/>
      <x:c r="Y5" s="678" t="n"/>
      <x:c r="Z5" s="678" t="n"/>
      <x:c r="AA5" s="678" t="n"/>
      <x:c r="AB5" s="678" t="n"/>
      <x:c r="AC5" s="678" t="n"/>
      <x:c r="AD5" s="678" t="n"/>
      <x:c r="AE5" s="678" t="n"/>
      <x:c r="AF5" s="678" t="n"/>
      <x:c r="AG5" s="678" t="n"/>
      <x:c r="AH5" s="678" t="n"/>
      <x:c r="AI5" s="678" t="n"/>
      <x:c r="AJ5" s="678" t="n"/>
      <x:c r="AK5" s="678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customHeight="1">
      <x:c r="A6" s="1" t="n"/>
      <x:c r="B6" s="1" t="n"/>
      <x:c r="C6" s="1" t="n"/>
      <x:c r="D6" s="1" t="n"/>
      <x:c r="E6" s="1" t="n"/>
      <x:c r="F6" s="1" t="n"/>
      <x:c r="G6" s="1" t="n"/>
      <x:c r="H6" s="1" t="n"/>
      <x:c r="I6" s="1" t="n"/>
      <x:c r="J6" s="1" t="n"/>
      <x:c r="K6" s="1" t="n"/>
      <x:c r="L6" s="1" t="n"/>
      <x:c r="M6" s="161" t="n"/>
      <x:c r="N6" s="678" t="inlineStr">
        <x:is>
          <x:t xml:space="preserve">M1</x:t>
        </x:is>
      </x:c>
      <x:c r="O6" s="678" t="inlineStr">
        <x:is>
          <x:t xml:space="preserve">M2</x:t>
        </x:is>
      </x:c>
      <x:c r="P6" s="678" t="inlineStr">
        <x:is>
          <x:t xml:space="preserve">M3</x:t>
        </x:is>
      </x:c>
      <x:c r="Q6" s="678" t="inlineStr">
        <x:is>
          <x:t xml:space="preserve">M4</x:t>
        </x:is>
      </x:c>
      <x:c r="R6" s="678" t="inlineStr">
        <x:is>
          <x:t xml:space="preserve">M5</x:t>
        </x:is>
      </x:c>
      <x:c r="S6" s="678" t="inlineStr">
        <x:is>
          <x:t xml:space="preserve">M6</x:t>
        </x:is>
      </x:c>
      <x:c r="T6" s="678" t="inlineStr">
        <x:is>
          <x:t xml:space="preserve">M7</x:t>
        </x:is>
      </x:c>
      <x:c r="U6" s="678" t="inlineStr">
        <x:is>
          <x:t xml:space="preserve">M8</x:t>
        </x:is>
      </x:c>
      <x:c r="V6" s="678" t="inlineStr">
        <x:is>
          <x:t xml:space="preserve">M9</x:t>
        </x:is>
      </x:c>
      <x:c r="W6" s="678" t="inlineStr">
        <x:is>
          <x:t xml:space="preserve">M10</x:t>
        </x:is>
      </x:c>
      <x:c r="X6" s="678" t="inlineStr">
        <x:is>
          <x:t xml:space="preserve">M11</x:t>
        </x:is>
      </x:c>
      <x:c r="Y6" s="678" t="inlineStr">
        <x:is>
          <x:t xml:space="preserve">M12</x:t>
        </x:is>
      </x:c>
      <x:c r="Z6" s="678" t="inlineStr">
        <x:is>
          <x:t xml:space="preserve">M13</x:t>
        </x:is>
      </x:c>
      <x:c r="AA6" s="678" t="inlineStr">
        <x:is>
          <x:t xml:space="preserve">M14</x:t>
        </x:is>
      </x:c>
      <x:c r="AB6" s="678" t="inlineStr">
        <x:is>
          <x:t xml:space="preserve">M15</x:t>
        </x:is>
      </x:c>
      <x:c r="AC6" s="678" t="inlineStr">
        <x:is>
          <x:t xml:space="preserve">M16</x:t>
        </x:is>
      </x:c>
      <x:c r="AD6" s="678" t="inlineStr">
        <x:is>
          <x:t xml:space="preserve">M17</x:t>
        </x:is>
      </x:c>
      <x:c r="AE6" s="678" t="inlineStr">
        <x:is>
          <x:t xml:space="preserve">M18</x:t>
        </x:is>
      </x:c>
      <x:c r="AF6" s="678" t="inlineStr">
        <x:is>
          <x:t xml:space="preserve">M19</x:t>
        </x:is>
      </x:c>
      <x:c r="AG6" s="678" t="inlineStr">
        <x:is>
          <x:t xml:space="preserve">M20</x:t>
        </x:is>
      </x:c>
      <x:c r="AH6" s="678" t="inlineStr">
        <x:is>
          <x:t xml:space="preserve">M21</x:t>
        </x:is>
      </x:c>
      <x:c r="AI6" s="678" t="inlineStr">
        <x:is>
          <x:t xml:space="preserve">M22</x:t>
        </x:is>
      </x:c>
      <x:c r="AJ6" s="678" t="inlineStr">
        <x:is>
          <x:t xml:space="preserve">M23</x:t>
        </x:is>
      </x:c>
      <x:c r="AK6" s="678" t="inlineStr">
        <x:is>
          <x:t xml:space="preserve">M24</x:t>
        </x:is>
      </x:c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customHeight="1">
      <x:c r="A7" s="161" t="n"/>
      <x:c r="B7" s="161" t="n"/>
      <x:c r="C7" s="161" t="n"/>
      <x:c r="D7" s="161" t="n"/>
      <x:c r="E7" s="161" t="n"/>
      <x:c r="F7" s="161" t="n"/>
      <x:c r="G7" s="161" t="n"/>
      <x:c r="H7" s="161" t="n"/>
      <x:c r="I7" s="161" t="n"/>
      <x:c r="J7" s="161" t="n"/>
      <x:c r="K7" s="161" t="n"/>
      <x:c r="L7" s="161" t="n"/>
      <x:c r="M7" s="161" t="n"/>
      <x:c r="N7" s="679" t="str">
        <x:f>'Prévision 24M'!B31</x:f>
      </x:c>
      <x:c r="O7" s="679" t="n">
        <x:f>'Prévision 24M'!C31</x:f>
        <x:v>21.201478409203865</x:v>
      </x:c>
      <x:c r="P7" s="679" t="n">
        <x:f>'Prévision 24M'!D31</x:f>
        <x:v>10.662811122784884</x:v>
      </x:c>
      <x:c r="Q7" s="679" t="n">
        <x:f>'Prévision 24M'!E31</x:f>
        <x:v>7.497267586682847</x:v>
      </x:c>
      <x:c r="R7" s="679" t="n">
        <x:f>'Prévision 24M'!F31</x:f>
        <x:v>6.053590403270262</x:v>
      </x:c>
      <x:c r="S7" s="679" t="n">
        <x:f>'Prévision 24M'!G31</x:f>
        <x:v>5.3656004167918825</x:v>
      </x:c>
      <x:c r="T7" s="679" t="n">
        <x:f>'Prévision 24M'!H31</x:f>
        <x:v>4.913996654647921</x:v>
      </x:c>
      <x:c r="U7" s="679" t="n">
        <x:f>'Prévision 24M'!I31</x:f>
        <x:v>4.638634649581373</x:v>
      </x:c>
      <x:c r="V7" s="679" t="n">
        <x:f>'Prévision 24M'!J31</x:f>
        <x:v>4.403109944390272</x:v>
      </x:c>
      <x:c r="W7" s="679" t="n">
        <x:f>'Prévision 24M'!K31</x:f>
        <x:v>4.197779855881888</x:v>
      </x:c>
      <x:c r="X7" s="679" t="n">
        <x:f>'Prévision 24M'!L31</x:f>
        <x:v>4.025361651073112</x:v>
      </x:c>
      <x:c r="Y7" s="679" t="n">
        <x:f>'Prévision 24M'!M31</x:f>
        <x:v>3.88615643936969</x:v>
      </x:c>
      <x:c r="Z7" s="679" t="n">
        <x:f>'Prévision 24M'!N31</x:f>
        <x:v>3.773181451322558</x:v>
      </x:c>
      <x:c r="AA7" s="679" t="n">
        <x:f>'Prévision 24M'!O31</x:f>
        <x:v>3.704900736245038</x:v>
      </x:c>
      <x:c r="AB7" s="679" t="n">
        <x:f>'Prévision 24M'!P31</x:f>
        <x:v>3.646551648431974</x:v>
      </x:c>
      <x:c r="AC7" s="679" t="n">
        <x:f>'Prévision 24M'!Q31</x:f>
        <x:v>3.5904084033550583</x:v>
      </x:c>
      <x:c r="AD7" s="679" t="n">
        <x:f>'Prévision 24M'!R31</x:f>
        <x:v>3.5365099975727508</x:v>
      </x:c>
      <x:c r="AE7" s="679" t="n">
        <x:f>'Prévision 24M'!S31</x:f>
        <x:v>3.48562356348295</x:v>
      </x:c>
      <x:c r="AF7" s="679" t="n">
        <x:f>'Prévision 24M'!T31</x:f>
        <x:v>3.4383807195239537</x:v>
      </x:c>
      <x:c r="AG7" s="679" t="n">
        <x:f>'Prévision 24M'!U31</x:f>
        <x:v>3.396179380929905</x:v>
      </x:c>
      <x:c r="AH7" s="679" t="n">
        <x:f>'Prévision 24M'!V31</x:f>
        <x:v>3.3583677956174234</x:v>
      </x:c>
      <x:c r="AI7" s="679" t="n">
        <x:f>'Prévision 24M'!W31</x:f>
        <x:v>3.324133190572074</x:v>
      </x:c>
      <x:c r="AJ7" s="679" t="n">
        <x:f>'Prévision 24M'!X31</x:f>
        <x:v>3.2928015864932627</x:v>
      </x:c>
      <x:c r="AK7" s="679" t="n">
        <x:f>'Prévision 24M'!Y31</x:f>
        <x:v>3.309569989336234</x:v>
      </x:c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customHeight="1">
      <x:c r="A8" s="393" t="inlineStr">
        <x:is>
          <x:t xml:space="preserve">Break-even mensuel</x:t>
        </x:is>
      </x:c>
      <x:c r="B8" s="1" t="n"/>
      <x:c r="C8" s="1" t="n"/>
      <x:c r="D8" s="393" t="inlineStr">
        <x:is>
          <x:t xml:space="preserve">CA 24M</x:t>
        </x:is>
      </x:c>
      <x:c r="E8" s="1" t="n"/>
      <x:c r="F8" s="1" t="n"/>
      <x:c r="G8" s="393" t="inlineStr">
        <x:is>
          <x:t xml:space="preserve">Payouts 24M</x:t>
        </x:is>
      </x:c>
      <x:c r="H8" s="1" t="n"/>
      <x:c r="I8" s="1" t="n"/>
      <x:c r="J8" s="393" t="inlineStr">
        <x:is>
          <x:t xml:space="preserve">Cash total M24</x:t>
        </x:is>
      </x:c>
      <x:c r="K8" s="1" t="n"/>
      <x:c r="L8" s="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customHeight="1">
      <x:c r="A9" s="484" t="n">
        <x:f>'Économie Unitaire'!B34</x:f>
        <x:v>36.34882707168569</x:v>
      </x:c>
      <x:c r="B9" s="1" t="n"/>
      <x:c r="C9" s="1" t="n"/>
      <x:c r="D9" s="481" t="n">
        <x:f>SUM('Prévision 24M'!B8:Y8)</x:f>
        <x:v>637323253.8885238</x:v>
      </x:c>
      <x:c r="E9" s="1" t="n"/>
      <x:c r="F9" s="1" t="n"/>
      <x:c r="G9" s="481" t="n">
        <x:f>-SUM('Prévision 24M'!B26:Y26)</x:f>
        <x:v>154065184.69498405</x:v>
      </x:c>
      <x:c r="H9" s="1" t="n"/>
      <x:c r="I9" s="1" t="n"/>
      <x:c r="J9" s="481" t="n">
        <x:f>'Prévision 24M'!Y32</x:f>
        <x:v>373281401.03547</x:v>
      </x:c>
      <x:c r="K9" s="1" t="n"/>
      <x:c r="L9" s="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customHeight="1">
      <x:c r="A10" s="1" t="n"/>
      <x:c r="B10" s="1" t="n"/>
      <x:c r="C10" s="1" t="n"/>
      <x:c r="D10" s="1" t="n"/>
      <x:c r="E10" s="1" t="n"/>
      <x:c r="F10" s="1" t="n"/>
      <x:c r="G10" s="1" t="n"/>
      <x:c r="H10" s="1" t="n"/>
      <x:c r="I10" s="1" t="n"/>
      <x:c r="J10" s="1" t="n"/>
      <x:c r="K10" s="1" t="n"/>
      <x:c r="L10" s="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customHeight="1">
      <x:c r="A11" s="161" t="n"/>
      <x:c r="B11" s="161" t="n"/>
      <x:c r="C11" s="161" t="n"/>
      <x:c r="D11" s="161" t="n"/>
      <x:c r="E11" s="161" t="n"/>
      <x:c r="F11" s="161" t="n"/>
      <x:c r="G11" s="161" t="n"/>
      <x:c r="H11" s="161" t="n"/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customHeight="1">
      <x:c r="A12" s="393" t="inlineStr">
        <x:is>
          <x:t xml:space="preserve">Réserve M24</x:t>
        </x:is>
      </x:c>
      <x:c r="B12" s="1" t="n"/>
      <x:c r="C12" s="1" t="n"/>
      <x:c r="D12" s="393" t="inlineStr">
        <x:is>
          <x:t xml:space="preserve">Couverture minimale</x:t>
        </x:is>
      </x:c>
      <x:c r="E12" s="1" t="n"/>
      <x:c r="F12" s="1" t="n"/>
      <x:c r="G12" s="393" t="inlineStr">
        <x:is>
          <x:t xml:space="preserve">Réserve / 1 000</x:t>
        </x:is>
      </x:c>
      <x:c r="H12" s="1" t="n"/>
      <x:c r="I12" s="1" t="n"/>
      <x:c r="J12" s="393" t="str">
        <x:v>Stress gate v1.1</x:v>
      </x:c>
      <x:c r="K12" s="1" t="n"/>
      <x:c r="L12" s="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customHeight="1">
      <x:c r="A13" s="481" t="n">
        <x:f>'Prévision 24M'!Y29</x:f>
        <x:v>59961905.37085217</x:v>
      </x:c>
      <x:c r="B13" s="1" t="n"/>
      <x:c r="C13" s="1" t="n"/>
      <x:c r="D13" s="485" t="n">
        <x:f>MIN('Prévision 24M'!B31:Y31)</x:f>
        <x:v>3.2928015864932627</x:v>
      </x:c>
      <x:c r="E13" s="1" t="n"/>
      <x:c r="F13" s="1" t="n"/>
      <x:c r="G13" s="481" t="n">
        <x:f>'Économie Unitaire'!B35</x:f>
        <x:v>33934122.63806249</x:v>
      </x:c>
      <x:c r="H13" s="1" t="n"/>
      <x:c r="I13" s="1" t="n"/>
      <x:c r="J13" s="480" t="str">
        <x:f>'Decision Gates'!D10</x:f>
        <x:v>FAIL</x:v>
      </x:c>
      <x:c r="K13" s="1" t="n"/>
      <x:c r="L13" s="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customHeight="1">
      <x:c r="A14" s="1" t="n"/>
      <x:c r="B14" s="1" t="n"/>
      <x:c r="C14" s="1" t="n"/>
      <x:c r="D14" s="1" t="n"/>
      <x:c r="E14" s="1" t="n"/>
      <x:c r="F14" s="1" t="n"/>
      <x:c r="G14" s="1" t="n"/>
      <x:c r="H14" s="1" t="n"/>
      <x:c r="I14" s="1" t="n"/>
      <x:c r="J14" s="1" t="n"/>
      <x:c r="K14" s="1" t="n"/>
      <x:c r="L14" s="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customHeight="1">
      <x:c r="A15" s="161" t="n"/>
      <x:c r="B15" s="161" t="n"/>
      <x:c r="C15" s="161" t="n"/>
      <x:c r="D15" s="161" t="n"/>
      <x:c r="E15" s="161" t="n"/>
      <x:c r="F15" s="161" t="n"/>
      <x:c r="G15" s="161" t="n"/>
      <x:c r="H15" s="161" t="n"/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customHeight="1">
      <x:c r="A16" s="168" t="inlineStr">
        <x:is>
          <x:t xml:space="preserve">Décision immédiate</x:t>
        </x:is>
      </x:c>
      <x:c r="B16" s="1" t="n"/>
      <x:c r="C16" s="1" t="n"/>
      <x:c r="D16" s="1" t="n"/>
      <x:c r="E16" s="1" t="n"/>
      <x:c r="F16" s="1" t="n"/>
      <x:c r="G16" s="1" t="n"/>
      <x:c r="H16" s="1" t="n"/>
      <x:c r="I16" s="1" t="n"/>
      <x:c r="J16" s="1" t="n"/>
      <x:c r="K16" s="1" t="n"/>
      <x:c r="L16" s="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customHeight="1">
      <x:c r="A17" s="37" t="inlineStr">
        <x:is>
          <x:t xml:space="preserve">Question</x:t>
        </x:is>
      </x:c>
      <x:c r="B17" s="486" t="n"/>
      <x:c r="C17" s="486" t="n"/>
      <x:c r="D17" s="31" t="inlineStr">
        <x:is>
          <x:t xml:space="preserve">Réponse</x:t>
        </x:is>
      </x:c>
      <x:c r="E17" s="37" t="inlineStr">
        <x:is>
          <x:t xml:space="preserve">Lecture</x:t>
        </x:is>
      </x:c>
      <x:c r="F17" s="486" t="n"/>
      <x:c r="G17" s="486" t="n"/>
      <x:c r="H17" s="486" t="n"/>
      <x:c r="I17" s="486" t="n"/>
      <x:c r="J17" s="486" t="n"/>
      <x:c r="K17" s="486" t="n"/>
      <x:c r="L17" s="486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30" customHeight="1">
      <x:c r="A18" s="159" t="inlineStr">
        <x:is>
          <x:t xml:space="preserve">Le scénario actif est-il rentable ?</x:t>
        </x:is>
      </x:c>
      <x:c r="B18" s="1" t="n"/>
      <x:c r="C18" s="1" t="n"/>
      <x:c r="D18" s="380" t="str">
        <x:f>IF('Économie Unitaire'!B32&gt;0,"OUI","NON")</x:f>
        <x:v>OUI</x:v>
      </x:c>
      <x:c r="E18" s="159" t="str">
        <x:v>Contribution du scénario actif ; le lancement public reste interdit si le Stress gate ou un gate non financier échoue.</x:v>
      </x:c>
      <x:c r="F18" s="1" t="n"/>
      <x:c r="G18" s="1" t="n"/>
      <x:c r="H18" s="1" t="n"/>
      <x:c r="I18" s="1" t="n"/>
      <x:c r="J18" s="1" t="n"/>
      <x:c r="K18" s="1" t="n"/>
      <x:c r="L18" s="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25.5" customHeight="1">
      <x:c r="A19" s="488" t="str">
        <x:v>Les cinq tailles sont-elles actives en sandbox ?</x:v>
      </x:c>
      <x:c r="B19" s="491" t="n"/>
      <x:c r="C19" s="491" t="n"/>
      <x:c r="D19" s="490" t="str">
        <x:v>OUI</x:v>
      </x:c>
      <x:c r="E19" s="488" t="str">
        <x:v>OFFER-023 active 5K/10K/25K/50K/100K pour catalogue, checkout et Evaluation sandbox. Les ventes publiques restent gated.</x:v>
      </x:c>
      <x:c r="F19" s="1" t="n"/>
      <x:c r="G19" s="1" t="n"/>
      <x:c r="H19" s="1" t="n"/>
      <x:c r="I19" s="1" t="n"/>
      <x:c r="J19" s="1" t="n"/>
      <x:c r="K19" s="1" t="n"/>
      <x:c r="L19" s="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30" customHeight="1">
      <x:c r="A20" s="159" t="inlineStr">
        <x:is>
          <x:t xml:space="preserve">La réserve initiale couvre-t-elle 1 000 achats ?</x:t>
        </x:is>
      </x:c>
      <x:c r="B20" s="1" t="n"/>
      <x:c r="C20" s="1" t="n"/>
      <x:c r="D20" s="380" t="str">
        <x:f>IF('Hypothèses'!B37&gt;='Économie Unitaire'!B35,"OUI","NON")</x:f>
        <x:v>NON</x:v>
      </x:c>
      <x:c r="E20" s="159" t="inlineStr">
        <x:is>
          <x:t xml:space="preserve">Comparer la réserve initiale au besoin prudentiel à 2,0x.</x:t>
        </x:is>
      </x:c>
      <x:c r="F20" s="1" t="n"/>
      <x:c r="G20" s="1" t="n"/>
      <x:c r="H20" s="1" t="n"/>
      <x:c r="I20" s="1" t="n"/>
      <x:c r="J20" s="1" t="n"/>
      <x:c r="K20" s="1" t="n"/>
      <x:c r="L20" s="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30" customHeight="1">
      <x:c r="A21" s="159" t="inlineStr">
        <x:is>
          <x:t xml:space="preserve">Quel volume mensuel couvre l’OPEX ?</x:t>
        </x:is>
      </x:c>
      <x:c r="B21" s="1" t="n"/>
      <x:c r="C21" s="1" t="n"/>
      <x:c r="D21" s="487" t="n">
        <x:f>'Économie Unitaire'!B34</x:f>
        <x:v>36.34882707168569</x:v>
      </x:c>
      <x:c r="E21" s="159" t="inlineStr">
        <x:is>
          <x:t xml:space="preserve">Nombre d’achats mensuels requis au scénario actif.</x:t>
        </x:is>
      </x:c>
      <x:c r="F21" s="1" t="n"/>
      <x:c r="G21" s="1" t="n"/>
      <x:c r="H21" s="1" t="n"/>
      <x:c r="I21" s="1" t="n"/>
      <x:c r="J21" s="1" t="n"/>
      <x:c r="K21" s="1" t="n"/>
      <x:c r="L21" s="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30" customHeight="1">
      <x:c r="A22" s="159" t="inlineStr">
        <x:is>
          <x:t xml:space="preserve">Le lancement public est-il autorisé ?</x:t>
        </x:is>
      </x:c>
      <x:c r="B22" s="1" t="n"/>
      <x:c r="C22" s="1" t="n"/>
      <x:c r="D22" s="380" t="str">
        <x:f>"NON"</x:f>
        <x:v>NON</x:v>
      </x:c>
      <x:c r="E22" s="159" t="inlineStr">
        <x:is>
          <x:t xml:space="preserve">Les gates juridiques, PSP, données de marché, sécurité et opérations restent ouverts.</x:t>
        </x:is>
      </x:c>
      <x:c r="F22" s="1" t="n"/>
      <x:c r="G22" s="1" t="n"/>
      <x:c r="H22" s="1" t="n"/>
      <x:c r="I22" s="1" t="n"/>
      <x:c r="J22" s="1" t="n"/>
      <x:c r="K22" s="1" t="n"/>
      <x:c r="L22" s="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n"/>
      <x:c r="B23" s="161" t="n"/>
      <x:c r="C23" s="161" t="n"/>
      <x:c r="D23" s="161" t="n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n"/>
      <x:c r="B24" s="161" t="n"/>
      <x:c r="C24" s="161" t="n"/>
      <x:c r="D24" s="161" t="n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n"/>
      <x:c r="B25" s="161" t="n"/>
      <x:c r="C25" s="161" t="n"/>
      <x:c r="D25" s="161" t="n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n"/>
      <x:c r="B26" s="161" t="n"/>
      <x:c r="C26" s="161" t="n"/>
      <x:c r="D26" s="161" t="n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61" t="n"/>
      <x:c r="B28" s="161" t="n"/>
      <x:c r="C28" s="161" t="n"/>
      <x:c r="D28" s="161" t="n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16:L16"/>
    <x:mergeCell ref="E18:L18"/>
    <x:mergeCell ref="E21:L21"/>
    <x:mergeCell ref="D5:F6"/>
    <x:mergeCell ref="G9:I10"/>
    <x:mergeCell ref="A18:C18"/>
    <x:mergeCell ref="J5:L6"/>
    <x:mergeCell ref="A9:C10"/>
    <x:mergeCell ref="J4:L4"/>
    <x:mergeCell ref="A21:C21"/>
    <x:mergeCell ref="A12:C12"/>
    <x:mergeCell ref="E17:L17"/>
    <x:mergeCell ref="A2:L2"/>
    <x:mergeCell ref="E20:L20"/>
    <x:mergeCell ref="A8:C8"/>
    <x:mergeCell ref="D4:F4"/>
    <x:mergeCell ref="J13:L14"/>
    <x:mergeCell ref="A22:C22"/>
    <x:mergeCell ref="D12:F12"/>
    <x:mergeCell ref="A17:C17"/>
    <x:mergeCell ref="G4:I4"/>
    <x:mergeCell ref="J9:L10"/>
    <x:mergeCell ref="E19:L19"/>
    <x:mergeCell ref="J12:L12"/>
    <x:mergeCell ref="D8:F8"/>
    <x:mergeCell ref="A4:C4"/>
    <x:mergeCell ref="G13:I14"/>
    <x:mergeCell ref="A20:C20"/>
    <x:mergeCell ref="A19:C19"/>
    <x:mergeCell ref="J8:L8"/>
    <x:mergeCell ref="G12:I12"/>
    <x:mergeCell ref="D13:F14"/>
    <x:mergeCell ref="A5:C6"/>
    <x:mergeCell ref="G5:I6"/>
    <x:mergeCell ref="A1:L1"/>
    <x:mergeCell ref="G8:I8"/>
    <x:mergeCell ref="A13:C14"/>
    <x:mergeCell ref="D9:F10"/>
    <x:mergeCell ref="E22:L22"/>
  </x:mergeCells>
  <x:pageMargins left="0.7" right="0.7" top="0.75" bottom="0.75" header="0.3" footer="0.3"/>
  <x:drawing xmlns:r="http://schemas.openxmlformats.org/officeDocument/2006/relationships" r:id="R8586a92cff61432d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2" hidden="0" customWidth="1"/>
    <x:col min="2" max="2" width="38" hidden="0" customWidth="1"/>
    <x:col min="3" max="3" width="24" hidden="0" customWidth="1"/>
    <x:col min="4" max="4" width="34" hidden="0" customWidth="1"/>
    <x:col min="5" max="5" width="20" hidden="0" customWidth="1"/>
    <x:col min="6" max="6" width="22" hidden="0" customWidth="1"/>
    <x:col min="7" max="7" width="18" hidden="0" customWidth="1"/>
    <x:col min="8" max="8" width="44" hidden="0" customWidth="1"/>
  </x:cols>
  <x:sheetData>
    <x:row r="1" ht="15" customHeight="1">
      <x:c r="A1" s="650" t="inlineStr">
        <x:is>
          <x:t xml:space="preserve">WARIBA — Registre des hypothèses</x:t>
        </x:is>
      </x:c>
      <x:c r="B1" s="491" t="n"/>
      <x:c r="C1" s="491" t="n"/>
      <x:c r="D1" s="491" t="n"/>
      <x:c r="E1" s="491" t="n"/>
      <x:c r="F1" s="491" t="n"/>
      <x:c r="G1" s="491" t="n"/>
      <x:c r="H1" s="491" t="n"/>
      <x:c r="I1" s="161" t="n"/>
      <x:c r="J1" s="161" t="n"/>
      <x:c r="K1" s="161" t="n"/>
      <x:c r="L1" s="161" t="n"/>
      <x:c r="M1" s="161" t="n"/>
      <x:c r="N1" s="161" t="n"/>
      <x:c r="O1" s="161" t="n"/>
      <x:c r="P1" s="161" t="n"/>
      <x:c r="Q1" s="161" t="n"/>
      <x:c r="R1" s="161" t="n"/>
      <x:c r="S1" s="161" t="n"/>
      <x:c r="T1" s="161" t="n"/>
      <x:c r="U1" s="161" t="n"/>
      <x:c r="V1" s="161" t="n"/>
      <x:c r="W1" s="161" t="n"/>
      <x:c r="X1" s="161" t="n"/>
      <x:c r="Y1" s="161" t="n"/>
      <x:c r="Z1" s="161" t="n"/>
      <x:c r="AA1" s="161" t="n"/>
      <x:c r="AB1" s="161" t="n"/>
      <x:c r="AC1" s="161" t="n"/>
      <x:c r="AD1" s="161" t="n"/>
      <x:c r="AE1" s="161" t="n"/>
      <x:c r="AF1" s="161" t="n"/>
      <x:c r="AG1" s="161" t="n"/>
      <x:c r="AH1" s="161" t="n"/>
      <x:c r="AI1" s="161" t="n"/>
      <x:c r="AJ1" s="161" t="n"/>
      <x:c r="AK1" s="161" t="n"/>
      <x:c r="AL1" s="161" t="n"/>
      <x:c r="AM1" s="161" t="n"/>
      <x:c r="AN1" s="161" t="n"/>
      <x:c r="AO1" s="161" t="n"/>
      <x:c r="AP1" s="161" t="n"/>
      <x:c r="AQ1" s="161" t="n"/>
      <x:c r="AR1" s="161" t="n"/>
      <x:c r="AS1" s="161" t="n"/>
      <x:c r="AT1" s="161" t="n"/>
      <x:c r="AU1" s="161" t="n"/>
      <x:c r="AV1" s="161" t="n"/>
      <x:c r="AW1" s="161" t="n"/>
      <x:c r="AX1" s="161" t="n"/>
      <x:c r="AY1" s="161" t="n"/>
      <x:c r="AZ1" s="161" t="n"/>
    </x:row>
    <x:row r="2" ht="15" customHeight="1">
      <x:c r="A2" s="651" t="inlineStr">
        <x:is>
          <x:t xml:space="preserve">Ce registre doit être mis à jour à chaque remplacement d’une hypothèse par une donnée réelle.</x:t>
        </x:is>
      </x:c>
      <x:c r="B2" s="491" t="n"/>
      <x:c r="C2" s="491" t="n"/>
      <x:c r="D2" s="491" t="n"/>
      <x:c r="E2" s="491" t="n"/>
      <x:c r="F2" s="491" t="n"/>
      <x:c r="G2" s="491" t="n"/>
      <x:c r="H2" s="491" t="n"/>
      <x:c r="I2" s="161" t="n"/>
      <x:c r="J2" s="161" t="n"/>
      <x:c r="K2" s="161" t="n"/>
      <x:c r="L2" s="161" t="n"/>
      <x:c r="M2" s="161" t="n"/>
      <x:c r="N2" s="161" t="n"/>
      <x:c r="O2" s="161" t="n"/>
      <x:c r="P2" s="161" t="n"/>
      <x:c r="Q2" s="161" t="n"/>
      <x:c r="R2" s="161" t="n"/>
      <x:c r="S2" s="161" t="n"/>
      <x:c r="T2" s="161" t="n"/>
      <x:c r="U2" s="161" t="n"/>
      <x:c r="V2" s="161" t="n"/>
      <x:c r="W2" s="161" t="n"/>
      <x:c r="X2" s="161" t="n"/>
      <x:c r="Y2" s="161" t="n"/>
      <x:c r="Z2" s="161" t="n"/>
      <x:c r="AA2" s="161" t="n"/>
      <x:c r="AB2" s="161" t="n"/>
      <x:c r="AC2" s="161" t="n"/>
      <x:c r="AD2" s="161" t="n"/>
      <x:c r="AE2" s="161" t="n"/>
      <x:c r="AF2" s="161" t="n"/>
      <x:c r="AG2" s="161" t="n"/>
      <x:c r="AH2" s="161" t="n"/>
      <x:c r="AI2" s="161" t="n"/>
      <x:c r="AJ2" s="161" t="n"/>
      <x:c r="AK2" s="161" t="n"/>
      <x:c r="AL2" s="161" t="n"/>
      <x:c r="AM2" s="161" t="n"/>
      <x:c r="AN2" s="161" t="n"/>
      <x:c r="AO2" s="161" t="n"/>
      <x:c r="AP2" s="161" t="n"/>
      <x:c r="AQ2" s="161" t="n"/>
      <x:c r="AR2" s="161" t="n"/>
      <x:c r="AS2" s="161" t="n"/>
      <x:c r="AT2" s="161" t="n"/>
      <x:c r="AU2" s="161" t="n"/>
      <x:c r="AV2" s="161" t="n"/>
      <x:c r="AW2" s="161" t="n"/>
      <x:c r="AX2" s="161" t="n"/>
      <x:c r="AY2" s="161" t="n"/>
      <x:c r="AZ2" s="161" t="n"/>
    </x:row>
    <x:row r="3" ht="15" customHeight="1">
      <x:c r="A3" s="488" t="n"/>
      <x:c r="B3" s="488" t="n"/>
      <x:c r="C3" s="488" t="n"/>
      <x:c r="D3" s="488" t="n"/>
      <x:c r="E3" s="488" t="n"/>
      <x:c r="F3" s="488" t="n"/>
      <x:c r="G3" s="488" t="n"/>
      <x:c r="H3" s="488" t="n"/>
      <x:c r="I3" s="161" t="n"/>
      <x:c r="J3" s="161" t="n"/>
      <x:c r="K3" s="161" t="n"/>
      <x:c r="L3" s="161" t="n"/>
      <x:c r="M3" s="161" t="n"/>
      <x:c r="N3" s="161" t="n"/>
      <x:c r="O3" s="161" t="n"/>
      <x:c r="P3" s="161" t="n"/>
      <x:c r="Q3" s="161" t="n"/>
      <x:c r="R3" s="161" t="n"/>
      <x:c r="S3" s="161" t="n"/>
      <x:c r="T3" s="161" t="n"/>
      <x:c r="U3" s="161" t="n"/>
      <x:c r="V3" s="161" t="n"/>
      <x:c r="W3" s="161" t="n"/>
      <x:c r="X3" s="161" t="n"/>
      <x:c r="Y3" s="161" t="n"/>
      <x:c r="Z3" s="161" t="n"/>
      <x:c r="AA3" s="161" t="n"/>
      <x:c r="AB3" s="161" t="n"/>
      <x:c r="AC3" s="161" t="n"/>
      <x:c r="AD3" s="161" t="n"/>
      <x:c r="AE3" s="161" t="n"/>
      <x:c r="AF3" s="161" t="n"/>
      <x:c r="AG3" s="161" t="n"/>
      <x:c r="AH3" s="161" t="n"/>
      <x:c r="AI3" s="161" t="n"/>
      <x:c r="AJ3" s="161" t="n"/>
      <x:c r="AK3" s="161" t="n"/>
      <x:c r="AL3" s="161" t="n"/>
      <x:c r="AM3" s="161" t="n"/>
      <x:c r="AN3" s="161" t="n"/>
      <x:c r="AO3" s="161" t="n"/>
      <x:c r="AP3" s="161" t="n"/>
      <x:c r="AQ3" s="161" t="n"/>
      <x:c r="AR3" s="161" t="n"/>
      <x:c r="AS3" s="161" t="n"/>
      <x:c r="AT3" s="161" t="n"/>
      <x:c r="AU3" s="161" t="n"/>
      <x:c r="AV3" s="161" t="n"/>
      <x:c r="AW3" s="161" t="n"/>
      <x:c r="AX3" s="161" t="n"/>
      <x:c r="AY3" s="161" t="n"/>
      <x:c r="AZ3" s="161" t="n"/>
    </x:row>
    <x:row r="4" ht="15" hidden="0" customHeight="1">
      <x:c r="A4" s="653" t="inlineStr">
        <x:is>
          <x:t xml:space="preserve">ID</x:t>
        </x:is>
      </x:c>
      <x:c r="B4" s="653" t="inlineStr">
        <x:is>
          <x:t xml:space="preserve">Hypothèse</x:t>
        </x:is>
      </x:c>
      <x:c r="C4" s="653" t="inlineStr">
        <x:is>
          <x:t xml:space="preserve">Valeur active</x:t>
        </x:is>
      </x:c>
      <x:c r="D4" s="653" t="inlineStr">
        <x:is>
          <x:t xml:space="preserve">Source</x:t>
        </x:is>
      </x:c>
      <x:c r="E4" s="653" t="inlineStr">
        <x:is>
          <x:t xml:space="preserve">Statut</x:t>
        </x:is>
      </x:c>
      <x:c r="F4" s="653" t="inlineStr">
        <x:is>
          <x:t xml:space="preserve">Owner</x:t>
        </x:is>
      </x:c>
      <x:c r="G4" s="653" t="inlineStr">
        <x:is>
          <x:t xml:space="preserve">Dernière mise à jour</x:t>
        </x:is>
      </x:c>
      <x:c r="H4" s="653" t="inlineStr">
        <x:is>
          <x:t xml:space="preserve">Action suivante</x:t>
        </x:is>
      </x:c>
      <x:c r="I4" s="161" t="n"/>
      <x:c r="J4" s="161" t="n"/>
      <x:c r="K4" s="161" t="n"/>
      <x:c r="L4" s="161" t="n"/>
      <x:c r="M4" s="161" t="n"/>
      <x:c r="N4" s="161" t="n"/>
      <x:c r="O4" s="161" t="n"/>
      <x:c r="P4" s="161" t="n"/>
      <x:c r="Q4" s="161" t="n"/>
      <x:c r="R4" s="161" t="n"/>
      <x:c r="S4" s="161" t="n"/>
      <x:c r="T4" s="161" t="n"/>
      <x:c r="U4" s="161" t="n"/>
      <x:c r="V4" s="161" t="n"/>
      <x:c r="W4" s="161" t="n"/>
      <x:c r="X4" s="161" t="n"/>
      <x:c r="Y4" s="161" t="n"/>
      <x:c r="Z4" s="161" t="n"/>
      <x:c r="AA4" s="161" t="n"/>
      <x:c r="AB4" s="161" t="n"/>
      <x:c r="AC4" s="161" t="n"/>
      <x:c r="AD4" s="161" t="n"/>
      <x:c r="AE4" s="161" t="n"/>
      <x:c r="AF4" s="161" t="n"/>
      <x:c r="AG4" s="161" t="n"/>
      <x:c r="AH4" s="161" t="n"/>
      <x:c r="AI4" s="161" t="n"/>
      <x:c r="AJ4" s="161" t="n"/>
      <x:c r="AK4" s="161" t="n"/>
      <x:c r="AL4" s="161" t="n"/>
      <x:c r="AM4" s="161" t="n"/>
      <x:c r="AN4" s="161" t="n"/>
      <x:c r="AO4" s="161" t="n"/>
      <x:c r="AP4" s="161" t="n"/>
      <x:c r="AQ4" s="161" t="n"/>
      <x:c r="AR4" s="161" t="n"/>
      <x:c r="AS4" s="161" t="n"/>
      <x:c r="AT4" s="161" t="n"/>
      <x:c r="AU4" s="161" t="n"/>
      <x:c r="AV4" s="161" t="n"/>
      <x:c r="AW4" s="161" t="n"/>
      <x:c r="AX4" s="161" t="n"/>
      <x:c r="AY4" s="161" t="n"/>
      <x:c r="AZ4" s="161" t="n"/>
    </x:row>
    <x:row r="5" ht="15" hidden="0" customHeight="1">
      <x:c r="A5" s="488" t="inlineStr">
        <x:is>
          <x:t xml:space="preserve">AS-001</x:t>
        </x:is>
      </x:c>
      <x:c r="B5" s="488" t="inlineStr">
        <x:is>
          <x:t xml:space="preserve">Taux de réussite</x:t>
        </x:is>
      </x:c>
      <x:c r="C5" s="655" t="n">
        <x:f>'Hypothèses'!B7</x:f>
        <x:v>0.08</x:v>
      </x:c>
      <x:c r="D5" s="488" t="inlineStr">
        <x:is>
          <x:t xml:space="preserve">Management</x:t>
        </x:is>
      </x:c>
      <x:c r="E5" s="488" t="inlineStr">
        <x:is>
          <x:t xml:space="preserve">À calibrer</x:t>
        </x:is>
      </x:c>
      <x:c r="F5" s="488" t="inlineStr">
        <x:is>
          <x:t xml:space="preserve">Risk</x:t>
        </x:is>
      </x:c>
      <x:c r="G5" s="488" t="inlineStr">
        <x:is>
          <x:t xml:space="preserve">2026-08-01</x:t>
        </x:is>
      </x:c>
      <x:c r="H5" s="488" t="inlineStr">
        <x:is>
          <x:t xml:space="preserve">Mesurer sur bêta</x:t>
        </x:is>
      </x:c>
      <x:c r="I5" s="161" t="n"/>
      <x:c r="J5" s="161" t="n"/>
      <x:c r="K5" s="161" t="n"/>
      <x:c r="L5" s="161" t="n"/>
      <x:c r="M5" s="161" t="n"/>
      <x:c r="N5" s="161" t="n"/>
      <x:c r="O5" s="161" t="n"/>
      <x:c r="P5" s="161" t="n"/>
      <x:c r="Q5" s="161" t="n"/>
      <x:c r="R5" s="161" t="n"/>
      <x:c r="S5" s="161" t="n"/>
      <x:c r="T5" s="161" t="n"/>
      <x:c r="U5" s="161" t="n"/>
      <x:c r="V5" s="161" t="n"/>
      <x:c r="W5" s="161" t="n"/>
      <x:c r="X5" s="161" t="n"/>
      <x:c r="Y5" s="161" t="n"/>
      <x:c r="Z5" s="161" t="n"/>
      <x:c r="AA5" s="161" t="n"/>
      <x:c r="AB5" s="161" t="n"/>
      <x:c r="AC5" s="161" t="n"/>
      <x:c r="AD5" s="161" t="n"/>
      <x:c r="AE5" s="161" t="n"/>
      <x:c r="AF5" s="161" t="n"/>
      <x:c r="AG5" s="161" t="n"/>
      <x:c r="AH5" s="161" t="n"/>
      <x:c r="AI5" s="161" t="n"/>
      <x:c r="AJ5" s="161" t="n"/>
      <x:c r="AK5" s="161" t="n"/>
      <x:c r="AL5" s="161" t="n"/>
      <x:c r="AM5" s="161" t="n"/>
      <x:c r="AN5" s="161" t="n"/>
      <x:c r="AO5" s="161" t="n"/>
      <x:c r="AP5" s="161" t="n"/>
      <x:c r="AQ5" s="161" t="n"/>
      <x:c r="AR5" s="161" t="n"/>
      <x:c r="AS5" s="161" t="n"/>
      <x:c r="AT5" s="161" t="n"/>
      <x:c r="AU5" s="161" t="n"/>
      <x:c r="AV5" s="161" t="n"/>
      <x:c r="AW5" s="161" t="n"/>
      <x:c r="AX5" s="161" t="n"/>
      <x:c r="AY5" s="161" t="n"/>
      <x:c r="AZ5" s="161" t="n"/>
    </x:row>
    <x:row r="6" ht="15" hidden="0" customHeight="1">
      <x:c r="A6" s="488" t="inlineStr">
        <x:is>
          <x:t xml:space="preserve">AS-002</x:t>
        </x:is>
      </x:c>
      <x:c r="B6" s="488" t="inlineStr">
        <x:is>
          <x:t xml:space="preserve">Accès payout #1</x:t>
        </x:is>
      </x:c>
      <x:c r="C6" s="655" t="n">
        <x:f>'Hypothèses'!B8</x:f>
        <x:v>0.35</x:v>
      </x:c>
      <x:c r="D6" s="488" t="inlineStr">
        <x:is>
          <x:t xml:space="preserve">Management</x:t>
        </x:is>
      </x:c>
      <x:c r="E6" s="488" t="inlineStr">
        <x:is>
          <x:t xml:space="preserve">À calibrer</x:t>
        </x:is>
      </x:c>
      <x:c r="F6" s="488" t="inlineStr">
        <x:is>
          <x:t xml:space="preserve">Risk/Finance</x:t>
        </x:is>
      </x:c>
      <x:c r="G6" s="488" t="inlineStr">
        <x:is>
          <x:t xml:space="preserve">2026-08-01</x:t>
        </x:is>
      </x:c>
      <x:c r="H6" s="488" t="inlineStr">
        <x:is>
          <x:t xml:space="preserve">Mesurer sur cohortes</x:t>
        </x:is>
      </x:c>
      <x:c r="I6" s="161" t="n"/>
      <x:c r="J6" s="161" t="n"/>
      <x:c r="K6" s="161" t="n"/>
      <x:c r="L6" s="161" t="n"/>
      <x:c r="M6" s="161" t="n"/>
      <x:c r="N6" s="161" t="n"/>
      <x:c r="O6" s="161" t="n"/>
      <x:c r="P6" s="161" t="n"/>
      <x:c r="Q6" s="161" t="n"/>
      <x:c r="R6" s="161" t="n"/>
      <x:c r="S6" s="161" t="n"/>
      <x:c r="T6" s="161" t="n"/>
      <x:c r="U6" s="161" t="n"/>
      <x:c r="V6" s="161" t="n"/>
      <x:c r="W6" s="161" t="n"/>
      <x:c r="X6" s="161" t="n"/>
      <x:c r="Y6" s="161" t="n"/>
      <x:c r="Z6" s="161" t="n"/>
      <x:c r="AA6" s="161" t="n"/>
      <x:c r="AB6" s="161" t="n"/>
      <x:c r="AC6" s="161" t="n"/>
      <x:c r="AD6" s="161" t="n"/>
      <x:c r="AE6" s="161" t="n"/>
      <x:c r="AF6" s="161" t="n"/>
      <x:c r="AG6" s="161" t="n"/>
      <x:c r="AH6" s="161" t="n"/>
      <x:c r="AI6" s="161" t="n"/>
      <x:c r="AJ6" s="161" t="n"/>
      <x:c r="AK6" s="161" t="n"/>
      <x:c r="AL6" s="161" t="n"/>
      <x:c r="AM6" s="161" t="n"/>
      <x:c r="AN6" s="161" t="n"/>
      <x:c r="AO6" s="161" t="n"/>
      <x:c r="AP6" s="161" t="n"/>
      <x:c r="AQ6" s="161" t="n"/>
      <x:c r="AR6" s="161" t="n"/>
      <x:c r="AS6" s="161" t="n"/>
      <x:c r="AT6" s="161" t="n"/>
      <x:c r="AU6" s="161" t="n"/>
      <x:c r="AV6" s="161" t="n"/>
      <x:c r="AW6" s="161" t="n"/>
      <x:c r="AX6" s="161" t="n"/>
      <x:c r="AY6" s="161" t="n"/>
      <x:c r="AZ6" s="161" t="n"/>
    </x:row>
    <x:row r="7" ht="15" hidden="0" customHeight="1">
      <x:c r="A7" s="488" t="inlineStr">
        <x:is>
          <x:t xml:space="preserve">AS-003</x:t>
        </x:is>
      </x:c>
      <x:c r="B7" s="488" t="inlineStr">
        <x:is>
          <x:t xml:space="preserve">Utilisation caps</x:t>
        </x:is>
      </x:c>
      <x:c r="C7" s="655" t="n">
        <x:f>'Hypothèses'!B13</x:f>
        <x:v>0.7</x:v>
      </x:c>
      <x:c r="D7" s="488" t="inlineStr">
        <x:is>
          <x:t xml:space="preserve">Management</x:t>
        </x:is>
      </x:c>
      <x:c r="E7" s="488" t="inlineStr">
        <x:is>
          <x:t xml:space="preserve">À calibrer</x:t>
        </x:is>
      </x:c>
      <x:c r="F7" s="488" t="inlineStr">
        <x:is>
          <x:t xml:space="preserve">Finance</x:t>
        </x:is>
      </x:c>
      <x:c r="G7" s="488" t="inlineStr">
        <x:is>
          <x:t xml:space="preserve">2026-08-01</x:t>
        </x:is>
      </x:c>
      <x:c r="H7" s="488" t="inlineStr">
        <x:is>
          <x:t xml:space="preserve">Mesurer après payouts</x:t>
        </x:is>
      </x:c>
      <x:c r="I7" s="161" t="n"/>
      <x:c r="J7" s="161" t="n"/>
      <x:c r="K7" s="161" t="n"/>
      <x:c r="L7" s="161" t="n"/>
      <x:c r="M7" s="161" t="n"/>
      <x:c r="N7" s="161" t="n"/>
      <x:c r="O7" s="161" t="n"/>
      <x:c r="P7" s="161" t="n"/>
      <x:c r="Q7" s="161" t="n"/>
      <x:c r="R7" s="161" t="n"/>
      <x:c r="S7" s="161" t="n"/>
      <x:c r="T7" s="161" t="n"/>
      <x:c r="U7" s="161" t="n"/>
      <x:c r="V7" s="161" t="n"/>
      <x:c r="W7" s="161" t="n"/>
      <x:c r="X7" s="161" t="n"/>
      <x:c r="Y7" s="161" t="n"/>
      <x:c r="Z7" s="161" t="n"/>
      <x:c r="AA7" s="161" t="n"/>
      <x:c r="AB7" s="161" t="n"/>
      <x:c r="AC7" s="161" t="n"/>
      <x:c r="AD7" s="161" t="n"/>
      <x:c r="AE7" s="161" t="n"/>
      <x:c r="AF7" s="161" t="n"/>
      <x:c r="AG7" s="161" t="n"/>
      <x:c r="AH7" s="161" t="n"/>
      <x:c r="AI7" s="161" t="n"/>
      <x:c r="AJ7" s="161" t="n"/>
      <x:c r="AK7" s="161" t="n"/>
      <x:c r="AL7" s="161" t="n"/>
      <x:c r="AM7" s="161" t="n"/>
      <x:c r="AN7" s="161" t="n"/>
      <x:c r="AO7" s="161" t="n"/>
      <x:c r="AP7" s="161" t="n"/>
      <x:c r="AQ7" s="161" t="n"/>
      <x:c r="AR7" s="161" t="n"/>
      <x:c r="AS7" s="161" t="n"/>
      <x:c r="AT7" s="161" t="n"/>
      <x:c r="AU7" s="161" t="n"/>
      <x:c r="AV7" s="161" t="n"/>
      <x:c r="AW7" s="161" t="n"/>
      <x:c r="AX7" s="161" t="n"/>
      <x:c r="AY7" s="161" t="n"/>
      <x:c r="AZ7" s="161" t="n"/>
    </x:row>
    <x:row r="8" ht="15" hidden="0" customHeight="1">
      <x:c r="A8" s="488" t="inlineStr">
        <x:is>
          <x:t xml:space="preserve">AS-004</x:t>
        </x:is>
      </x:c>
      <x:c r="B8" s="488" t="inlineStr">
        <x:is>
          <x:t xml:space="preserve">Chargebacks</x:t>
        </x:is>
      </x:c>
      <x:c r="C8" s="655" t="n">
        <x:f>'Hypothèses'!B14</x:f>
        <x:v>0.015</x:v>
      </x:c>
      <x:c r="D8" s="488" t="inlineStr">
        <x:is>
          <x:t xml:space="preserve">Management</x:t>
        </x:is>
      </x:c>
      <x:c r="E8" s="488" t="inlineStr">
        <x:is>
          <x:t xml:space="preserve">À confirmer</x:t>
        </x:is>
      </x:c>
      <x:c r="F8" s="488" t="inlineStr">
        <x:is>
          <x:t xml:space="preserve">Payments</x:t>
        </x:is>
      </x:c>
      <x:c r="G8" s="488" t="inlineStr">
        <x:is>
          <x:t xml:space="preserve">2026-08-01</x:t>
        </x:is>
      </x:c>
      <x:c r="H8" s="488" t="inlineStr">
        <x:is>
          <x:t xml:space="preserve">Obtenir devis PSP</x:t>
        </x:is>
      </x:c>
      <x:c r="I8" s="161" t="n"/>
      <x:c r="J8" s="161" t="n"/>
      <x:c r="K8" s="161" t="n"/>
      <x:c r="L8" s="161" t="n"/>
      <x:c r="M8" s="161" t="n"/>
      <x:c r="N8" s="161" t="n"/>
      <x:c r="O8" s="161" t="n"/>
      <x:c r="P8" s="161" t="n"/>
      <x:c r="Q8" s="161" t="n"/>
      <x:c r="R8" s="161" t="n"/>
      <x:c r="S8" s="161" t="n"/>
      <x:c r="T8" s="161" t="n"/>
      <x:c r="U8" s="161" t="n"/>
      <x:c r="V8" s="161" t="n"/>
      <x:c r="W8" s="161" t="n"/>
      <x:c r="X8" s="161" t="n"/>
      <x:c r="Y8" s="161" t="n"/>
      <x:c r="Z8" s="161" t="n"/>
      <x:c r="AA8" s="161" t="n"/>
      <x:c r="AB8" s="161" t="n"/>
      <x:c r="AC8" s="161" t="n"/>
      <x:c r="AD8" s="161" t="n"/>
      <x:c r="AE8" s="161" t="n"/>
      <x:c r="AF8" s="161" t="n"/>
      <x:c r="AG8" s="161" t="n"/>
      <x:c r="AH8" s="161" t="n"/>
      <x:c r="AI8" s="161" t="n"/>
      <x:c r="AJ8" s="161" t="n"/>
      <x:c r="AK8" s="161" t="n"/>
      <x:c r="AL8" s="161" t="n"/>
      <x:c r="AM8" s="161" t="n"/>
      <x:c r="AN8" s="161" t="n"/>
      <x:c r="AO8" s="161" t="n"/>
      <x:c r="AP8" s="161" t="n"/>
      <x:c r="AQ8" s="161" t="n"/>
      <x:c r="AR8" s="161" t="n"/>
      <x:c r="AS8" s="161" t="n"/>
      <x:c r="AT8" s="161" t="n"/>
      <x:c r="AU8" s="161" t="n"/>
      <x:c r="AV8" s="161" t="n"/>
      <x:c r="AW8" s="161" t="n"/>
      <x:c r="AX8" s="161" t="n"/>
      <x:c r="AY8" s="161" t="n"/>
      <x:c r="AZ8" s="161" t="n"/>
    </x:row>
    <x:row r="9" ht="15" hidden="0" customHeight="1">
      <x:c r="A9" s="488" t="inlineStr">
        <x:is>
          <x:t xml:space="preserve">AS-005</x:t>
        </x:is>
      </x:c>
      <x:c r="B9" s="488" t="inlineStr">
        <x:is>
          <x:t xml:space="preserve">Frais PSP</x:t>
        </x:is>
      </x:c>
      <x:c r="C9" s="654" t="n">
        <x:f>'Hypothèses'!B15</x:f>
        <x:v>0.035</x:v>
      </x:c>
      <x:c r="D9" s="488" t="inlineStr">
        <x:is>
          <x:t xml:space="preserve">Aucun devis</x:t>
        </x:is>
      </x:c>
      <x:c r="E9" s="488" t="inlineStr">
        <x:is>
          <x:t xml:space="preserve">OPEN</x:t>
        </x:is>
      </x:c>
      <x:c r="F9" s="488" t="inlineStr">
        <x:is>
          <x:t xml:space="preserve">Payments</x:t>
        </x:is>
      </x:c>
      <x:c r="G9" s="488" t="inlineStr">
        <x:is>
          <x:t xml:space="preserve">2026-08-01</x:t>
        </x:is>
      </x:c>
      <x:c r="H9" s="488" t="inlineStr">
        <x:is>
          <x:t xml:space="preserve">Négocier PSP</x:t>
        </x:is>
      </x:c>
      <x:c r="I9" s="161" t="n"/>
      <x:c r="J9" s="161" t="n"/>
      <x:c r="K9" s="161" t="n"/>
      <x:c r="L9" s="161" t="n"/>
      <x:c r="M9" s="161" t="n"/>
      <x:c r="N9" s="161" t="n"/>
      <x:c r="O9" s="161" t="n"/>
      <x:c r="P9" s="161" t="n"/>
      <x:c r="Q9" s="161" t="n"/>
      <x:c r="R9" s="161" t="n"/>
      <x:c r="S9" s="161" t="n"/>
      <x:c r="T9" s="161" t="n"/>
      <x:c r="U9" s="161" t="n"/>
      <x:c r="V9" s="161" t="n"/>
      <x:c r="W9" s="161" t="n"/>
      <x:c r="X9" s="161" t="n"/>
      <x:c r="Y9" s="161" t="n"/>
      <x:c r="Z9" s="161" t="n"/>
      <x:c r="AA9" s="161" t="n"/>
      <x:c r="AB9" s="161" t="n"/>
      <x:c r="AC9" s="161" t="n"/>
      <x:c r="AD9" s="161" t="n"/>
      <x:c r="AE9" s="161" t="n"/>
      <x:c r="AF9" s="161" t="n"/>
      <x:c r="AG9" s="161" t="n"/>
      <x:c r="AH9" s="161" t="n"/>
      <x:c r="AI9" s="161" t="n"/>
      <x:c r="AJ9" s="161" t="n"/>
      <x:c r="AK9" s="161" t="n"/>
      <x:c r="AL9" s="161" t="n"/>
      <x:c r="AM9" s="161" t="n"/>
      <x:c r="AN9" s="161" t="n"/>
      <x:c r="AO9" s="161" t="n"/>
      <x:c r="AP9" s="161" t="n"/>
      <x:c r="AQ9" s="161" t="n"/>
      <x:c r="AR9" s="161" t="n"/>
      <x:c r="AS9" s="161" t="n"/>
      <x:c r="AT9" s="161" t="n"/>
      <x:c r="AU9" s="161" t="n"/>
      <x:c r="AV9" s="161" t="n"/>
      <x:c r="AW9" s="161" t="n"/>
      <x:c r="AX9" s="161" t="n"/>
      <x:c r="AY9" s="161" t="n"/>
      <x:c r="AZ9" s="161" t="n"/>
    </x:row>
    <x:row r="10" ht="15" hidden="0" customHeight="1">
      <x:c r="A10" s="488" t="inlineStr">
        <x:is>
          <x:t xml:space="preserve">AS-006</x:t>
        </x:is>
      </x:c>
      <x:c r="B10" s="488" t="inlineStr">
        <x:is>
          <x:t xml:space="preserve">CAC</x:t>
        </x:is>
      </x:c>
      <x:c r="C10" s="654" t="n">
        <x:f>'Hypothèses'!B16</x:f>
        <x:v>4500</x:v>
      </x:c>
      <x:c r="D10" s="488" t="inlineStr">
        <x:is>
          <x:t xml:space="preserve">Management</x:t>
        </x:is>
      </x:c>
      <x:c r="E10" s="488" t="inlineStr">
        <x:is>
          <x:t xml:space="preserve">À calibrer</x:t>
        </x:is>
      </x:c>
      <x:c r="F10" s="488" t="inlineStr">
        <x:is>
          <x:t xml:space="preserve">Growth</x:t>
        </x:is>
      </x:c>
      <x:c r="G10" s="488" t="inlineStr">
        <x:is>
          <x:t xml:space="preserve">2026-08-01</x:t>
        </x:is>
      </x:c>
      <x:c r="H10" s="488" t="inlineStr">
        <x:is>
          <x:t xml:space="preserve">Tester acquisition</x:t>
        </x:is>
      </x:c>
      <x:c r="I10" s="161" t="n"/>
      <x:c r="J10" s="161" t="n"/>
      <x:c r="K10" s="161" t="n"/>
      <x:c r="L10" s="161" t="n"/>
      <x:c r="M10" s="161" t="n"/>
      <x:c r="N10" s="161" t="n"/>
      <x:c r="O10" s="161" t="n"/>
      <x:c r="P10" s="161" t="n"/>
      <x:c r="Q10" s="161" t="n"/>
      <x:c r="R10" s="161" t="n"/>
      <x:c r="S10" s="161" t="n"/>
      <x:c r="T10" s="161" t="n"/>
      <x:c r="U10" s="161" t="n"/>
      <x:c r="V10" s="161" t="n"/>
      <x:c r="W10" s="161" t="n"/>
      <x:c r="X10" s="161" t="n"/>
      <x:c r="Y10" s="161" t="n"/>
      <x:c r="Z10" s="161" t="n"/>
      <x:c r="AA10" s="161" t="n"/>
      <x:c r="AB10" s="161" t="n"/>
      <x:c r="AC10" s="161" t="n"/>
      <x:c r="AD10" s="161" t="n"/>
      <x:c r="AE10" s="161" t="n"/>
      <x:c r="AF10" s="161" t="n"/>
      <x:c r="AG10" s="161" t="n"/>
      <x:c r="AH10" s="161" t="n"/>
      <x:c r="AI10" s="161" t="n"/>
      <x:c r="AJ10" s="161" t="n"/>
      <x:c r="AK10" s="161" t="n"/>
      <x:c r="AL10" s="161" t="n"/>
      <x:c r="AM10" s="161" t="n"/>
      <x:c r="AN10" s="161" t="n"/>
      <x:c r="AO10" s="161" t="n"/>
      <x:c r="AP10" s="161" t="n"/>
      <x:c r="AQ10" s="161" t="n"/>
      <x:c r="AR10" s="161" t="n"/>
      <x:c r="AS10" s="161" t="n"/>
      <x:c r="AT10" s="161" t="n"/>
      <x:c r="AU10" s="161" t="n"/>
      <x:c r="AV10" s="161" t="n"/>
      <x:c r="AW10" s="161" t="n"/>
      <x:c r="AX10" s="161" t="n"/>
      <x:c r="AY10" s="161" t="n"/>
      <x:c r="AZ10" s="161" t="n"/>
    </x:row>
    <x:row r="11" ht="15" hidden="0" customHeight="1">
      <x:c r="A11" s="488" t="inlineStr">
        <x:is>
          <x:t xml:space="preserve">AS-007</x:t>
        </x:is>
      </x:c>
      <x:c r="B11" s="488" t="inlineStr">
        <x:is>
          <x:t xml:space="preserve">Coût KYC</x:t>
        </x:is>
      </x:c>
      <x:c r="C11" s="654" t="n">
        <x:f>'Hypothèses'!B18</x:f>
        <x:v>2000</x:v>
      </x:c>
      <x:c r="D11" s="488" t="inlineStr">
        <x:is>
          <x:t xml:space="preserve">Aucun devis</x:t>
        </x:is>
      </x:c>
      <x:c r="E11" s="488" t="inlineStr">
        <x:is>
          <x:t xml:space="preserve">OPEN</x:t>
        </x:is>
      </x:c>
      <x:c r="F11" s="488" t="inlineStr">
        <x:is>
          <x:t xml:space="preserve">Operations</x:t>
        </x:is>
      </x:c>
      <x:c r="G11" s="488" t="inlineStr">
        <x:is>
          <x:t xml:space="preserve">2026-08-01</x:t>
        </x:is>
      </x:c>
      <x:c r="H11" s="488" t="inlineStr">
        <x:is>
          <x:t xml:space="preserve">Choisir fournisseur</x:t>
        </x:is>
      </x:c>
      <x:c r="I11" s="161" t="n"/>
      <x:c r="J11" s="161" t="n"/>
      <x:c r="K11" s="161" t="n"/>
      <x:c r="L11" s="161" t="n"/>
      <x:c r="M11" s="161" t="n"/>
      <x:c r="N11" s="161" t="n"/>
      <x:c r="O11" s="161" t="n"/>
      <x:c r="P11" s="161" t="n"/>
      <x:c r="Q11" s="161" t="n"/>
      <x:c r="R11" s="161" t="n"/>
      <x:c r="S11" s="161" t="n"/>
      <x:c r="T11" s="161" t="n"/>
      <x:c r="U11" s="161" t="n"/>
      <x:c r="V11" s="161" t="n"/>
      <x:c r="W11" s="161" t="n"/>
      <x:c r="X11" s="161" t="n"/>
      <x:c r="Y11" s="161" t="n"/>
      <x:c r="Z11" s="161" t="n"/>
      <x:c r="AA11" s="161" t="n"/>
      <x:c r="AB11" s="161" t="n"/>
      <x:c r="AC11" s="161" t="n"/>
      <x:c r="AD11" s="161" t="n"/>
      <x:c r="AE11" s="161" t="n"/>
      <x:c r="AF11" s="161" t="n"/>
      <x:c r="AG11" s="161" t="n"/>
      <x:c r="AH11" s="161" t="n"/>
      <x:c r="AI11" s="161" t="n"/>
      <x:c r="AJ11" s="161" t="n"/>
      <x:c r="AK11" s="161" t="n"/>
      <x:c r="AL11" s="161" t="n"/>
      <x:c r="AM11" s="161" t="n"/>
      <x:c r="AN11" s="161" t="n"/>
      <x:c r="AO11" s="161" t="n"/>
      <x:c r="AP11" s="161" t="n"/>
      <x:c r="AQ11" s="161" t="n"/>
      <x:c r="AR11" s="161" t="n"/>
      <x:c r="AS11" s="161" t="n"/>
      <x:c r="AT11" s="161" t="n"/>
      <x:c r="AU11" s="161" t="n"/>
      <x:c r="AV11" s="161" t="n"/>
      <x:c r="AW11" s="161" t="n"/>
      <x:c r="AX11" s="161" t="n"/>
      <x:c r="AY11" s="161" t="n"/>
      <x:c r="AZ11" s="161" t="n"/>
    </x:row>
    <x:row r="12" ht="15" hidden="0" customHeight="1">
      <x:c r="A12" s="488" t="inlineStr">
        <x:is>
          <x:t xml:space="preserve">AS-008</x:t>
        </x:is>
      </x:c>
      <x:c r="B12" s="488" t="inlineStr">
        <x:is>
          <x:t xml:space="preserve">Frais payout</x:t>
        </x:is>
      </x:c>
      <x:c r="C12" s="654" t="n">
        <x:f>'Hypothèses'!B19</x:f>
        <x:v>0.02</x:v>
      </x:c>
      <x:c r="D12" s="488" t="inlineStr">
        <x:is>
          <x:t xml:space="preserve">Aucun devis</x:t>
        </x:is>
      </x:c>
      <x:c r="E12" s="488" t="inlineStr">
        <x:is>
          <x:t xml:space="preserve">OPEN</x:t>
        </x:is>
      </x:c>
      <x:c r="F12" s="488" t="inlineStr">
        <x:is>
          <x:t xml:space="preserve">Payments</x:t>
        </x:is>
      </x:c>
      <x:c r="G12" s="488" t="inlineStr">
        <x:is>
          <x:t xml:space="preserve">2026-08-01</x:t>
        </x:is>
      </x:c>
      <x:c r="H12" s="488" t="inlineStr">
        <x:is>
          <x:t xml:space="preserve">Choisir rails</x:t>
        </x:is>
      </x:c>
      <x:c r="I12" s="161" t="n"/>
      <x:c r="J12" s="161" t="n"/>
      <x:c r="K12" s="161" t="n"/>
      <x:c r="L12" s="161" t="n"/>
      <x:c r="M12" s="161" t="n"/>
      <x:c r="N12" s="161" t="n"/>
      <x:c r="O12" s="161" t="n"/>
      <x:c r="P12" s="161" t="n"/>
      <x:c r="Q12" s="161" t="n"/>
      <x:c r="R12" s="161" t="n"/>
      <x:c r="S12" s="161" t="n"/>
      <x:c r="T12" s="161" t="n"/>
      <x:c r="U12" s="161" t="n"/>
      <x:c r="V12" s="161" t="n"/>
      <x:c r="W12" s="161" t="n"/>
      <x:c r="X12" s="161" t="n"/>
      <x:c r="Y12" s="161" t="n"/>
      <x:c r="Z12" s="161" t="n"/>
      <x:c r="AA12" s="161" t="n"/>
      <x:c r="AB12" s="161" t="n"/>
      <x:c r="AC12" s="161" t="n"/>
      <x:c r="AD12" s="161" t="n"/>
      <x:c r="AE12" s="161" t="n"/>
      <x:c r="AF12" s="161" t="n"/>
      <x:c r="AG12" s="161" t="n"/>
      <x:c r="AH12" s="161" t="n"/>
      <x:c r="AI12" s="161" t="n"/>
      <x:c r="AJ12" s="161" t="n"/>
      <x:c r="AK12" s="161" t="n"/>
      <x:c r="AL12" s="161" t="n"/>
      <x:c r="AM12" s="161" t="n"/>
      <x:c r="AN12" s="161" t="n"/>
      <x:c r="AO12" s="161" t="n"/>
      <x:c r="AP12" s="161" t="n"/>
      <x:c r="AQ12" s="161" t="n"/>
      <x:c r="AR12" s="161" t="n"/>
      <x:c r="AS12" s="161" t="n"/>
      <x:c r="AT12" s="161" t="n"/>
      <x:c r="AU12" s="161" t="n"/>
      <x:c r="AV12" s="161" t="n"/>
      <x:c r="AW12" s="161" t="n"/>
      <x:c r="AX12" s="161" t="n"/>
      <x:c r="AY12" s="161" t="n"/>
      <x:c r="AZ12" s="161" t="n"/>
    </x:row>
    <x:row r="13" ht="15" hidden="0" customHeight="1">
      <x:c r="A13" s="488" t="inlineStr">
        <x:is>
          <x:t xml:space="preserve">AS-009</x:t>
        </x:is>
      </x:c>
      <x:c r="B13" s="488" t="inlineStr">
        <x:is>
          <x:t xml:space="preserve">Provision fiscale</x:t>
        </x:is>
      </x:c>
      <x:c r="C13" s="655" t="n">
        <x:f>'Hypothèses'!B25</x:f>
        <x:v>0</x:v>
      </x:c>
      <x:c r="D13" s="488" t="inlineStr">
        <x:is>
          <x:t xml:space="preserve">Non validé</x:t>
        </x:is>
      </x:c>
      <x:c r="E13" s="488" t="inlineStr">
        <x:is>
          <x:t xml:space="preserve">OPEN</x:t>
        </x:is>
      </x:c>
      <x:c r="F13" s="488" t="inlineStr">
        <x:is>
          <x:t xml:space="preserve">Legal/Finance</x:t>
        </x:is>
      </x:c>
      <x:c r="G13" s="488" t="inlineStr">
        <x:is>
          <x:t xml:space="preserve">2026-08-01</x:t>
        </x:is>
      </x:c>
      <x:c r="H13" s="488" t="inlineStr">
        <x:is>
          <x:t xml:space="preserve">Conseil fiscal</x:t>
        </x:is>
      </x:c>
      <x:c r="I13" s="161" t="n"/>
      <x:c r="J13" s="161" t="n"/>
      <x:c r="K13" s="161" t="n"/>
      <x:c r="L13" s="161" t="n"/>
      <x:c r="M13" s="161" t="n"/>
      <x:c r="N13" s="161" t="n"/>
      <x:c r="O13" s="161" t="n"/>
      <x:c r="P13" s="161" t="n"/>
      <x:c r="Q13" s="161" t="n"/>
      <x:c r="R13" s="161" t="n"/>
      <x:c r="S13" s="161" t="n"/>
      <x:c r="T13" s="161" t="n"/>
      <x:c r="U13" s="161" t="n"/>
      <x:c r="V13" s="161" t="n"/>
      <x:c r="W13" s="161" t="n"/>
      <x:c r="X13" s="161" t="n"/>
      <x:c r="Y13" s="161" t="n"/>
      <x:c r="Z13" s="161" t="n"/>
      <x:c r="AA13" s="161" t="n"/>
      <x:c r="AB13" s="161" t="n"/>
      <x:c r="AC13" s="161" t="n"/>
      <x:c r="AD13" s="161" t="n"/>
      <x:c r="AE13" s="161" t="n"/>
      <x:c r="AF13" s="161" t="n"/>
      <x:c r="AG13" s="161" t="n"/>
      <x:c r="AH13" s="161" t="n"/>
      <x:c r="AI13" s="161" t="n"/>
      <x:c r="AJ13" s="161" t="n"/>
      <x:c r="AK13" s="161" t="n"/>
      <x:c r="AL13" s="161" t="n"/>
      <x:c r="AM13" s="161" t="n"/>
      <x:c r="AN13" s="161" t="n"/>
      <x:c r="AO13" s="161" t="n"/>
      <x:c r="AP13" s="161" t="n"/>
      <x:c r="AQ13" s="161" t="n"/>
      <x:c r="AR13" s="161" t="n"/>
      <x:c r="AS13" s="161" t="n"/>
      <x:c r="AT13" s="161" t="n"/>
      <x:c r="AU13" s="161" t="n"/>
      <x:c r="AV13" s="161" t="n"/>
      <x:c r="AW13" s="161" t="n"/>
      <x:c r="AX13" s="161" t="n"/>
      <x:c r="AY13" s="161" t="n"/>
      <x:c r="AZ13" s="161" t="n"/>
    </x:row>
    <x:row r="14" ht="15" hidden="0" customHeight="1">
      <x:c r="A14" s="488" t="inlineStr">
        <x:is>
          <x:t xml:space="preserve">AS-010</x:t>
        </x:is>
      </x:c>
      <x:c r="B14" s="488" t="inlineStr">
        <x:is>
          <x:t xml:space="preserve">FX FCFA/USD</x:t>
        </x:is>
      </x:c>
      <x:c r="C14" s="654" t="n">
        <x:f>'Hypothèses'!B35</x:f>
        <x:v>575</x:v>
      </x:c>
      <x:c r="D14" s="488" t="inlineStr">
        <x:is>
          <x:t xml:space="preserve">Hypothèse arrondie</x:t>
        </x:is>
      </x:c>
      <x:c r="E14" s="488" t="inlineStr">
        <x:is>
          <x:t xml:space="preserve">À actualiser</x:t>
        </x:is>
      </x:c>
      <x:c r="F14" s="488" t="inlineStr">
        <x:is>
          <x:t xml:space="preserve">Finance</x:t>
        </x:is>
      </x:c>
      <x:c r="G14" s="488" t="inlineStr">
        <x:is>
          <x:t xml:space="preserve">2026-08-01</x:t>
        </x:is>
      </x:c>
      <x:c r="H14" s="488" t="inlineStr">
        <x:is>
          <x:t xml:space="preserve">Fixer source et méthode</x:t>
        </x:is>
      </x:c>
      <x:c r="I14" s="161" t="n"/>
      <x:c r="J14" s="161" t="n"/>
      <x:c r="K14" s="161" t="n"/>
      <x:c r="L14" s="161" t="n"/>
      <x:c r="M14" s="161" t="n"/>
      <x:c r="N14" s="161" t="n"/>
      <x:c r="O14" s="161" t="n"/>
      <x:c r="P14" s="161" t="n"/>
      <x:c r="Q14" s="161" t="n"/>
      <x:c r="R14" s="161" t="n"/>
      <x:c r="S14" s="161" t="n"/>
      <x:c r="T14" s="161" t="n"/>
      <x:c r="U14" s="161" t="n"/>
      <x:c r="V14" s="161" t="n"/>
      <x:c r="W14" s="161" t="n"/>
      <x:c r="X14" s="161" t="n"/>
      <x:c r="Y14" s="161" t="n"/>
      <x:c r="Z14" s="161" t="n"/>
      <x:c r="AA14" s="161" t="n"/>
      <x:c r="AB14" s="161" t="n"/>
      <x:c r="AC14" s="161" t="n"/>
      <x:c r="AD14" s="161" t="n"/>
      <x:c r="AE14" s="161" t="n"/>
      <x:c r="AF14" s="161" t="n"/>
      <x:c r="AG14" s="161" t="n"/>
      <x:c r="AH14" s="161" t="n"/>
      <x:c r="AI14" s="161" t="n"/>
      <x:c r="AJ14" s="161" t="n"/>
      <x:c r="AK14" s="161" t="n"/>
      <x:c r="AL14" s="161" t="n"/>
      <x:c r="AM14" s="161" t="n"/>
      <x:c r="AN14" s="161" t="n"/>
      <x:c r="AO14" s="161" t="n"/>
      <x:c r="AP14" s="161" t="n"/>
      <x:c r="AQ14" s="161" t="n"/>
      <x:c r="AR14" s="161" t="n"/>
      <x:c r="AS14" s="161" t="n"/>
      <x:c r="AT14" s="161" t="n"/>
      <x:c r="AU14" s="161" t="n"/>
      <x:c r="AV14" s="161" t="n"/>
      <x:c r="AW14" s="161" t="n"/>
      <x:c r="AX14" s="161" t="n"/>
      <x:c r="AY14" s="161" t="n"/>
      <x:c r="AZ14" s="161" t="n"/>
    </x:row>
    <x:row r="15" ht="15" hidden="0" customHeight="1">
      <x:c r="A15" s="488" t="str">
        <x:v>AS-011</x:v>
      </x:c>
      <x:c r="B15" s="488" t="str">
        <x:v>Activation sandbox cinq tailles</x:v>
      </x:c>
      <x:c r="C15" s="488" t="str">
        <x:f>'Dashboard'!D19</x:f>
        <x:v>OUI</x:v>
      </x:c>
      <x:c r="D15" s="488" t="str">
        <x:v>OFFER-023</x:v>
      </x:c>
      <x:c r="E15" s="488" t="str">
        <x:v>LOCKED</x:v>
      </x:c>
      <x:c r="F15" s="488" t="str">
        <x:v>Product/Risk</x:v>
      </x:c>
      <x:c r="G15" s="488" t="str">
        <x:v>2026-08-03</x:v>
      </x:c>
      <x:c r="H15" s="488" t="str">
        <x:v>Mesurer cohortes avant public</x:v>
      </x:c>
      <x:c r="I15" s="161" t="n"/>
      <x:c r="J15" s="161" t="n"/>
      <x:c r="K15" s="161" t="n"/>
      <x:c r="L15" s="161" t="n"/>
      <x:c r="M15" s="161" t="n"/>
      <x:c r="N15" s="161" t="n"/>
      <x:c r="O15" s="161" t="n"/>
      <x:c r="P15" s="161" t="n"/>
      <x:c r="Q15" s="161" t="n"/>
      <x:c r="R15" s="161" t="n"/>
      <x:c r="S15" s="161" t="n"/>
      <x:c r="T15" s="161" t="n"/>
      <x:c r="U15" s="161" t="n"/>
      <x:c r="V15" s="161" t="n"/>
      <x:c r="W15" s="161" t="n"/>
      <x:c r="X15" s="161" t="n"/>
      <x:c r="Y15" s="161" t="n"/>
      <x:c r="Z15" s="161" t="n"/>
      <x:c r="AA15" s="161" t="n"/>
      <x:c r="AB15" s="161" t="n"/>
      <x:c r="AC15" s="161" t="n"/>
      <x:c r="AD15" s="161" t="n"/>
      <x:c r="AE15" s="161" t="n"/>
      <x:c r="AF15" s="161" t="n"/>
      <x:c r="AG15" s="161" t="n"/>
      <x:c r="AH15" s="161" t="n"/>
      <x:c r="AI15" s="161" t="n"/>
      <x:c r="AJ15" s="161" t="n"/>
      <x:c r="AK15" s="161" t="n"/>
      <x:c r="AL15" s="161" t="n"/>
      <x:c r="AM15" s="161" t="n"/>
      <x:c r="AN15" s="161" t="n"/>
      <x:c r="AO15" s="161" t="n"/>
      <x:c r="AP15" s="161" t="n"/>
      <x:c r="AQ15" s="161" t="n"/>
      <x:c r="AR15" s="161" t="n"/>
      <x:c r="AS15" s="161" t="n"/>
      <x:c r="AT15" s="161" t="n"/>
      <x:c r="AU15" s="161" t="n"/>
      <x:c r="AV15" s="161" t="n"/>
      <x:c r="AW15" s="161" t="n"/>
      <x:c r="AX15" s="161" t="n"/>
      <x:c r="AY15" s="161" t="n"/>
      <x:c r="AZ15" s="161" t="n"/>
    </x:row>
    <x:row r="16" ht="15" hidden="0" customHeight="1">
      <x:c r="A16" s="488" t="str">
        <x:v>AS-012</x:v>
      </x:c>
      <x:c r="B16" s="488" t="str">
        <x:v>Rules v1.1 : target/DLL/ML/Best Day</x:v>
      </x:c>
      <x:c r="C16" s="488" t="str">
        <x:v>10% / 3% / 10% EOD / 50%</x:v>
      </x:c>
      <x:c r="D16" s="488" t="str">
        <x:v>Rulebook v1.1.1</x:v>
      </x:c>
      <x:c r="E16" s="488" t="str">
        <x:v>LOCKED</x:v>
      </x:c>
      <x:c r="F16" s="488" t="str">
        <x:v>Risk</x:v>
      </x:c>
      <x:c r="G16" s="488" t="str">
        <x:v>2026-08-03</x:v>
      </x:c>
      <x:c r="H16" s="488" t="str">
        <x:v>Vérifier les invariants après chaque évolution de policy</x:v>
      </x:c>
      <x:c r="I16" s="161" t="n"/>
      <x:c r="J16" s="161" t="n"/>
      <x:c r="K16" s="161" t="n"/>
      <x:c r="L16" s="161" t="n"/>
      <x:c r="M16" s="161" t="n"/>
      <x:c r="N16" s="161" t="n"/>
      <x:c r="O16" s="161" t="n"/>
      <x:c r="P16" s="161" t="n"/>
      <x:c r="Q16" s="161" t="n"/>
      <x:c r="R16" s="161" t="n"/>
      <x:c r="S16" s="161" t="n"/>
      <x:c r="T16" s="161" t="n"/>
      <x:c r="U16" s="161" t="n"/>
      <x:c r="V16" s="161" t="n"/>
      <x:c r="W16" s="161" t="n"/>
      <x:c r="X16" s="161" t="n"/>
      <x:c r="Y16" s="161" t="n"/>
      <x:c r="Z16" s="161" t="n"/>
      <x:c r="AA16" s="161" t="n"/>
      <x:c r="AB16" s="161" t="n"/>
      <x:c r="AC16" s="161" t="n"/>
      <x:c r="AD16" s="161" t="n"/>
      <x:c r="AE16" s="161" t="n"/>
      <x:c r="AF16" s="161" t="n"/>
      <x:c r="AG16" s="161" t="n"/>
      <x:c r="AH16" s="161" t="n"/>
      <x:c r="AI16" s="161" t="n"/>
      <x:c r="AJ16" s="161" t="n"/>
      <x:c r="AK16" s="161" t="n"/>
      <x:c r="AL16" s="161" t="n"/>
      <x:c r="AM16" s="161" t="n"/>
      <x:c r="AN16" s="161" t="n"/>
      <x:c r="AO16" s="161" t="n"/>
      <x:c r="AP16" s="161" t="n"/>
      <x:c r="AQ16" s="161" t="n"/>
      <x:c r="AR16" s="161" t="n"/>
      <x:c r="AS16" s="161" t="n"/>
      <x:c r="AT16" s="161" t="n"/>
      <x:c r="AU16" s="161" t="n"/>
      <x:c r="AV16" s="161" t="n"/>
      <x:c r="AW16" s="161" t="n"/>
      <x:c r="AX16" s="161" t="n"/>
      <x:c r="AY16" s="161" t="n"/>
      <x:c r="AZ16" s="161" t="n"/>
    </x:row>
    <x:row r="17" ht="15" hidden="0" customHeight="1">
      <x:c r="A17" s="488" t="str">
        <x:v>AS-013</x:v>
      </x:c>
      <x:c r="B17" s="488" t="str">
        <x:v>Grille FCFA cinq tailles</x:v>
      </x:c>
      <x:c r="C17" s="488" t="str">
        <x:v>22 500 à 259 900 FCFA</x:v>
      </x:c>
      <x:c r="D17" s="488" t="str">
        <x:v>OFFER-013..022</x:v>
      </x:c>
      <x:c r="E17" s="488" t="str">
        <x:v>CANDIDATE</x:v>
      </x:c>
      <x:c r="F17" s="488" t="str">
        <x:v>Finance</x:v>
      </x:c>
      <x:c r="G17" s="488" t="str">
        <x:v>2026-08-03</x:v>
      </x:c>
      <x:c r="H17" s="488" t="str">
        <x:v>Valider cohortes et PSP</x:v>
      </x:c>
      <x:c r="I17" s="161" t="n"/>
      <x:c r="J17" s="161" t="n"/>
      <x:c r="K17" s="161" t="n"/>
      <x:c r="L17" s="161" t="n"/>
      <x:c r="M17" s="161" t="n"/>
      <x:c r="N17" s="161" t="n"/>
      <x:c r="O17" s="161" t="n"/>
      <x:c r="P17" s="161" t="n"/>
      <x:c r="Q17" s="161" t="n"/>
      <x:c r="R17" s="161" t="n"/>
      <x:c r="S17" s="161" t="n"/>
      <x:c r="T17" s="161" t="n"/>
      <x:c r="U17" s="161" t="n"/>
      <x:c r="V17" s="161" t="n"/>
      <x:c r="W17" s="161" t="n"/>
      <x:c r="X17" s="161" t="n"/>
      <x:c r="Y17" s="161" t="n"/>
      <x:c r="Z17" s="161" t="n"/>
      <x:c r="AA17" s="161" t="n"/>
      <x:c r="AB17" s="161" t="n"/>
      <x:c r="AC17" s="161" t="n"/>
      <x:c r="AD17" s="161" t="n"/>
      <x:c r="AE17" s="161" t="n"/>
      <x:c r="AF17" s="161" t="n"/>
      <x:c r="AG17" s="161" t="n"/>
      <x:c r="AH17" s="161" t="n"/>
      <x:c r="AI17" s="161" t="n"/>
      <x:c r="AJ17" s="161" t="n"/>
      <x:c r="AK17" s="161" t="n"/>
      <x:c r="AL17" s="161" t="n"/>
      <x:c r="AM17" s="161" t="n"/>
      <x:c r="AN17" s="161" t="n"/>
      <x:c r="AO17" s="161" t="n"/>
      <x:c r="AP17" s="161" t="n"/>
      <x:c r="AQ17" s="161" t="n"/>
      <x:c r="AR17" s="161" t="n"/>
      <x:c r="AS17" s="161" t="n"/>
      <x:c r="AT17" s="161" t="n"/>
      <x:c r="AU17" s="161" t="n"/>
      <x:c r="AV17" s="161" t="n"/>
      <x:c r="AW17" s="161" t="n"/>
      <x:c r="AX17" s="161" t="n"/>
      <x:c r="AY17" s="161" t="n"/>
      <x:c r="AZ17" s="161" t="n"/>
    </x:row>
    <x:row r="18" ht="15" hidden="0" customHeight="1">
      <x:c r="A18" s="488" t="str">
        <x:v>AS-014</x:v>
      </x:c>
      <x:c r="B18" s="488" t="str">
        <x:v>Caps nets P1–P5</x:v>
      </x:c>
      <x:c r="C18" s="488" t="str">
        <x:v>5K à 100K</x:v>
      </x:c>
      <x:c r="D18" s="488" t="str">
        <x:v>PERF-030 / modèle actuariel</x:v>
      </x:c>
      <x:c r="E18" s="488" t="str">
        <x:v>CANDIDATE</x:v>
      </x:c>
      <x:c r="F18" s="488" t="str">
        <x:v>Finance/Risk</x:v>
      </x:c>
      <x:c r="G18" s="488" t="str">
        <x:v>2026-08-03</x:v>
      </x:c>
      <x:c r="H18" s="488" t="str">
        <x:v>Exécuter Stress</x:v>
      </x:c>
      <x:c r="I18" s="161" t="n"/>
      <x:c r="J18" s="161" t="n"/>
      <x:c r="K18" s="161" t="n"/>
      <x:c r="L18" s="161" t="n"/>
      <x:c r="M18" s="161" t="n"/>
      <x:c r="N18" s="161" t="n"/>
      <x:c r="O18" s="161" t="n"/>
      <x:c r="P18" s="161" t="n"/>
      <x:c r="Q18" s="161" t="n"/>
      <x:c r="R18" s="161" t="n"/>
      <x:c r="S18" s="161" t="n"/>
      <x:c r="T18" s="161" t="n"/>
      <x:c r="U18" s="161" t="n"/>
      <x:c r="V18" s="161" t="n"/>
      <x:c r="W18" s="161" t="n"/>
      <x:c r="X18" s="161" t="n"/>
      <x:c r="Y18" s="161" t="n"/>
      <x:c r="Z18" s="161" t="n"/>
      <x:c r="AA18" s="161" t="n"/>
      <x:c r="AB18" s="161" t="n"/>
      <x:c r="AC18" s="161" t="n"/>
      <x:c r="AD18" s="161" t="n"/>
      <x:c r="AE18" s="161" t="n"/>
      <x:c r="AF18" s="161" t="n"/>
      <x:c r="AG18" s="161" t="n"/>
      <x:c r="AH18" s="161" t="n"/>
      <x:c r="AI18" s="161" t="n"/>
      <x:c r="AJ18" s="161" t="n"/>
      <x:c r="AK18" s="161" t="n"/>
      <x:c r="AL18" s="161" t="n"/>
      <x:c r="AM18" s="161" t="n"/>
      <x:c r="AN18" s="161" t="n"/>
      <x:c r="AO18" s="161" t="n"/>
      <x:c r="AP18" s="161" t="n"/>
      <x:c r="AQ18" s="161" t="n"/>
      <x:c r="AR18" s="161" t="n"/>
      <x:c r="AS18" s="161" t="n"/>
      <x:c r="AT18" s="161" t="n"/>
      <x:c r="AU18" s="161" t="n"/>
      <x:c r="AV18" s="161" t="n"/>
      <x:c r="AW18" s="161" t="n"/>
      <x:c r="AX18" s="161" t="n"/>
      <x:c r="AY18" s="161" t="n"/>
      <x:c r="AZ18" s="161" t="n"/>
    </x:row>
    <x:row r="19" ht="15" hidden="0" customHeight="1">
      <x:c r="A19" s="488" t="str">
        <x:v>AS-015</x:v>
      </x:c>
      <x:c r="B19" s="488" t="str">
        <x:v>Conversion commerciale FCFA/USD</x:v>
      </x:c>
      <x:c r="C19" s="488" t="n">
        <x:f>'Hypothèses'!B35</x:f>
        <x:v>575</x:v>
      </x:c>
      <x:c r="D19" s="488" t="str">
        <x:v>Hypothèse commerciale informative</x:v>
      </x:c>
      <x:c r="E19" s="488" t="str">
        <x:v>À actualiser</x:v>
      </x:c>
      <x:c r="F19" s="488" t="str">
        <x:v>Finance</x:v>
      </x:c>
      <x:c r="G19" s="488" t="str">
        <x:v>2026-08-03</x:v>
      </x:c>
      <x:c r="H19" s="488" t="str">
        <x:v>Fixer source et fréquence</x:v>
      </x:c>
      <x:c r="I19" s="161" t="n"/>
      <x:c r="J19" s="161" t="n"/>
      <x:c r="K19" s="161" t="n"/>
      <x:c r="L19" s="161" t="n"/>
      <x:c r="M19" s="161" t="n"/>
      <x:c r="N19" s="161" t="n"/>
      <x:c r="O19" s="161" t="n"/>
      <x:c r="P19" s="161" t="n"/>
      <x:c r="Q19" s="161" t="n"/>
      <x:c r="R19" s="161" t="n"/>
      <x:c r="S19" s="161" t="n"/>
      <x:c r="T19" s="161" t="n"/>
      <x:c r="U19" s="161" t="n"/>
      <x:c r="V19" s="161" t="n"/>
      <x:c r="W19" s="161" t="n"/>
      <x:c r="X19" s="161" t="n"/>
      <x:c r="Y19" s="161" t="n"/>
      <x:c r="Z19" s="161" t="n"/>
      <x:c r="AA19" s="161" t="n"/>
      <x:c r="AB19" s="161" t="n"/>
      <x:c r="AC19" s="161" t="n"/>
      <x:c r="AD19" s="161" t="n"/>
      <x:c r="AE19" s="161" t="n"/>
      <x:c r="AF19" s="161" t="n"/>
      <x:c r="AG19" s="161" t="n"/>
      <x:c r="AH19" s="161" t="n"/>
      <x:c r="AI19" s="161" t="n"/>
      <x:c r="AJ19" s="161" t="n"/>
      <x:c r="AK19" s="161" t="n"/>
      <x:c r="AL19" s="161" t="n"/>
      <x:c r="AM19" s="161" t="n"/>
      <x:c r="AN19" s="161" t="n"/>
      <x:c r="AO19" s="161" t="n"/>
      <x:c r="AP19" s="161" t="n"/>
      <x:c r="AQ19" s="161" t="n"/>
      <x:c r="AR19" s="161" t="n"/>
      <x:c r="AS19" s="161" t="n"/>
      <x:c r="AT19" s="161" t="n"/>
      <x:c r="AU19" s="161" t="n"/>
      <x:c r="AV19" s="161" t="n"/>
      <x:c r="AW19" s="161" t="n"/>
      <x:c r="AX19" s="161" t="n"/>
      <x:c r="AY19" s="161" t="n"/>
      <x:c r="AZ19" s="161" t="n"/>
    </x:row>
    <x:row r="20" ht="15" hidden="0" customHeight="1">
      <x:c r="A20" s="488" t="str">
        <x:v>AS-016</x:v>
      </x:c>
      <x:c r="B20" s="488" t="str">
        <x:v>Devise contractuelle et règlement</x:v>
      </x:c>
      <x:c r="C20" s="488" t="str">
        <x:v>XOF</x:v>
      </x:c>
      <x:c r="D20" s="488" t="str">
        <x:v>OFFER-022</x:v>
      </x:c>
      <x:c r="E20" s="488" t="str">
        <x:v>LOCKED</x:v>
      </x:c>
      <x:c r="F20" s="488" t="str">
        <x:v>Finance/Legal</x:v>
      </x:c>
      <x:c r="G20" s="488" t="str">
        <x:v>2026-08-03</x:v>
      </x:c>
      <x:c r="H20" s="488" t="str">
        <x:v>Valider contrat PSP</x:v>
      </x:c>
      <x:c r="I20" s="161" t="n"/>
      <x:c r="J20" s="161" t="n"/>
      <x:c r="K20" s="161" t="n"/>
      <x:c r="L20" s="161" t="n"/>
      <x:c r="M20" s="161" t="n"/>
      <x:c r="N20" s="161" t="n"/>
      <x:c r="O20" s="161" t="n"/>
      <x:c r="P20" s="161" t="n"/>
      <x:c r="Q20" s="161" t="n"/>
      <x:c r="R20" s="161" t="n"/>
      <x:c r="S20" s="161" t="n"/>
      <x:c r="T20" s="161" t="n"/>
      <x:c r="U20" s="161" t="n"/>
      <x:c r="V20" s="161" t="n"/>
      <x:c r="W20" s="161" t="n"/>
      <x:c r="X20" s="161" t="n"/>
      <x:c r="Y20" s="161" t="n"/>
      <x:c r="Z20" s="161" t="n"/>
      <x:c r="AA20" s="161" t="n"/>
      <x:c r="AB20" s="161" t="n"/>
      <x:c r="AC20" s="161" t="n"/>
      <x:c r="AD20" s="161" t="n"/>
      <x:c r="AE20" s="161" t="n"/>
      <x:c r="AF20" s="161" t="n"/>
      <x:c r="AG20" s="161" t="n"/>
      <x:c r="AH20" s="161" t="n"/>
      <x:c r="AI20" s="161" t="n"/>
      <x:c r="AJ20" s="161" t="n"/>
      <x:c r="AK20" s="161" t="n"/>
      <x:c r="AL20" s="161" t="n"/>
      <x:c r="AM20" s="161" t="n"/>
      <x:c r="AN20" s="161" t="n"/>
      <x:c r="AO20" s="161" t="n"/>
      <x:c r="AP20" s="161" t="n"/>
      <x:c r="AQ20" s="161" t="n"/>
      <x:c r="AR20" s="161" t="n"/>
      <x:c r="AS20" s="161" t="n"/>
      <x:c r="AT20" s="161" t="n"/>
      <x:c r="AU20" s="161" t="n"/>
      <x:c r="AV20" s="161" t="n"/>
      <x:c r="AW20" s="161" t="n"/>
      <x:c r="AX20" s="161" t="n"/>
      <x:c r="AY20" s="161" t="n"/>
      <x:c r="AZ20" s="161" t="n"/>
    </x:row>
    <x:row r="21" ht="15" hidden="0" customHeight="1">
      <x:c r="A21" s="488" t="str">
        <x:v>AS-017</x:v>
      </x:c>
      <x:c r="B21" s="488" t="str">
        <x:v>Éligibilité profit ≥ 60 s et contrôles 3/6</x:v>
      </x:c>
      <x:c r="C21" s="488" t="str">
        <x:v>60 s / 3 / 6</x:v>
      </x:c>
      <x:c r="D21" s="488" t="str">
        <x:v>TRD-033..035 / Rulebook v1.1.1</x:v>
      </x:c>
      <x:c r="E21" s="488" t="str">
        <x:v>LOCKED</x:v>
      </x:c>
      <x:c r="F21" s="488" t="str">
        <x:v>Risk/Engineering</x:v>
      </x:c>
      <x:c r="G21" s="488" t="str">
        <x:v>2026-08-05</x:v>
      </x:c>
      <x:c r="H21" s="488" t="str">
        <x:v>Mesurer et auditer les faux positifs en bêta</x:v>
      </x:c>
      <x:c r="I21" s="161" t="n"/>
      <x:c r="J21" s="161" t="n"/>
      <x:c r="K21" s="161" t="n"/>
      <x:c r="L21" s="161" t="n"/>
      <x:c r="M21" s="161" t="n"/>
      <x:c r="N21" s="161" t="n"/>
      <x:c r="O21" s="161" t="n"/>
      <x:c r="P21" s="161" t="n"/>
      <x:c r="Q21" s="161" t="n"/>
      <x:c r="R21" s="161" t="n"/>
      <x:c r="S21" s="161" t="n"/>
      <x:c r="T21" s="161" t="n"/>
      <x:c r="U21" s="161" t="n"/>
      <x:c r="V21" s="161" t="n"/>
      <x:c r="W21" s="161" t="n"/>
      <x:c r="X21" s="161" t="n"/>
      <x:c r="Y21" s="161" t="n"/>
      <x:c r="Z21" s="161" t="n"/>
      <x:c r="AA21" s="161" t="n"/>
      <x:c r="AB21" s="161" t="n"/>
      <x:c r="AC21" s="161" t="n"/>
      <x:c r="AD21" s="161" t="n"/>
      <x:c r="AE21" s="161" t="n"/>
      <x:c r="AF21" s="161" t="n"/>
      <x:c r="AG21" s="161" t="n"/>
      <x:c r="AH21" s="161" t="n"/>
      <x:c r="AI21" s="161" t="n"/>
      <x:c r="AJ21" s="161" t="n"/>
      <x:c r="AK21" s="161" t="n"/>
      <x:c r="AL21" s="161" t="n"/>
      <x:c r="AM21" s="161" t="n"/>
      <x:c r="AN21" s="161" t="n"/>
      <x:c r="AO21" s="161" t="n"/>
      <x:c r="AP21" s="161" t="n"/>
      <x:c r="AQ21" s="161" t="n"/>
      <x:c r="AR21" s="161" t="n"/>
      <x:c r="AS21" s="161" t="n"/>
      <x:c r="AT21" s="161" t="n"/>
      <x:c r="AU21" s="161" t="n"/>
      <x:c r="AV21" s="161" t="n"/>
      <x:c r="AW21" s="161" t="n"/>
      <x:c r="AX21" s="161" t="n"/>
      <x:c r="AY21" s="161" t="n"/>
      <x:c r="AZ21" s="161" t="n"/>
    </x:row>
    <x:row r="22" ht="15" hidden="0" customHeight="1">
      <x:c r="A22" s="488" t="str">
        <x:v>AS-018</x:v>
      </x:c>
      <x:c r="B22" s="488" t="str">
        <x:v>Contribution scénario Stress v1.1</x:v>
      </x:c>
      <x:c r="C22" s="488" t="n">
        <x:f>'Scénarios v1.1'!E35</x:f>
        <x:v>-1824227.728799999</x:v>
      </x:c>
      <x:c r="D22" s="488" t="str">
        <x:v>Scénarios v1.1!E35</x:v>
      </x:c>
      <x:c r="E22" s="488" t="str">
        <x:v>REVIEW_REQUIRED</x:v>
      </x:c>
      <x:c r="F22" s="488" t="str">
        <x:v>Finance/Risk</x:v>
      </x:c>
      <x:c r="G22" s="488" t="str">
        <x:v>2026-08-05</x:v>
      </x:c>
      <x:c r="H22" s="488" t="str">
        <x:v>Revoir prix, caps et réserve avant toute vente publique</x:v>
      </x:c>
      <x:c r="I22" s="161" t="n"/>
      <x:c r="J22" s="161" t="n"/>
      <x:c r="K22" s="161" t="n"/>
      <x:c r="L22" s="161" t="n"/>
      <x:c r="M22" s="161" t="n"/>
      <x:c r="N22" s="161" t="n"/>
      <x:c r="O22" s="161" t="n"/>
      <x:c r="P22" s="161" t="n"/>
      <x:c r="Q22" s="161" t="n"/>
      <x:c r="R22" s="161" t="n"/>
      <x:c r="S22" s="161" t="n"/>
      <x:c r="T22" s="161" t="n"/>
      <x:c r="U22" s="161" t="n"/>
      <x:c r="V22" s="161" t="n"/>
      <x:c r="W22" s="161" t="n"/>
      <x:c r="X22" s="161" t="n"/>
      <x:c r="Y22" s="161" t="n"/>
      <x:c r="Z22" s="161" t="n"/>
      <x:c r="AA22" s="161" t="n"/>
      <x:c r="AB22" s="161" t="n"/>
      <x:c r="AC22" s="161" t="n"/>
      <x:c r="AD22" s="161" t="n"/>
      <x:c r="AE22" s="161" t="n"/>
      <x:c r="AF22" s="161" t="n"/>
      <x:c r="AG22" s="161" t="n"/>
      <x:c r="AH22" s="161" t="n"/>
      <x:c r="AI22" s="161" t="n"/>
      <x:c r="AJ22" s="161" t="n"/>
      <x:c r="AK22" s="161" t="n"/>
      <x:c r="AL22" s="161" t="n"/>
      <x:c r="AM22" s="161" t="n"/>
      <x:c r="AN22" s="161" t="n"/>
      <x:c r="AO22" s="161" t="n"/>
      <x:c r="AP22" s="161" t="n"/>
      <x:c r="AQ22" s="161" t="n"/>
      <x:c r="AR22" s="161" t="n"/>
      <x:c r="AS22" s="161" t="n"/>
      <x:c r="AT22" s="161" t="n"/>
      <x:c r="AU22" s="161" t="n"/>
      <x:c r="AV22" s="161" t="n"/>
      <x:c r="AW22" s="161" t="n"/>
      <x:c r="AX22" s="161" t="n"/>
      <x:c r="AY22" s="161" t="n"/>
      <x:c r="AZ22" s="161" t="n"/>
    </x:row>
    <x:row r="23" ht="15" customHeight="1">
      <x:c r="A23" s="161" t="n"/>
      <x:c r="B23" s="161" t="n"/>
      <x:c r="C23" s="161" t="n"/>
      <x:c r="D23" s="161" t="n"/>
      <x:c r="E23" s="161" t="n"/>
      <x:c r="F23" s="161" t="n"/>
      <x:c r="G23" s="161" t="n"/>
      <x:c r="H23" s="161" t="n"/>
      <x:c r="I23" s="161" t="n"/>
      <x:c r="J23" s="161" t="n"/>
      <x:c r="K23" s="161" t="n"/>
      <x:c r="L23" s="161" t="n"/>
      <x:c r="M23" s="161" t="n"/>
      <x:c r="N23" s="161" t="n"/>
      <x:c r="O23" s="161" t="n"/>
      <x:c r="P23" s="161" t="n"/>
      <x:c r="Q23" s="161" t="n"/>
      <x:c r="R23" s="161" t="n"/>
      <x:c r="S23" s="161" t="n"/>
      <x:c r="T23" s="161" t="n"/>
      <x:c r="U23" s="161" t="n"/>
      <x:c r="V23" s="161" t="n"/>
      <x:c r="W23" s="161" t="n"/>
      <x:c r="X23" s="161" t="n"/>
      <x:c r="Y23" s="161" t="n"/>
      <x:c r="Z23" s="161" t="n"/>
      <x:c r="AA23" s="161" t="n"/>
      <x:c r="AB23" s="161" t="n"/>
      <x:c r="AC23" s="161" t="n"/>
      <x:c r="AD23" s="161" t="n"/>
      <x:c r="AE23" s="161" t="n"/>
      <x:c r="AF23" s="161" t="n"/>
      <x:c r="AG23" s="161" t="n"/>
      <x:c r="AH23" s="161" t="n"/>
      <x:c r="AI23" s="161" t="n"/>
      <x:c r="AJ23" s="161" t="n"/>
      <x:c r="AK23" s="161" t="n"/>
      <x:c r="AL23" s="161" t="n"/>
      <x:c r="AM23" s="161" t="n"/>
      <x:c r="AN23" s="161" t="n"/>
      <x:c r="AO23" s="161" t="n"/>
      <x:c r="AP23" s="161" t="n"/>
      <x:c r="AQ23" s="161" t="n"/>
      <x:c r="AR23" s="161" t="n"/>
      <x:c r="AS23" s="161" t="n"/>
      <x:c r="AT23" s="161" t="n"/>
      <x:c r="AU23" s="161" t="n"/>
      <x:c r="AV23" s="161" t="n"/>
      <x:c r="AW23" s="161" t="n"/>
      <x:c r="AX23" s="161" t="n"/>
      <x:c r="AY23" s="161" t="n"/>
      <x:c r="AZ23" s="161" t="n"/>
    </x:row>
    <x:row r="24" ht="15" customHeight="1">
      <x:c r="A24" s="161" t="n"/>
      <x:c r="B24" s="161" t="n"/>
      <x:c r="C24" s="161" t="n"/>
      <x:c r="D24" s="161" t="n"/>
      <x:c r="E24" s="161" t="n"/>
      <x:c r="F24" s="161" t="n"/>
      <x:c r="G24" s="161" t="n"/>
      <x:c r="H24" s="161" t="n"/>
      <x:c r="I24" s="161" t="n"/>
      <x:c r="J24" s="161" t="n"/>
      <x:c r="K24" s="161" t="n"/>
      <x:c r="L24" s="161" t="n"/>
      <x:c r="M24" s="161" t="n"/>
      <x:c r="N24" s="161" t="n"/>
      <x:c r="O24" s="161" t="n"/>
      <x:c r="P24" s="161" t="n"/>
      <x:c r="Q24" s="161" t="n"/>
      <x:c r="R24" s="161" t="n"/>
      <x:c r="S24" s="161" t="n"/>
      <x:c r="T24" s="161" t="n"/>
      <x:c r="U24" s="161" t="n"/>
      <x:c r="V24" s="161" t="n"/>
      <x:c r="W24" s="161" t="n"/>
      <x:c r="X24" s="161" t="n"/>
      <x:c r="Y24" s="161" t="n"/>
      <x:c r="Z24" s="161" t="n"/>
      <x:c r="AA24" s="161" t="n"/>
      <x:c r="AB24" s="161" t="n"/>
      <x:c r="AC24" s="161" t="n"/>
      <x:c r="AD24" s="161" t="n"/>
      <x:c r="AE24" s="161" t="n"/>
      <x:c r="AF24" s="161" t="n"/>
      <x:c r="AG24" s="161" t="n"/>
      <x:c r="AH24" s="161" t="n"/>
      <x:c r="AI24" s="161" t="n"/>
      <x:c r="AJ24" s="161" t="n"/>
      <x:c r="AK24" s="161" t="n"/>
      <x:c r="AL24" s="161" t="n"/>
      <x:c r="AM24" s="161" t="n"/>
      <x:c r="AN24" s="161" t="n"/>
      <x:c r="AO24" s="161" t="n"/>
      <x:c r="AP24" s="161" t="n"/>
      <x:c r="AQ24" s="161" t="n"/>
      <x:c r="AR24" s="161" t="n"/>
      <x:c r="AS24" s="161" t="n"/>
      <x:c r="AT24" s="161" t="n"/>
      <x:c r="AU24" s="161" t="n"/>
      <x:c r="AV24" s="161" t="n"/>
      <x:c r="AW24" s="161" t="n"/>
      <x:c r="AX24" s="161" t="n"/>
      <x:c r="AY24" s="161" t="n"/>
      <x:c r="AZ24" s="161" t="n"/>
    </x:row>
    <x:row r="25" ht="15" customHeight="1">
      <x:c r="A25" s="161" t="n"/>
      <x:c r="B25" s="161" t="n"/>
      <x:c r="C25" s="161" t="n"/>
      <x:c r="D25" s="161" t="n"/>
      <x:c r="E25" s="161" t="n"/>
      <x:c r="F25" s="161" t="n"/>
      <x:c r="G25" s="161" t="n"/>
      <x:c r="H25" s="161" t="n"/>
      <x:c r="I25" s="161" t="n"/>
      <x:c r="J25" s="161" t="n"/>
      <x:c r="K25" s="161" t="n"/>
      <x:c r="L25" s="161" t="n"/>
      <x:c r="M25" s="161" t="n"/>
      <x:c r="N25" s="161" t="n"/>
      <x:c r="O25" s="161" t="n"/>
      <x:c r="P25" s="161" t="n"/>
      <x:c r="Q25" s="161" t="n"/>
      <x:c r="R25" s="161" t="n"/>
      <x:c r="S25" s="161" t="n"/>
      <x:c r="T25" s="161" t="n"/>
      <x:c r="U25" s="161" t="n"/>
      <x:c r="V25" s="161" t="n"/>
      <x:c r="W25" s="161" t="n"/>
      <x:c r="X25" s="161" t="n"/>
      <x:c r="Y25" s="161" t="n"/>
      <x:c r="Z25" s="161" t="n"/>
      <x:c r="AA25" s="161" t="n"/>
      <x:c r="AB25" s="161" t="n"/>
      <x:c r="AC25" s="161" t="n"/>
      <x:c r="AD25" s="161" t="n"/>
      <x:c r="AE25" s="161" t="n"/>
      <x:c r="AF25" s="161" t="n"/>
      <x:c r="AG25" s="161" t="n"/>
      <x:c r="AH25" s="161" t="n"/>
      <x:c r="AI25" s="161" t="n"/>
      <x:c r="AJ25" s="161" t="n"/>
      <x:c r="AK25" s="161" t="n"/>
      <x:c r="AL25" s="161" t="n"/>
      <x:c r="AM25" s="161" t="n"/>
      <x:c r="AN25" s="161" t="n"/>
      <x:c r="AO25" s="161" t="n"/>
      <x:c r="AP25" s="161" t="n"/>
      <x:c r="AQ25" s="161" t="n"/>
      <x:c r="AR25" s="161" t="n"/>
      <x:c r="AS25" s="161" t="n"/>
      <x:c r="AT25" s="161" t="n"/>
      <x:c r="AU25" s="161" t="n"/>
      <x:c r="AV25" s="161" t="n"/>
      <x:c r="AW25" s="161" t="n"/>
      <x:c r="AX25" s="161" t="n"/>
      <x:c r="AY25" s="161" t="n"/>
      <x:c r="AZ25" s="161" t="n"/>
    </x:row>
    <x:row r="26" ht="15" customHeight="1">
      <x:c r="A26" s="161" t="n"/>
      <x:c r="B26" s="161" t="n"/>
      <x:c r="C26" s="161" t="n"/>
      <x:c r="D26" s="161" t="n"/>
      <x:c r="E26" s="161" t="n"/>
      <x:c r="F26" s="161" t="n"/>
      <x:c r="G26" s="161" t="n"/>
      <x:c r="H26" s="161" t="n"/>
      <x:c r="I26" s="161" t="n"/>
      <x:c r="J26" s="161" t="n"/>
      <x:c r="K26" s="161" t="n"/>
      <x:c r="L26" s="161" t="n"/>
      <x:c r="M26" s="161" t="n"/>
      <x:c r="N26" s="161" t="n"/>
      <x:c r="O26" s="161" t="n"/>
      <x:c r="P26" s="161" t="n"/>
      <x:c r="Q26" s="161" t="n"/>
      <x:c r="R26" s="161" t="n"/>
      <x:c r="S26" s="161" t="n"/>
      <x:c r="T26" s="161" t="n"/>
      <x:c r="U26" s="161" t="n"/>
      <x:c r="V26" s="161" t="n"/>
      <x:c r="W26" s="161" t="n"/>
      <x:c r="X26" s="161" t="n"/>
      <x:c r="Y26" s="161" t="n"/>
      <x:c r="Z26" s="161" t="n"/>
      <x:c r="AA26" s="161" t="n"/>
      <x:c r="AB26" s="161" t="n"/>
      <x:c r="AC26" s="161" t="n"/>
      <x:c r="AD26" s="161" t="n"/>
      <x:c r="AE26" s="161" t="n"/>
      <x:c r="AF26" s="161" t="n"/>
      <x:c r="AG26" s="161" t="n"/>
      <x:c r="AH26" s="161" t="n"/>
      <x:c r="AI26" s="161" t="n"/>
      <x:c r="AJ26" s="161" t="n"/>
      <x:c r="AK26" s="161" t="n"/>
      <x:c r="AL26" s="161" t="n"/>
      <x:c r="AM26" s="161" t="n"/>
      <x:c r="AN26" s="161" t="n"/>
      <x:c r="AO26" s="161" t="n"/>
      <x:c r="AP26" s="161" t="n"/>
      <x:c r="AQ26" s="161" t="n"/>
      <x:c r="AR26" s="161" t="n"/>
      <x:c r="AS26" s="161" t="n"/>
      <x:c r="AT26" s="161" t="n"/>
      <x:c r="AU26" s="161" t="n"/>
      <x:c r="AV26" s="161" t="n"/>
      <x:c r="AW26" s="161" t="n"/>
      <x:c r="AX26" s="161" t="n"/>
      <x:c r="AY26" s="161" t="n"/>
      <x:c r="AZ26" s="161" t="n"/>
    </x:row>
    <x:row r="27" ht="15" customHeight="1">
      <x:c r="A27" s="161" t="n"/>
      <x:c r="B27" s="161" t="n"/>
      <x:c r="C27" s="161" t="n"/>
      <x:c r="D27" s="161" t="n"/>
      <x:c r="E27" s="161" t="n"/>
      <x:c r="F27" s="161" t="n"/>
      <x:c r="G27" s="161" t="n"/>
      <x:c r="H27" s="161" t="n"/>
      <x:c r="I27" s="161" t="n"/>
      <x:c r="J27" s="161" t="n"/>
      <x:c r="K27" s="161" t="n"/>
      <x:c r="L27" s="161" t="n"/>
      <x:c r="M27" s="161" t="n"/>
      <x:c r="N27" s="161" t="n"/>
      <x:c r="O27" s="161" t="n"/>
      <x:c r="P27" s="161" t="n"/>
      <x:c r="Q27" s="161" t="n"/>
      <x:c r="R27" s="161" t="n"/>
      <x:c r="S27" s="161" t="n"/>
      <x:c r="T27" s="161" t="n"/>
      <x:c r="U27" s="161" t="n"/>
      <x:c r="V27" s="161" t="n"/>
      <x:c r="W27" s="161" t="n"/>
      <x:c r="X27" s="161" t="n"/>
      <x:c r="Y27" s="161" t="n"/>
      <x:c r="Z27" s="161" t="n"/>
      <x:c r="AA27" s="161" t="n"/>
      <x:c r="AB27" s="161" t="n"/>
      <x:c r="AC27" s="161" t="n"/>
      <x:c r="AD27" s="161" t="n"/>
      <x:c r="AE27" s="161" t="n"/>
      <x:c r="AF27" s="161" t="n"/>
      <x:c r="AG27" s="161" t="n"/>
      <x:c r="AH27" s="161" t="n"/>
      <x:c r="AI27" s="161" t="n"/>
      <x:c r="AJ27" s="161" t="n"/>
      <x:c r="AK27" s="161" t="n"/>
      <x:c r="AL27" s="161" t="n"/>
      <x:c r="AM27" s="161" t="n"/>
      <x:c r="AN27" s="161" t="n"/>
      <x:c r="AO27" s="161" t="n"/>
      <x:c r="AP27" s="161" t="n"/>
      <x:c r="AQ27" s="161" t="n"/>
      <x:c r="AR27" s="161" t="n"/>
      <x:c r="AS27" s="161" t="n"/>
      <x:c r="AT27" s="161" t="n"/>
      <x:c r="AU27" s="161" t="n"/>
      <x:c r="AV27" s="161" t="n"/>
      <x:c r="AW27" s="161" t="n"/>
      <x:c r="AX27" s="161" t="n"/>
      <x:c r="AY27" s="161" t="n"/>
      <x:c r="AZ27" s="161" t="n"/>
    </x:row>
    <x:row r="28" ht="15" customHeight="1">
      <x:c r="A28" s="161" t="n"/>
      <x:c r="B28" s="161" t="n"/>
      <x:c r="C28" s="161" t="n"/>
      <x:c r="D28" s="161" t="n"/>
      <x:c r="E28" s="161" t="n"/>
      <x:c r="F28" s="161" t="n"/>
      <x:c r="G28" s="161" t="n"/>
      <x:c r="H28" s="161" t="n"/>
      <x:c r="I28" s="161" t="n"/>
      <x:c r="J28" s="161" t="n"/>
      <x:c r="K28" s="161" t="n"/>
      <x:c r="L28" s="161" t="n"/>
      <x:c r="M28" s="161" t="n"/>
      <x:c r="N28" s="161" t="n"/>
      <x:c r="O28" s="161" t="n"/>
      <x:c r="P28" s="161" t="n"/>
      <x:c r="Q28" s="161" t="n"/>
      <x:c r="R28" s="161" t="n"/>
      <x:c r="S28" s="161" t="n"/>
      <x:c r="T28" s="161" t="n"/>
      <x:c r="U28" s="161" t="n"/>
      <x:c r="V28" s="161" t="n"/>
      <x:c r="W28" s="161" t="n"/>
      <x:c r="X28" s="161" t="n"/>
      <x:c r="Y28" s="161" t="n"/>
      <x:c r="Z28" s="161" t="n"/>
      <x:c r="AA28" s="161" t="n"/>
      <x:c r="AB28" s="161" t="n"/>
      <x:c r="AC28" s="161" t="n"/>
      <x:c r="AD28" s="161" t="n"/>
      <x:c r="AE28" s="161" t="n"/>
      <x:c r="AF28" s="161" t="n"/>
      <x:c r="AG28" s="161" t="n"/>
      <x:c r="AH28" s="161" t="n"/>
      <x:c r="AI28" s="161" t="n"/>
      <x:c r="AJ28" s="161" t="n"/>
      <x:c r="AK28" s="161" t="n"/>
      <x:c r="AL28" s="161" t="n"/>
      <x:c r="AM28" s="161" t="n"/>
      <x:c r="AN28" s="161" t="n"/>
      <x:c r="AO28" s="161" t="n"/>
      <x:c r="AP28" s="161" t="n"/>
      <x:c r="AQ28" s="161" t="n"/>
      <x:c r="AR28" s="161" t="n"/>
      <x:c r="AS28" s="161" t="n"/>
      <x:c r="AT28" s="161" t="n"/>
      <x:c r="AU28" s="161" t="n"/>
      <x:c r="AV28" s="161" t="n"/>
      <x:c r="AW28" s="161" t="n"/>
      <x:c r="AX28" s="161" t="n"/>
      <x:c r="AY28" s="161" t="n"/>
      <x:c r="AZ28" s="161" t="n"/>
    </x:row>
    <x:row r="29" ht="15" customHeight="1">
      <x:c r="A29" s="161" t="n"/>
      <x:c r="B29" s="161" t="n"/>
      <x:c r="C29" s="161" t="n"/>
      <x:c r="D29" s="161" t="n"/>
      <x:c r="E29" s="161" t="n"/>
      <x:c r="F29" s="161" t="n"/>
      <x:c r="G29" s="161" t="n"/>
      <x:c r="H29" s="161" t="n"/>
      <x:c r="I29" s="161" t="n"/>
      <x:c r="J29" s="161" t="n"/>
      <x:c r="K29" s="161" t="n"/>
      <x:c r="L29" s="161" t="n"/>
      <x:c r="M29" s="161" t="n"/>
      <x:c r="N29" s="161" t="n"/>
      <x:c r="O29" s="161" t="n"/>
      <x:c r="P29" s="161" t="n"/>
      <x:c r="Q29" s="161" t="n"/>
      <x:c r="R29" s="161" t="n"/>
      <x:c r="S29" s="161" t="n"/>
      <x:c r="T29" s="161" t="n"/>
      <x:c r="U29" s="161" t="n"/>
      <x:c r="V29" s="161" t="n"/>
      <x:c r="W29" s="161" t="n"/>
      <x:c r="X29" s="161" t="n"/>
      <x:c r="Y29" s="161" t="n"/>
      <x:c r="Z29" s="161" t="n"/>
      <x:c r="AA29" s="161" t="n"/>
      <x:c r="AB29" s="161" t="n"/>
      <x:c r="AC29" s="161" t="n"/>
      <x:c r="AD29" s="161" t="n"/>
      <x:c r="AE29" s="161" t="n"/>
      <x:c r="AF29" s="161" t="n"/>
      <x:c r="AG29" s="161" t="n"/>
      <x:c r="AH29" s="161" t="n"/>
      <x:c r="AI29" s="161" t="n"/>
      <x:c r="AJ29" s="161" t="n"/>
      <x:c r="AK29" s="161" t="n"/>
      <x:c r="AL29" s="161" t="n"/>
      <x:c r="AM29" s="161" t="n"/>
      <x:c r="AN29" s="161" t="n"/>
      <x:c r="AO29" s="161" t="n"/>
      <x:c r="AP29" s="161" t="n"/>
      <x:c r="AQ29" s="161" t="n"/>
      <x:c r="AR29" s="161" t="n"/>
      <x:c r="AS29" s="161" t="n"/>
      <x:c r="AT29" s="161" t="n"/>
      <x:c r="AU29" s="161" t="n"/>
      <x:c r="AV29" s="161" t="n"/>
      <x:c r="AW29" s="161" t="n"/>
      <x:c r="AX29" s="161" t="n"/>
      <x:c r="AY29" s="161" t="n"/>
      <x:c r="AZ29" s="161" t="n"/>
    </x:row>
    <x:row r="30" ht="15" customHeight="1">
      <x:c r="A30" s="161" t="n"/>
      <x:c r="B30" s="161" t="n"/>
      <x:c r="C30" s="161" t="n"/>
      <x:c r="D30" s="161" t="n"/>
      <x:c r="E30" s="161" t="n"/>
      <x:c r="F30" s="161" t="n"/>
      <x:c r="G30" s="161" t="n"/>
      <x:c r="H30" s="161" t="n"/>
      <x:c r="I30" s="161" t="n"/>
      <x:c r="J30" s="161" t="n"/>
      <x:c r="K30" s="161" t="n"/>
      <x:c r="L30" s="161" t="n"/>
      <x:c r="M30" s="161" t="n"/>
      <x:c r="N30" s="161" t="n"/>
      <x:c r="O30" s="161" t="n"/>
      <x:c r="P30" s="161" t="n"/>
      <x:c r="Q30" s="161" t="n"/>
      <x:c r="R30" s="161" t="n"/>
      <x:c r="S30" s="161" t="n"/>
      <x:c r="T30" s="161" t="n"/>
      <x:c r="U30" s="161" t="n"/>
      <x:c r="V30" s="161" t="n"/>
      <x:c r="W30" s="161" t="n"/>
      <x:c r="X30" s="161" t="n"/>
      <x:c r="Y30" s="161" t="n"/>
      <x:c r="Z30" s="161" t="n"/>
      <x:c r="AA30" s="161" t="n"/>
      <x:c r="AB30" s="161" t="n"/>
      <x:c r="AC30" s="161" t="n"/>
      <x:c r="AD30" s="161" t="n"/>
      <x:c r="AE30" s="161" t="n"/>
      <x:c r="AF30" s="161" t="n"/>
      <x:c r="AG30" s="161" t="n"/>
      <x:c r="AH30" s="161" t="n"/>
      <x:c r="AI30" s="161" t="n"/>
      <x:c r="AJ30" s="161" t="n"/>
      <x:c r="AK30" s="161" t="n"/>
      <x:c r="AL30" s="161" t="n"/>
      <x:c r="AM30" s="161" t="n"/>
      <x:c r="AN30" s="161" t="n"/>
      <x:c r="AO30" s="161" t="n"/>
      <x:c r="AP30" s="161" t="n"/>
      <x:c r="AQ30" s="161" t="n"/>
      <x:c r="AR30" s="161" t="n"/>
      <x:c r="AS30" s="161" t="n"/>
      <x:c r="AT30" s="161" t="n"/>
      <x:c r="AU30" s="161" t="n"/>
      <x:c r="AV30" s="161" t="n"/>
      <x:c r="AW30" s="161" t="n"/>
      <x:c r="AX30" s="161" t="n"/>
      <x:c r="AY30" s="161" t="n"/>
      <x:c r="AZ30" s="161" t="n"/>
    </x:row>
    <x:row r="31" ht="15" customHeight="1">
      <x:c r="A31" s="161" t="n"/>
      <x:c r="B31" s="161" t="n"/>
      <x:c r="C31" s="161" t="n"/>
      <x:c r="D31" s="161" t="n"/>
      <x:c r="E31" s="161" t="n"/>
      <x:c r="F31" s="161" t="n"/>
      <x:c r="G31" s="161" t="n"/>
      <x:c r="H31" s="161" t="n"/>
      <x:c r="I31" s="161" t="n"/>
      <x:c r="J31" s="161" t="n"/>
      <x:c r="K31" s="161" t="n"/>
      <x:c r="L31" s="161" t="n"/>
      <x:c r="M31" s="161" t="n"/>
      <x:c r="N31" s="161" t="n"/>
      <x:c r="O31" s="161" t="n"/>
      <x:c r="P31" s="161" t="n"/>
      <x:c r="Q31" s="161" t="n"/>
      <x:c r="R31" s="161" t="n"/>
      <x:c r="S31" s="161" t="n"/>
      <x:c r="T31" s="161" t="n"/>
      <x:c r="U31" s="161" t="n"/>
      <x:c r="V31" s="161" t="n"/>
      <x:c r="W31" s="161" t="n"/>
      <x:c r="X31" s="161" t="n"/>
      <x:c r="Y31" s="161" t="n"/>
      <x:c r="Z31" s="161" t="n"/>
      <x:c r="AA31" s="161" t="n"/>
      <x:c r="AB31" s="161" t="n"/>
      <x:c r="AC31" s="161" t="n"/>
      <x:c r="AD31" s="161" t="n"/>
      <x:c r="AE31" s="161" t="n"/>
      <x:c r="AF31" s="161" t="n"/>
      <x:c r="AG31" s="161" t="n"/>
      <x:c r="AH31" s="161" t="n"/>
      <x:c r="AI31" s="161" t="n"/>
      <x:c r="AJ31" s="161" t="n"/>
      <x:c r="AK31" s="161" t="n"/>
      <x:c r="AL31" s="161" t="n"/>
      <x:c r="AM31" s="161" t="n"/>
      <x:c r="AN31" s="161" t="n"/>
      <x:c r="AO31" s="161" t="n"/>
      <x:c r="AP31" s="161" t="n"/>
      <x:c r="AQ31" s="161" t="n"/>
      <x:c r="AR31" s="161" t="n"/>
      <x:c r="AS31" s="161" t="n"/>
      <x:c r="AT31" s="161" t="n"/>
      <x:c r="AU31" s="161" t="n"/>
      <x:c r="AV31" s="161" t="n"/>
      <x:c r="AW31" s="161" t="n"/>
      <x:c r="AX31" s="161" t="n"/>
      <x:c r="AY31" s="161" t="n"/>
      <x:c r="AZ31" s="161" t="n"/>
    </x:row>
    <x:row r="32" ht="15" customHeight="1">
      <x:c r="A32" s="161" t="n"/>
      <x:c r="B32" s="161" t="n"/>
      <x:c r="C32" s="161" t="n"/>
      <x:c r="D32" s="161" t="n"/>
      <x:c r="E32" s="161" t="n"/>
      <x:c r="F32" s="161" t="n"/>
      <x:c r="G32" s="161" t="n"/>
      <x:c r="H32" s="161" t="n"/>
      <x:c r="I32" s="161" t="n"/>
      <x:c r="J32" s="161" t="n"/>
      <x:c r="K32" s="161" t="n"/>
      <x:c r="L32" s="161" t="n"/>
      <x:c r="M32" s="161" t="n"/>
      <x:c r="N32" s="161" t="n"/>
      <x:c r="O32" s="161" t="n"/>
      <x:c r="P32" s="161" t="n"/>
      <x:c r="Q32" s="161" t="n"/>
      <x:c r="R32" s="161" t="n"/>
      <x:c r="S32" s="161" t="n"/>
      <x:c r="T32" s="161" t="n"/>
      <x:c r="U32" s="161" t="n"/>
      <x:c r="V32" s="161" t="n"/>
      <x:c r="W32" s="161" t="n"/>
      <x:c r="X32" s="161" t="n"/>
      <x:c r="Y32" s="161" t="n"/>
      <x:c r="Z32" s="161" t="n"/>
      <x:c r="AA32" s="161" t="n"/>
      <x:c r="AB32" s="161" t="n"/>
      <x:c r="AC32" s="161" t="n"/>
      <x:c r="AD32" s="161" t="n"/>
      <x:c r="AE32" s="161" t="n"/>
      <x:c r="AF32" s="161" t="n"/>
      <x:c r="AG32" s="161" t="n"/>
      <x:c r="AH32" s="161" t="n"/>
      <x:c r="AI32" s="161" t="n"/>
      <x:c r="AJ32" s="161" t="n"/>
      <x:c r="AK32" s="161" t="n"/>
      <x:c r="AL32" s="161" t="n"/>
      <x:c r="AM32" s="161" t="n"/>
      <x:c r="AN32" s="161" t="n"/>
      <x:c r="AO32" s="161" t="n"/>
      <x:c r="AP32" s="161" t="n"/>
      <x:c r="AQ32" s="161" t="n"/>
      <x:c r="AR32" s="161" t="n"/>
      <x:c r="AS32" s="161" t="n"/>
      <x:c r="AT32" s="161" t="n"/>
      <x:c r="AU32" s="161" t="n"/>
      <x:c r="AV32" s="161" t="n"/>
      <x:c r="AW32" s="161" t="n"/>
      <x:c r="AX32" s="161" t="n"/>
      <x:c r="AY32" s="161" t="n"/>
      <x:c r="AZ32" s="161" t="n"/>
    </x:row>
    <x:row r="33" ht="15" customHeight="1">
      <x:c r="A33" s="161" t="n"/>
      <x:c r="B33" s="161" t="n"/>
      <x:c r="C33" s="161" t="n"/>
      <x:c r="D33" s="161" t="n"/>
      <x:c r="E33" s="161" t="n"/>
      <x:c r="F33" s="161" t="n"/>
      <x:c r="G33" s="161" t="n"/>
      <x:c r="H33" s="161" t="n"/>
      <x:c r="I33" s="161" t="n"/>
      <x:c r="J33" s="161" t="n"/>
      <x:c r="K33" s="161" t="n"/>
      <x:c r="L33" s="161" t="n"/>
      <x:c r="M33" s="161" t="n"/>
      <x:c r="N33" s="161" t="n"/>
      <x:c r="O33" s="161" t="n"/>
      <x:c r="P33" s="161" t="n"/>
      <x:c r="Q33" s="161" t="n"/>
      <x:c r="R33" s="161" t="n"/>
      <x:c r="S33" s="161" t="n"/>
      <x:c r="T33" s="161" t="n"/>
      <x:c r="U33" s="161" t="n"/>
      <x:c r="V33" s="161" t="n"/>
      <x:c r="W33" s="161" t="n"/>
      <x:c r="X33" s="161" t="n"/>
      <x:c r="Y33" s="161" t="n"/>
      <x:c r="Z33" s="161" t="n"/>
      <x:c r="AA33" s="161" t="n"/>
      <x:c r="AB33" s="161" t="n"/>
      <x:c r="AC33" s="161" t="n"/>
      <x:c r="AD33" s="161" t="n"/>
      <x:c r="AE33" s="161" t="n"/>
      <x:c r="AF33" s="161" t="n"/>
      <x:c r="AG33" s="161" t="n"/>
      <x:c r="AH33" s="161" t="n"/>
      <x:c r="AI33" s="161" t="n"/>
      <x:c r="AJ33" s="161" t="n"/>
      <x:c r="AK33" s="161" t="n"/>
      <x:c r="AL33" s="161" t="n"/>
      <x:c r="AM33" s="161" t="n"/>
      <x:c r="AN33" s="161" t="n"/>
      <x:c r="AO33" s="161" t="n"/>
      <x:c r="AP33" s="161" t="n"/>
      <x:c r="AQ33" s="161" t="n"/>
      <x:c r="AR33" s="161" t="n"/>
      <x:c r="AS33" s="161" t="n"/>
      <x:c r="AT33" s="161" t="n"/>
      <x:c r="AU33" s="161" t="n"/>
      <x:c r="AV33" s="161" t="n"/>
      <x:c r="AW33" s="161" t="n"/>
      <x:c r="AX33" s="161" t="n"/>
      <x:c r="AY33" s="161" t="n"/>
      <x:c r="AZ33" s="161" t="n"/>
    </x:row>
    <x:row r="34" ht="15" customHeight="1">
      <x:c r="A34" s="161" t="n"/>
      <x:c r="B34" s="161" t="n"/>
      <x:c r="C34" s="161" t="n"/>
      <x:c r="D34" s="161" t="n"/>
      <x:c r="E34" s="161" t="n"/>
      <x:c r="F34" s="161" t="n"/>
      <x:c r="G34" s="161" t="n"/>
      <x:c r="H34" s="161" t="n"/>
      <x:c r="I34" s="161" t="n"/>
      <x:c r="J34" s="161" t="n"/>
      <x:c r="K34" s="161" t="n"/>
      <x:c r="L34" s="161" t="n"/>
      <x:c r="M34" s="161" t="n"/>
      <x:c r="N34" s="161" t="n"/>
      <x:c r="O34" s="161" t="n"/>
      <x:c r="P34" s="161" t="n"/>
      <x:c r="Q34" s="161" t="n"/>
      <x:c r="R34" s="161" t="n"/>
      <x:c r="S34" s="161" t="n"/>
      <x:c r="T34" s="161" t="n"/>
      <x:c r="U34" s="161" t="n"/>
      <x:c r="V34" s="161" t="n"/>
      <x:c r="W34" s="161" t="n"/>
      <x:c r="X34" s="161" t="n"/>
      <x:c r="Y34" s="161" t="n"/>
      <x:c r="Z34" s="161" t="n"/>
      <x:c r="AA34" s="161" t="n"/>
      <x:c r="AB34" s="161" t="n"/>
      <x:c r="AC34" s="161" t="n"/>
      <x:c r="AD34" s="161" t="n"/>
      <x:c r="AE34" s="161" t="n"/>
      <x:c r="AF34" s="161" t="n"/>
      <x:c r="AG34" s="161" t="n"/>
      <x:c r="AH34" s="161" t="n"/>
      <x:c r="AI34" s="161" t="n"/>
      <x:c r="AJ34" s="161" t="n"/>
      <x:c r="AK34" s="161" t="n"/>
      <x:c r="AL34" s="161" t="n"/>
      <x:c r="AM34" s="161" t="n"/>
      <x:c r="AN34" s="161" t="n"/>
      <x:c r="AO34" s="161" t="n"/>
      <x:c r="AP34" s="161" t="n"/>
      <x:c r="AQ34" s="161" t="n"/>
      <x:c r="AR34" s="161" t="n"/>
      <x:c r="AS34" s="161" t="n"/>
      <x:c r="AT34" s="161" t="n"/>
      <x:c r="AU34" s="161" t="n"/>
      <x:c r="AV34" s="161" t="n"/>
      <x:c r="AW34" s="161" t="n"/>
      <x:c r="AX34" s="161" t="n"/>
      <x:c r="AY34" s="161" t="n"/>
      <x:c r="AZ34" s="161" t="n"/>
    </x:row>
    <x:row r="35" ht="15" customHeight="1">
      <x:c r="A35" s="161" t="n"/>
      <x:c r="B35" s="161" t="n"/>
      <x:c r="C35" s="161" t="n"/>
      <x:c r="D35" s="161" t="n"/>
      <x:c r="E35" s="161" t="n"/>
      <x:c r="F35" s="161" t="n"/>
      <x:c r="G35" s="161" t="n"/>
      <x:c r="H35" s="161" t="n"/>
      <x:c r="I35" s="161" t="n"/>
      <x:c r="J35" s="161" t="n"/>
      <x:c r="K35" s="161" t="n"/>
      <x:c r="L35" s="161" t="n"/>
      <x:c r="M35" s="161" t="n"/>
      <x:c r="N35" s="161" t="n"/>
      <x:c r="O35" s="161" t="n"/>
      <x:c r="P35" s="161" t="n"/>
      <x:c r="Q35" s="161" t="n"/>
      <x:c r="R35" s="161" t="n"/>
      <x:c r="S35" s="161" t="n"/>
      <x:c r="T35" s="161" t="n"/>
      <x:c r="U35" s="161" t="n"/>
      <x:c r="V35" s="161" t="n"/>
      <x:c r="W35" s="161" t="n"/>
      <x:c r="X35" s="161" t="n"/>
      <x:c r="Y35" s="161" t="n"/>
      <x:c r="Z35" s="161" t="n"/>
      <x:c r="AA35" s="161" t="n"/>
      <x:c r="AB35" s="161" t="n"/>
      <x:c r="AC35" s="161" t="n"/>
      <x:c r="AD35" s="161" t="n"/>
      <x:c r="AE35" s="161" t="n"/>
      <x:c r="AF35" s="161" t="n"/>
      <x:c r="AG35" s="161" t="n"/>
      <x:c r="AH35" s="161" t="n"/>
      <x:c r="AI35" s="161" t="n"/>
      <x:c r="AJ35" s="161" t="n"/>
      <x:c r="AK35" s="161" t="n"/>
      <x:c r="AL35" s="161" t="n"/>
      <x:c r="AM35" s="161" t="n"/>
      <x:c r="AN35" s="161" t="n"/>
      <x:c r="AO35" s="161" t="n"/>
      <x:c r="AP35" s="161" t="n"/>
      <x:c r="AQ35" s="161" t="n"/>
      <x:c r="AR35" s="161" t="n"/>
      <x:c r="AS35" s="161" t="n"/>
      <x:c r="AT35" s="161" t="n"/>
      <x:c r="AU35" s="161" t="n"/>
      <x:c r="AV35" s="161" t="n"/>
      <x:c r="AW35" s="161" t="n"/>
      <x:c r="AX35" s="161" t="n"/>
      <x:c r="AY35" s="161" t="n"/>
      <x:c r="AZ35" s="161" t="n"/>
    </x:row>
    <x:row r="36" ht="15" customHeight="1">
      <x:c r="A36" s="161" t="n"/>
      <x:c r="B36" s="161" t="n"/>
      <x:c r="C36" s="161" t="n"/>
      <x:c r="D36" s="161" t="n"/>
      <x:c r="E36" s="161" t="n"/>
      <x:c r="F36" s="161" t="n"/>
      <x:c r="G36" s="161" t="n"/>
      <x:c r="H36" s="161" t="n"/>
      <x:c r="I36" s="161" t="n"/>
      <x:c r="J36" s="161" t="n"/>
      <x:c r="K36" s="161" t="n"/>
      <x:c r="L36" s="161" t="n"/>
      <x:c r="M36" s="161" t="n"/>
      <x:c r="N36" s="161" t="n"/>
      <x:c r="O36" s="161" t="n"/>
      <x:c r="P36" s="161" t="n"/>
      <x:c r="Q36" s="161" t="n"/>
      <x:c r="R36" s="161" t="n"/>
      <x:c r="S36" s="161" t="n"/>
      <x:c r="T36" s="161" t="n"/>
      <x:c r="U36" s="161" t="n"/>
      <x:c r="V36" s="161" t="n"/>
      <x:c r="W36" s="161" t="n"/>
      <x:c r="X36" s="161" t="n"/>
      <x:c r="Y36" s="161" t="n"/>
      <x:c r="Z36" s="161" t="n"/>
      <x:c r="AA36" s="161" t="n"/>
      <x:c r="AB36" s="161" t="n"/>
      <x:c r="AC36" s="161" t="n"/>
      <x:c r="AD36" s="161" t="n"/>
      <x:c r="AE36" s="161" t="n"/>
      <x:c r="AF36" s="161" t="n"/>
      <x:c r="AG36" s="161" t="n"/>
      <x:c r="AH36" s="161" t="n"/>
      <x:c r="AI36" s="161" t="n"/>
      <x:c r="AJ36" s="161" t="n"/>
      <x:c r="AK36" s="161" t="n"/>
      <x:c r="AL36" s="161" t="n"/>
      <x:c r="AM36" s="161" t="n"/>
      <x:c r="AN36" s="161" t="n"/>
      <x:c r="AO36" s="161" t="n"/>
      <x:c r="AP36" s="161" t="n"/>
      <x:c r="AQ36" s="161" t="n"/>
      <x:c r="AR36" s="161" t="n"/>
      <x:c r="AS36" s="161" t="n"/>
      <x:c r="AT36" s="161" t="n"/>
      <x:c r="AU36" s="161" t="n"/>
      <x:c r="AV36" s="161" t="n"/>
      <x:c r="AW36" s="161" t="n"/>
      <x:c r="AX36" s="161" t="n"/>
      <x:c r="AY36" s="161" t="n"/>
      <x:c r="AZ36" s="161" t="n"/>
    </x:row>
    <x:row r="37" ht="15" customHeight="1">
      <x:c r="A37" s="161" t="n"/>
      <x:c r="B37" s="161" t="n"/>
      <x:c r="C37" s="161" t="n"/>
      <x:c r="D37" s="161" t="n"/>
      <x:c r="E37" s="161" t="n"/>
      <x:c r="F37" s="161" t="n"/>
      <x:c r="G37" s="161" t="n"/>
      <x:c r="H37" s="161" t="n"/>
      <x:c r="I37" s="161" t="n"/>
      <x:c r="J37" s="161" t="n"/>
      <x:c r="K37" s="161" t="n"/>
      <x:c r="L37" s="161" t="n"/>
      <x:c r="M37" s="161" t="n"/>
      <x:c r="N37" s="161" t="n"/>
      <x:c r="O37" s="161" t="n"/>
      <x:c r="P37" s="161" t="n"/>
      <x:c r="Q37" s="161" t="n"/>
      <x:c r="R37" s="161" t="n"/>
      <x:c r="S37" s="161" t="n"/>
      <x:c r="T37" s="161" t="n"/>
      <x:c r="U37" s="161" t="n"/>
      <x:c r="V37" s="161" t="n"/>
      <x:c r="W37" s="161" t="n"/>
      <x:c r="X37" s="161" t="n"/>
      <x:c r="Y37" s="161" t="n"/>
      <x:c r="Z37" s="161" t="n"/>
      <x:c r="AA37" s="161" t="n"/>
      <x:c r="AB37" s="161" t="n"/>
      <x:c r="AC37" s="161" t="n"/>
      <x:c r="AD37" s="161" t="n"/>
      <x:c r="AE37" s="161" t="n"/>
      <x:c r="AF37" s="161" t="n"/>
      <x:c r="AG37" s="161" t="n"/>
      <x:c r="AH37" s="161" t="n"/>
      <x:c r="AI37" s="161" t="n"/>
      <x:c r="AJ37" s="161" t="n"/>
      <x:c r="AK37" s="161" t="n"/>
      <x:c r="AL37" s="161" t="n"/>
      <x:c r="AM37" s="161" t="n"/>
      <x:c r="AN37" s="161" t="n"/>
      <x:c r="AO37" s="161" t="n"/>
      <x:c r="AP37" s="161" t="n"/>
      <x:c r="AQ37" s="161" t="n"/>
      <x:c r="AR37" s="161" t="n"/>
      <x:c r="AS37" s="161" t="n"/>
      <x:c r="AT37" s="161" t="n"/>
      <x:c r="AU37" s="161" t="n"/>
      <x:c r="AV37" s="161" t="n"/>
      <x:c r="AW37" s="161" t="n"/>
      <x:c r="AX37" s="161" t="n"/>
      <x:c r="AY37" s="161" t="n"/>
      <x:c r="AZ37" s="161" t="n"/>
    </x:row>
    <x:row r="38" ht="15" customHeight="1">
      <x:c r="A38" s="161" t="n"/>
      <x:c r="B38" s="161" t="n"/>
      <x:c r="C38" s="161" t="n"/>
      <x:c r="D38" s="161" t="n"/>
      <x:c r="E38" s="161" t="n"/>
      <x:c r="F38" s="161" t="n"/>
      <x:c r="G38" s="161" t="n"/>
      <x:c r="H38" s="161" t="n"/>
      <x:c r="I38" s="161" t="n"/>
      <x:c r="J38" s="161" t="n"/>
      <x:c r="K38" s="161" t="n"/>
      <x:c r="L38" s="161" t="n"/>
      <x:c r="M38" s="161" t="n"/>
      <x:c r="N38" s="161" t="n"/>
      <x:c r="O38" s="161" t="n"/>
      <x:c r="P38" s="161" t="n"/>
      <x:c r="Q38" s="161" t="n"/>
      <x:c r="R38" s="161" t="n"/>
      <x:c r="S38" s="161" t="n"/>
      <x:c r="T38" s="161" t="n"/>
      <x:c r="U38" s="161" t="n"/>
      <x:c r="V38" s="161" t="n"/>
      <x:c r="W38" s="161" t="n"/>
      <x:c r="X38" s="161" t="n"/>
      <x:c r="Y38" s="161" t="n"/>
      <x:c r="Z38" s="161" t="n"/>
      <x:c r="AA38" s="161" t="n"/>
      <x:c r="AB38" s="161" t="n"/>
      <x:c r="AC38" s="161" t="n"/>
      <x:c r="AD38" s="161" t="n"/>
      <x:c r="AE38" s="161" t="n"/>
      <x:c r="AF38" s="161" t="n"/>
      <x:c r="AG38" s="161" t="n"/>
      <x:c r="AH38" s="161" t="n"/>
      <x:c r="AI38" s="161" t="n"/>
      <x:c r="AJ38" s="161" t="n"/>
      <x:c r="AK38" s="161" t="n"/>
      <x:c r="AL38" s="161" t="n"/>
      <x:c r="AM38" s="161" t="n"/>
      <x:c r="AN38" s="161" t="n"/>
      <x:c r="AO38" s="161" t="n"/>
      <x:c r="AP38" s="161" t="n"/>
      <x:c r="AQ38" s="161" t="n"/>
      <x:c r="AR38" s="161" t="n"/>
      <x:c r="AS38" s="161" t="n"/>
      <x:c r="AT38" s="161" t="n"/>
      <x:c r="AU38" s="161" t="n"/>
      <x:c r="AV38" s="161" t="n"/>
      <x:c r="AW38" s="161" t="n"/>
      <x:c r="AX38" s="161" t="n"/>
      <x:c r="AY38" s="161" t="n"/>
      <x:c r="AZ38" s="161" t="n"/>
    </x:row>
    <x:row r="39" ht="15" customHeight="1">
      <x:c r="A39" s="161" t="n"/>
      <x:c r="B39" s="161" t="n"/>
      <x:c r="C39" s="161" t="n"/>
      <x:c r="D39" s="161" t="n"/>
      <x:c r="E39" s="161" t="n"/>
      <x:c r="F39" s="161" t="n"/>
      <x:c r="G39" s="161" t="n"/>
      <x:c r="H39" s="161" t="n"/>
      <x:c r="I39" s="161" t="n"/>
      <x:c r="J39" s="161" t="n"/>
      <x:c r="K39" s="161" t="n"/>
      <x:c r="L39" s="161" t="n"/>
      <x:c r="M39" s="161" t="n"/>
      <x:c r="N39" s="161" t="n"/>
      <x:c r="O39" s="161" t="n"/>
      <x:c r="P39" s="161" t="n"/>
      <x:c r="Q39" s="161" t="n"/>
      <x:c r="R39" s="161" t="n"/>
      <x:c r="S39" s="161" t="n"/>
      <x:c r="T39" s="161" t="n"/>
      <x:c r="U39" s="161" t="n"/>
      <x:c r="V39" s="161" t="n"/>
      <x:c r="W39" s="161" t="n"/>
      <x:c r="X39" s="161" t="n"/>
      <x:c r="Y39" s="161" t="n"/>
      <x:c r="Z39" s="161" t="n"/>
      <x:c r="AA39" s="161" t="n"/>
      <x:c r="AB39" s="161" t="n"/>
      <x:c r="AC39" s="161" t="n"/>
      <x:c r="AD39" s="161" t="n"/>
      <x:c r="AE39" s="161" t="n"/>
      <x:c r="AF39" s="161" t="n"/>
      <x:c r="AG39" s="161" t="n"/>
      <x:c r="AH39" s="161" t="n"/>
      <x:c r="AI39" s="161" t="n"/>
      <x:c r="AJ39" s="161" t="n"/>
      <x:c r="AK39" s="161" t="n"/>
      <x:c r="AL39" s="161" t="n"/>
      <x:c r="AM39" s="161" t="n"/>
      <x:c r="AN39" s="161" t="n"/>
      <x:c r="AO39" s="161" t="n"/>
      <x:c r="AP39" s="161" t="n"/>
      <x:c r="AQ39" s="161" t="n"/>
      <x:c r="AR39" s="161" t="n"/>
      <x:c r="AS39" s="161" t="n"/>
      <x:c r="AT39" s="161" t="n"/>
      <x:c r="AU39" s="161" t="n"/>
      <x:c r="AV39" s="161" t="n"/>
      <x:c r="AW39" s="161" t="n"/>
      <x:c r="AX39" s="161" t="n"/>
      <x:c r="AY39" s="161" t="n"/>
      <x:c r="AZ39" s="161" t="n"/>
    </x:row>
    <x:row r="40" ht="15" customHeight="1">
      <x:c r="A40" s="161" t="n"/>
      <x:c r="B40" s="161" t="n"/>
      <x:c r="C40" s="161" t="n"/>
      <x:c r="D40" s="161" t="n"/>
      <x:c r="E40" s="161" t="n"/>
      <x:c r="F40" s="161" t="n"/>
      <x:c r="G40" s="161" t="n"/>
      <x:c r="H40" s="161" t="n"/>
      <x:c r="I40" s="161" t="n"/>
      <x:c r="J40" s="161" t="n"/>
      <x:c r="K40" s="161" t="n"/>
      <x:c r="L40" s="161" t="n"/>
      <x:c r="M40" s="161" t="n"/>
      <x:c r="N40" s="161" t="n"/>
      <x:c r="O40" s="161" t="n"/>
      <x:c r="P40" s="161" t="n"/>
      <x:c r="Q40" s="161" t="n"/>
      <x:c r="R40" s="161" t="n"/>
      <x:c r="S40" s="161" t="n"/>
      <x:c r="T40" s="161" t="n"/>
      <x:c r="U40" s="161" t="n"/>
      <x:c r="V40" s="161" t="n"/>
      <x:c r="W40" s="161" t="n"/>
      <x:c r="X40" s="161" t="n"/>
      <x:c r="Y40" s="161" t="n"/>
      <x:c r="Z40" s="161" t="n"/>
      <x:c r="AA40" s="161" t="n"/>
      <x:c r="AB40" s="161" t="n"/>
      <x:c r="AC40" s="161" t="n"/>
      <x:c r="AD40" s="161" t="n"/>
      <x:c r="AE40" s="161" t="n"/>
      <x:c r="AF40" s="161" t="n"/>
      <x:c r="AG40" s="161" t="n"/>
      <x:c r="AH40" s="161" t="n"/>
      <x:c r="AI40" s="161" t="n"/>
      <x:c r="AJ40" s="161" t="n"/>
      <x:c r="AK40" s="161" t="n"/>
      <x:c r="AL40" s="161" t="n"/>
      <x:c r="AM40" s="161" t="n"/>
      <x:c r="AN40" s="161" t="n"/>
      <x:c r="AO40" s="161" t="n"/>
      <x:c r="AP40" s="161" t="n"/>
      <x:c r="AQ40" s="161" t="n"/>
      <x:c r="AR40" s="161" t="n"/>
      <x:c r="AS40" s="161" t="n"/>
      <x:c r="AT40" s="161" t="n"/>
      <x:c r="AU40" s="161" t="n"/>
      <x:c r="AV40" s="161" t="n"/>
      <x:c r="AW40" s="161" t="n"/>
      <x:c r="AX40" s="161" t="n"/>
      <x:c r="AY40" s="161" t="n"/>
      <x:c r="AZ40" s="161" t="n"/>
    </x:row>
    <x:row r="41" ht="15" customHeight="1">
      <x:c r="A41" s="161" t="n"/>
      <x:c r="B41" s="161" t="n"/>
      <x:c r="C41" s="161" t="n"/>
      <x:c r="D41" s="161" t="n"/>
      <x:c r="E41" s="161" t="n"/>
      <x:c r="F41" s="161" t="n"/>
      <x:c r="G41" s="161" t="n"/>
      <x:c r="H41" s="161" t="n"/>
      <x:c r="I41" s="161" t="n"/>
      <x:c r="J41" s="161" t="n"/>
      <x:c r="K41" s="161" t="n"/>
      <x:c r="L41" s="161" t="n"/>
      <x:c r="M41" s="161" t="n"/>
      <x:c r="N41" s="161" t="n"/>
      <x:c r="O41" s="161" t="n"/>
      <x:c r="P41" s="161" t="n"/>
      <x:c r="Q41" s="161" t="n"/>
      <x:c r="R41" s="161" t="n"/>
      <x:c r="S41" s="161" t="n"/>
      <x:c r="T41" s="161" t="n"/>
      <x:c r="U41" s="161" t="n"/>
      <x:c r="V41" s="161" t="n"/>
      <x:c r="W41" s="161" t="n"/>
      <x:c r="X41" s="161" t="n"/>
      <x:c r="Y41" s="161" t="n"/>
      <x:c r="Z41" s="161" t="n"/>
      <x:c r="AA41" s="161" t="n"/>
      <x:c r="AB41" s="161" t="n"/>
      <x:c r="AC41" s="161" t="n"/>
      <x:c r="AD41" s="161" t="n"/>
      <x:c r="AE41" s="161" t="n"/>
      <x:c r="AF41" s="161" t="n"/>
      <x:c r="AG41" s="161" t="n"/>
      <x:c r="AH41" s="161" t="n"/>
      <x:c r="AI41" s="161" t="n"/>
      <x:c r="AJ41" s="161" t="n"/>
      <x:c r="AK41" s="161" t="n"/>
      <x:c r="AL41" s="161" t="n"/>
      <x:c r="AM41" s="161" t="n"/>
      <x:c r="AN41" s="161" t="n"/>
      <x:c r="AO41" s="161" t="n"/>
      <x:c r="AP41" s="161" t="n"/>
      <x:c r="AQ41" s="161" t="n"/>
      <x:c r="AR41" s="161" t="n"/>
      <x:c r="AS41" s="161" t="n"/>
      <x:c r="AT41" s="161" t="n"/>
      <x:c r="AU41" s="161" t="n"/>
      <x:c r="AV41" s="161" t="n"/>
      <x:c r="AW41" s="161" t="n"/>
      <x:c r="AX41" s="161" t="n"/>
      <x:c r="AY41" s="161" t="n"/>
      <x:c r="AZ41" s="161" t="n"/>
    </x:row>
    <x:row r="42" ht="15" customHeight="1">
      <x:c r="A42" s="161" t="n"/>
      <x:c r="B42" s="161" t="n"/>
      <x:c r="C42" s="161" t="n"/>
      <x:c r="D42" s="161" t="n"/>
      <x:c r="E42" s="161" t="n"/>
      <x:c r="F42" s="161" t="n"/>
      <x:c r="G42" s="161" t="n"/>
      <x:c r="H42" s="161" t="n"/>
      <x:c r="I42" s="161" t="n"/>
      <x:c r="J42" s="161" t="n"/>
      <x:c r="K42" s="161" t="n"/>
      <x:c r="L42" s="161" t="n"/>
      <x:c r="M42" s="161" t="n"/>
      <x:c r="N42" s="161" t="n"/>
      <x:c r="O42" s="161" t="n"/>
      <x:c r="P42" s="161" t="n"/>
      <x:c r="Q42" s="161" t="n"/>
      <x:c r="R42" s="161" t="n"/>
      <x:c r="S42" s="161" t="n"/>
      <x:c r="T42" s="161" t="n"/>
      <x:c r="U42" s="161" t="n"/>
      <x:c r="V42" s="161" t="n"/>
      <x:c r="W42" s="161" t="n"/>
      <x:c r="X42" s="161" t="n"/>
      <x:c r="Y42" s="161" t="n"/>
      <x:c r="Z42" s="161" t="n"/>
      <x:c r="AA42" s="161" t="n"/>
      <x:c r="AB42" s="161" t="n"/>
      <x:c r="AC42" s="161" t="n"/>
      <x:c r="AD42" s="161" t="n"/>
      <x:c r="AE42" s="161" t="n"/>
      <x:c r="AF42" s="161" t="n"/>
      <x:c r="AG42" s="161" t="n"/>
      <x:c r="AH42" s="161" t="n"/>
      <x:c r="AI42" s="161" t="n"/>
      <x:c r="AJ42" s="161" t="n"/>
      <x:c r="AK42" s="161" t="n"/>
      <x:c r="AL42" s="161" t="n"/>
      <x:c r="AM42" s="161" t="n"/>
      <x:c r="AN42" s="161" t="n"/>
      <x:c r="AO42" s="161" t="n"/>
      <x:c r="AP42" s="161" t="n"/>
      <x:c r="AQ42" s="161" t="n"/>
      <x:c r="AR42" s="161" t="n"/>
      <x:c r="AS42" s="161" t="n"/>
      <x:c r="AT42" s="161" t="n"/>
      <x:c r="AU42" s="161" t="n"/>
      <x:c r="AV42" s="161" t="n"/>
      <x:c r="AW42" s="161" t="n"/>
      <x:c r="AX42" s="161" t="n"/>
      <x:c r="AY42" s="161" t="n"/>
      <x:c r="AZ42" s="161" t="n"/>
    </x:row>
    <x:row r="43" ht="15" customHeight="1">
      <x:c r="A43" s="161" t="n"/>
      <x:c r="B43" s="161" t="n"/>
      <x:c r="C43" s="161" t="n"/>
      <x:c r="D43" s="161" t="n"/>
      <x:c r="E43" s="161" t="n"/>
      <x:c r="F43" s="161" t="n"/>
      <x:c r="G43" s="161" t="n"/>
      <x:c r="H43" s="161" t="n"/>
      <x:c r="I43" s="161" t="n"/>
      <x:c r="J43" s="161" t="n"/>
      <x:c r="K43" s="161" t="n"/>
      <x:c r="L43" s="161" t="n"/>
      <x:c r="M43" s="161" t="n"/>
      <x:c r="N43" s="161" t="n"/>
      <x:c r="O43" s="161" t="n"/>
      <x:c r="P43" s="161" t="n"/>
      <x:c r="Q43" s="161" t="n"/>
      <x:c r="R43" s="161" t="n"/>
      <x:c r="S43" s="161" t="n"/>
      <x:c r="T43" s="161" t="n"/>
      <x:c r="U43" s="161" t="n"/>
      <x:c r="V43" s="161" t="n"/>
      <x:c r="W43" s="161" t="n"/>
      <x:c r="X43" s="161" t="n"/>
      <x:c r="Y43" s="161" t="n"/>
      <x:c r="Z43" s="161" t="n"/>
      <x:c r="AA43" s="161" t="n"/>
      <x:c r="AB43" s="161" t="n"/>
      <x:c r="AC43" s="161" t="n"/>
      <x:c r="AD43" s="161" t="n"/>
      <x:c r="AE43" s="161" t="n"/>
      <x:c r="AF43" s="161" t="n"/>
      <x:c r="AG43" s="161" t="n"/>
      <x:c r="AH43" s="161" t="n"/>
      <x:c r="AI43" s="161" t="n"/>
      <x:c r="AJ43" s="161" t="n"/>
      <x:c r="AK43" s="161" t="n"/>
      <x:c r="AL43" s="161" t="n"/>
      <x:c r="AM43" s="161" t="n"/>
      <x:c r="AN43" s="161" t="n"/>
      <x:c r="AO43" s="161" t="n"/>
      <x:c r="AP43" s="161" t="n"/>
      <x:c r="AQ43" s="161" t="n"/>
      <x:c r="AR43" s="161" t="n"/>
      <x:c r="AS43" s="161" t="n"/>
      <x:c r="AT43" s="161" t="n"/>
      <x:c r="AU43" s="161" t="n"/>
      <x:c r="AV43" s="161" t="n"/>
      <x:c r="AW43" s="161" t="n"/>
      <x:c r="AX43" s="161" t="n"/>
      <x:c r="AY43" s="161" t="n"/>
      <x:c r="AZ43" s="161" t="n"/>
    </x:row>
    <x:row r="44" ht="15" customHeight="1">
      <x:c r="A44" s="161" t="n"/>
      <x:c r="B44" s="161" t="n"/>
      <x:c r="C44" s="161" t="n"/>
      <x:c r="D44" s="161" t="n"/>
      <x:c r="E44" s="161" t="n"/>
      <x:c r="F44" s="161" t="n"/>
      <x:c r="G44" s="161" t="n"/>
      <x:c r="H44" s="161" t="n"/>
      <x:c r="I44" s="161" t="n"/>
      <x:c r="J44" s="161" t="n"/>
      <x:c r="K44" s="161" t="n"/>
      <x:c r="L44" s="161" t="n"/>
      <x:c r="M44" s="161" t="n"/>
      <x:c r="N44" s="161" t="n"/>
      <x:c r="O44" s="161" t="n"/>
      <x:c r="P44" s="161" t="n"/>
      <x:c r="Q44" s="161" t="n"/>
      <x:c r="R44" s="161" t="n"/>
      <x:c r="S44" s="161" t="n"/>
      <x:c r="T44" s="161" t="n"/>
      <x:c r="U44" s="161" t="n"/>
      <x:c r="V44" s="161" t="n"/>
      <x:c r="W44" s="161" t="n"/>
      <x:c r="X44" s="161" t="n"/>
      <x:c r="Y44" s="161" t="n"/>
      <x:c r="Z44" s="161" t="n"/>
      <x:c r="AA44" s="161" t="n"/>
      <x:c r="AB44" s="161" t="n"/>
      <x:c r="AC44" s="161" t="n"/>
      <x:c r="AD44" s="161" t="n"/>
      <x:c r="AE44" s="161" t="n"/>
      <x:c r="AF44" s="161" t="n"/>
      <x:c r="AG44" s="161" t="n"/>
      <x:c r="AH44" s="161" t="n"/>
      <x:c r="AI44" s="161" t="n"/>
      <x:c r="AJ44" s="161" t="n"/>
      <x:c r="AK44" s="161" t="n"/>
      <x:c r="AL44" s="161" t="n"/>
      <x:c r="AM44" s="161" t="n"/>
      <x:c r="AN44" s="161" t="n"/>
      <x:c r="AO44" s="161" t="n"/>
      <x:c r="AP44" s="161" t="n"/>
      <x:c r="AQ44" s="161" t="n"/>
      <x:c r="AR44" s="161" t="n"/>
      <x:c r="AS44" s="161" t="n"/>
      <x:c r="AT44" s="161" t="n"/>
      <x:c r="AU44" s="161" t="n"/>
      <x:c r="AV44" s="161" t="n"/>
      <x:c r="AW44" s="161" t="n"/>
      <x:c r="AX44" s="161" t="n"/>
      <x:c r="AY44" s="161" t="n"/>
      <x:c r="AZ44" s="161" t="n"/>
    </x:row>
    <x:row r="45" ht="15" customHeight="1">
      <x:c r="A45" s="161" t="n"/>
      <x:c r="B45" s="161" t="n"/>
      <x:c r="C45" s="161" t="n"/>
      <x:c r="D45" s="161" t="n"/>
      <x:c r="E45" s="161" t="n"/>
      <x:c r="F45" s="161" t="n"/>
      <x:c r="G45" s="161" t="n"/>
      <x:c r="H45" s="161" t="n"/>
      <x:c r="I45" s="161" t="n"/>
      <x:c r="J45" s="161" t="n"/>
      <x:c r="K45" s="161" t="n"/>
      <x:c r="L45" s="161" t="n"/>
      <x:c r="M45" s="161" t="n"/>
      <x:c r="N45" s="161" t="n"/>
      <x:c r="O45" s="161" t="n"/>
      <x:c r="P45" s="161" t="n"/>
      <x:c r="Q45" s="161" t="n"/>
      <x:c r="R45" s="161" t="n"/>
      <x:c r="S45" s="161" t="n"/>
      <x:c r="T45" s="161" t="n"/>
      <x:c r="U45" s="161" t="n"/>
      <x:c r="V45" s="161" t="n"/>
      <x:c r="W45" s="161" t="n"/>
      <x:c r="X45" s="161" t="n"/>
      <x:c r="Y45" s="161" t="n"/>
      <x:c r="Z45" s="161" t="n"/>
      <x:c r="AA45" s="161" t="n"/>
      <x:c r="AB45" s="161" t="n"/>
      <x:c r="AC45" s="161" t="n"/>
      <x:c r="AD45" s="161" t="n"/>
      <x:c r="AE45" s="161" t="n"/>
      <x:c r="AF45" s="161" t="n"/>
      <x:c r="AG45" s="161" t="n"/>
      <x:c r="AH45" s="161" t="n"/>
      <x:c r="AI45" s="161" t="n"/>
      <x:c r="AJ45" s="161" t="n"/>
      <x:c r="AK45" s="161" t="n"/>
      <x:c r="AL45" s="161" t="n"/>
      <x:c r="AM45" s="161" t="n"/>
      <x:c r="AN45" s="161" t="n"/>
      <x:c r="AO45" s="161" t="n"/>
      <x:c r="AP45" s="161" t="n"/>
      <x:c r="AQ45" s="161" t="n"/>
      <x:c r="AR45" s="161" t="n"/>
      <x:c r="AS45" s="161" t="n"/>
      <x:c r="AT45" s="161" t="n"/>
      <x:c r="AU45" s="161" t="n"/>
      <x:c r="AV45" s="161" t="n"/>
      <x:c r="AW45" s="161" t="n"/>
      <x:c r="AX45" s="161" t="n"/>
      <x:c r="AY45" s="161" t="n"/>
      <x:c r="AZ45" s="161" t="n"/>
    </x:row>
    <x:row r="46" ht="15" customHeight="1">
      <x:c r="A46" s="161" t="n"/>
      <x:c r="B46" s="161" t="n"/>
      <x:c r="C46" s="161" t="n"/>
      <x:c r="D46" s="161" t="n"/>
      <x:c r="E46" s="161" t="n"/>
      <x:c r="F46" s="161" t="n"/>
      <x:c r="G46" s="161" t="n"/>
      <x:c r="H46" s="161" t="n"/>
      <x:c r="I46" s="161" t="n"/>
      <x:c r="J46" s="161" t="n"/>
      <x:c r="K46" s="161" t="n"/>
      <x:c r="L46" s="161" t="n"/>
      <x:c r="M46" s="161" t="n"/>
      <x:c r="N46" s="161" t="n"/>
      <x:c r="O46" s="161" t="n"/>
      <x:c r="P46" s="161" t="n"/>
      <x:c r="Q46" s="161" t="n"/>
      <x:c r="R46" s="161" t="n"/>
      <x:c r="S46" s="161" t="n"/>
      <x:c r="T46" s="161" t="n"/>
      <x:c r="U46" s="161" t="n"/>
      <x:c r="V46" s="161" t="n"/>
      <x:c r="W46" s="161" t="n"/>
      <x:c r="X46" s="161" t="n"/>
      <x:c r="Y46" s="161" t="n"/>
      <x:c r="Z46" s="161" t="n"/>
      <x:c r="AA46" s="161" t="n"/>
      <x:c r="AB46" s="161" t="n"/>
      <x:c r="AC46" s="161" t="n"/>
      <x:c r="AD46" s="161" t="n"/>
      <x:c r="AE46" s="161" t="n"/>
      <x:c r="AF46" s="161" t="n"/>
      <x:c r="AG46" s="161" t="n"/>
      <x:c r="AH46" s="161" t="n"/>
      <x:c r="AI46" s="161" t="n"/>
      <x:c r="AJ46" s="161" t="n"/>
      <x:c r="AK46" s="161" t="n"/>
      <x:c r="AL46" s="161" t="n"/>
      <x:c r="AM46" s="161" t="n"/>
      <x:c r="AN46" s="161" t="n"/>
      <x:c r="AO46" s="161" t="n"/>
      <x:c r="AP46" s="161" t="n"/>
      <x:c r="AQ46" s="161" t="n"/>
      <x:c r="AR46" s="161" t="n"/>
      <x:c r="AS46" s="161" t="n"/>
      <x:c r="AT46" s="161" t="n"/>
      <x:c r="AU46" s="161" t="n"/>
      <x:c r="AV46" s="161" t="n"/>
      <x:c r="AW46" s="161" t="n"/>
      <x:c r="AX46" s="161" t="n"/>
      <x:c r="AY46" s="161" t="n"/>
      <x:c r="AZ46" s="161" t="n"/>
    </x:row>
    <x:row r="47" ht="15" customHeight="1">
      <x:c r="A47" s="161" t="n"/>
      <x:c r="B47" s="161" t="n"/>
      <x:c r="C47" s="161" t="n"/>
      <x:c r="D47" s="161" t="n"/>
      <x:c r="E47" s="161" t="n"/>
      <x:c r="F47" s="161" t="n"/>
      <x:c r="G47" s="161" t="n"/>
      <x:c r="H47" s="161" t="n"/>
      <x:c r="I47" s="161" t="n"/>
      <x:c r="J47" s="161" t="n"/>
      <x:c r="K47" s="161" t="n"/>
      <x:c r="L47" s="161" t="n"/>
      <x:c r="M47" s="161" t="n"/>
      <x:c r="N47" s="161" t="n"/>
      <x:c r="O47" s="161" t="n"/>
      <x:c r="P47" s="161" t="n"/>
      <x:c r="Q47" s="161" t="n"/>
      <x:c r="R47" s="161" t="n"/>
      <x:c r="S47" s="161" t="n"/>
      <x:c r="T47" s="161" t="n"/>
      <x:c r="U47" s="161" t="n"/>
      <x:c r="V47" s="161" t="n"/>
      <x:c r="W47" s="161" t="n"/>
      <x:c r="X47" s="161" t="n"/>
      <x:c r="Y47" s="161" t="n"/>
      <x:c r="Z47" s="161" t="n"/>
      <x:c r="AA47" s="161" t="n"/>
      <x:c r="AB47" s="161" t="n"/>
      <x:c r="AC47" s="161" t="n"/>
      <x:c r="AD47" s="161" t="n"/>
      <x:c r="AE47" s="161" t="n"/>
      <x:c r="AF47" s="161" t="n"/>
      <x:c r="AG47" s="161" t="n"/>
      <x:c r="AH47" s="161" t="n"/>
      <x:c r="AI47" s="161" t="n"/>
      <x:c r="AJ47" s="161" t="n"/>
      <x:c r="AK47" s="161" t="n"/>
      <x:c r="AL47" s="161" t="n"/>
      <x:c r="AM47" s="161" t="n"/>
      <x:c r="AN47" s="161" t="n"/>
      <x:c r="AO47" s="161" t="n"/>
      <x:c r="AP47" s="161" t="n"/>
      <x:c r="AQ47" s="161" t="n"/>
      <x:c r="AR47" s="161" t="n"/>
      <x:c r="AS47" s="161" t="n"/>
      <x:c r="AT47" s="161" t="n"/>
      <x:c r="AU47" s="161" t="n"/>
      <x:c r="AV47" s="161" t="n"/>
      <x:c r="AW47" s="161" t="n"/>
      <x:c r="AX47" s="161" t="n"/>
      <x:c r="AY47" s="161" t="n"/>
      <x:c r="AZ47" s="161" t="n"/>
    </x:row>
    <x:row r="48" ht="15" customHeight="1">
      <x:c r="A48" s="161" t="n"/>
      <x:c r="B48" s="161" t="n"/>
      <x:c r="C48" s="161" t="n"/>
      <x:c r="D48" s="161" t="n"/>
      <x:c r="E48" s="161" t="n"/>
      <x:c r="F48" s="161" t="n"/>
      <x:c r="G48" s="161" t="n"/>
      <x:c r="H48" s="161" t="n"/>
      <x:c r="I48" s="161" t="n"/>
      <x:c r="J48" s="161" t="n"/>
      <x:c r="K48" s="161" t="n"/>
      <x:c r="L48" s="161" t="n"/>
      <x:c r="M48" s="161" t="n"/>
      <x:c r="N48" s="161" t="n"/>
      <x:c r="O48" s="161" t="n"/>
      <x:c r="P48" s="161" t="n"/>
      <x:c r="Q48" s="161" t="n"/>
      <x:c r="R48" s="161" t="n"/>
      <x:c r="S48" s="161" t="n"/>
      <x:c r="T48" s="161" t="n"/>
      <x:c r="U48" s="161" t="n"/>
      <x:c r="V48" s="161" t="n"/>
      <x:c r="W48" s="161" t="n"/>
      <x:c r="X48" s="161" t="n"/>
      <x:c r="Y48" s="161" t="n"/>
      <x:c r="Z48" s="161" t="n"/>
      <x:c r="AA48" s="161" t="n"/>
      <x:c r="AB48" s="161" t="n"/>
      <x:c r="AC48" s="161" t="n"/>
      <x:c r="AD48" s="161" t="n"/>
      <x:c r="AE48" s="161" t="n"/>
      <x:c r="AF48" s="161" t="n"/>
      <x:c r="AG48" s="161" t="n"/>
      <x:c r="AH48" s="161" t="n"/>
      <x:c r="AI48" s="161" t="n"/>
      <x:c r="AJ48" s="161" t="n"/>
      <x:c r="AK48" s="161" t="n"/>
      <x:c r="AL48" s="161" t="n"/>
      <x:c r="AM48" s="161" t="n"/>
      <x:c r="AN48" s="161" t="n"/>
      <x:c r="AO48" s="161" t="n"/>
      <x:c r="AP48" s="161" t="n"/>
      <x:c r="AQ48" s="161" t="n"/>
      <x:c r="AR48" s="161" t="n"/>
      <x:c r="AS48" s="161" t="n"/>
      <x:c r="AT48" s="161" t="n"/>
      <x:c r="AU48" s="161" t="n"/>
      <x:c r="AV48" s="161" t="n"/>
      <x:c r="AW48" s="161" t="n"/>
      <x:c r="AX48" s="161" t="n"/>
      <x:c r="AY48" s="161" t="n"/>
      <x:c r="AZ48" s="161" t="n"/>
    </x:row>
    <x:row r="49" ht="15" customHeight="1">
      <x:c r="A49" s="161" t="n"/>
      <x:c r="B49" s="161" t="n"/>
      <x:c r="C49" s="161" t="n"/>
      <x:c r="D49" s="161" t="n"/>
      <x:c r="E49" s="161" t="n"/>
      <x:c r="F49" s="161" t="n"/>
      <x:c r="G49" s="161" t="n"/>
      <x:c r="H49" s="161" t="n"/>
      <x:c r="I49" s="161" t="n"/>
      <x:c r="J49" s="161" t="n"/>
      <x:c r="K49" s="161" t="n"/>
      <x:c r="L49" s="161" t="n"/>
      <x:c r="M49" s="161" t="n"/>
      <x:c r="N49" s="161" t="n"/>
      <x:c r="O49" s="161" t="n"/>
      <x:c r="P49" s="161" t="n"/>
      <x:c r="Q49" s="161" t="n"/>
      <x:c r="R49" s="161" t="n"/>
      <x:c r="S49" s="161" t="n"/>
      <x:c r="T49" s="161" t="n"/>
      <x:c r="U49" s="161" t="n"/>
      <x:c r="V49" s="161" t="n"/>
      <x:c r="W49" s="161" t="n"/>
      <x:c r="X49" s="161" t="n"/>
      <x:c r="Y49" s="161" t="n"/>
      <x:c r="Z49" s="161" t="n"/>
      <x:c r="AA49" s="161" t="n"/>
      <x:c r="AB49" s="161" t="n"/>
      <x:c r="AC49" s="161" t="n"/>
      <x:c r="AD49" s="161" t="n"/>
      <x:c r="AE49" s="161" t="n"/>
      <x:c r="AF49" s="161" t="n"/>
      <x:c r="AG49" s="161" t="n"/>
      <x:c r="AH49" s="161" t="n"/>
      <x:c r="AI49" s="161" t="n"/>
      <x:c r="AJ49" s="161" t="n"/>
      <x:c r="AK49" s="161" t="n"/>
      <x:c r="AL49" s="161" t="n"/>
      <x:c r="AM49" s="161" t="n"/>
      <x:c r="AN49" s="161" t="n"/>
      <x:c r="AO49" s="161" t="n"/>
      <x:c r="AP49" s="161" t="n"/>
      <x:c r="AQ49" s="161" t="n"/>
      <x:c r="AR49" s="161" t="n"/>
      <x:c r="AS49" s="161" t="n"/>
      <x:c r="AT49" s="161" t="n"/>
      <x:c r="AU49" s="161" t="n"/>
      <x:c r="AV49" s="161" t="n"/>
      <x:c r="AW49" s="161" t="n"/>
      <x:c r="AX49" s="161" t="n"/>
      <x:c r="AY49" s="161" t="n"/>
      <x:c r="AZ49" s="161" t="n"/>
    </x:row>
    <x:row r="50" ht="15" customHeight="1">
      <x:c r="A50" s="161" t="n"/>
      <x:c r="B50" s="161" t="n"/>
      <x:c r="C50" s="161" t="n"/>
      <x:c r="D50" s="161" t="n"/>
      <x:c r="E50" s="161" t="n"/>
      <x:c r="F50" s="161" t="n"/>
      <x:c r="G50" s="161" t="n"/>
      <x:c r="H50" s="161" t="n"/>
      <x:c r="I50" s="161" t="n"/>
      <x:c r="J50" s="161" t="n"/>
      <x:c r="K50" s="161" t="n"/>
      <x:c r="L50" s="161" t="n"/>
      <x:c r="M50" s="161" t="n"/>
      <x:c r="N50" s="161" t="n"/>
      <x:c r="O50" s="161" t="n"/>
      <x:c r="P50" s="161" t="n"/>
      <x:c r="Q50" s="161" t="n"/>
      <x:c r="R50" s="161" t="n"/>
      <x:c r="S50" s="161" t="n"/>
      <x:c r="T50" s="161" t="n"/>
      <x:c r="U50" s="161" t="n"/>
      <x:c r="V50" s="161" t="n"/>
      <x:c r="W50" s="161" t="n"/>
      <x:c r="X50" s="161" t="n"/>
      <x:c r="Y50" s="161" t="n"/>
      <x:c r="Z50" s="161" t="n"/>
      <x:c r="AA50" s="161" t="n"/>
      <x:c r="AB50" s="161" t="n"/>
      <x:c r="AC50" s="161" t="n"/>
      <x:c r="AD50" s="161" t="n"/>
      <x:c r="AE50" s="161" t="n"/>
      <x:c r="AF50" s="161" t="n"/>
      <x:c r="AG50" s="161" t="n"/>
      <x:c r="AH50" s="161" t="n"/>
      <x:c r="AI50" s="161" t="n"/>
      <x:c r="AJ50" s="161" t="n"/>
      <x:c r="AK50" s="161" t="n"/>
      <x:c r="AL50" s="161" t="n"/>
      <x:c r="AM50" s="161" t="n"/>
      <x:c r="AN50" s="161" t="n"/>
      <x:c r="AO50" s="161" t="n"/>
      <x:c r="AP50" s="161" t="n"/>
      <x:c r="AQ50" s="161" t="n"/>
      <x:c r="AR50" s="161" t="n"/>
      <x:c r="AS50" s="161" t="n"/>
      <x:c r="AT50" s="161" t="n"/>
      <x:c r="AU50" s="161" t="n"/>
      <x:c r="AV50" s="161" t="n"/>
      <x:c r="AW50" s="161" t="n"/>
      <x:c r="AX50" s="161" t="n"/>
      <x:c r="AY50" s="161" t="n"/>
      <x:c r="AZ50" s="161" t="n"/>
    </x:row>
    <x:row r="51" ht="15" customHeight="1">
      <x:c r="A51" s="161" t="n"/>
      <x:c r="B51" s="161" t="n"/>
      <x:c r="C51" s="161" t="n"/>
      <x:c r="D51" s="161" t="n"/>
      <x:c r="E51" s="161" t="n"/>
      <x:c r="F51" s="161" t="n"/>
      <x:c r="G51" s="161" t="n"/>
      <x:c r="H51" s="161" t="n"/>
      <x:c r="I51" s="161" t="n"/>
      <x:c r="J51" s="161" t="n"/>
      <x:c r="K51" s="161" t="n"/>
      <x:c r="L51" s="161" t="n"/>
      <x:c r="M51" s="161" t="n"/>
      <x:c r="N51" s="161" t="n"/>
      <x:c r="O51" s="161" t="n"/>
      <x:c r="P51" s="161" t="n"/>
      <x:c r="Q51" s="161" t="n"/>
      <x:c r="R51" s="161" t="n"/>
      <x:c r="S51" s="161" t="n"/>
      <x:c r="T51" s="161" t="n"/>
      <x:c r="U51" s="161" t="n"/>
      <x:c r="V51" s="161" t="n"/>
      <x:c r="W51" s="161" t="n"/>
      <x:c r="X51" s="161" t="n"/>
      <x:c r="Y51" s="161" t="n"/>
      <x:c r="Z51" s="161" t="n"/>
      <x:c r="AA51" s="161" t="n"/>
      <x:c r="AB51" s="161" t="n"/>
      <x:c r="AC51" s="161" t="n"/>
      <x:c r="AD51" s="161" t="n"/>
      <x:c r="AE51" s="161" t="n"/>
      <x:c r="AF51" s="161" t="n"/>
      <x:c r="AG51" s="161" t="n"/>
      <x:c r="AH51" s="161" t="n"/>
      <x:c r="AI51" s="161" t="n"/>
      <x:c r="AJ51" s="161" t="n"/>
      <x:c r="AK51" s="161" t="n"/>
      <x:c r="AL51" s="161" t="n"/>
      <x:c r="AM51" s="161" t="n"/>
      <x:c r="AN51" s="161" t="n"/>
      <x:c r="AO51" s="161" t="n"/>
      <x:c r="AP51" s="161" t="n"/>
      <x:c r="AQ51" s="161" t="n"/>
      <x:c r="AR51" s="161" t="n"/>
      <x:c r="AS51" s="161" t="n"/>
      <x:c r="AT51" s="161" t="n"/>
      <x:c r="AU51" s="161" t="n"/>
      <x:c r="AV51" s="161" t="n"/>
      <x:c r="AW51" s="161" t="n"/>
      <x:c r="AX51" s="161" t="n"/>
      <x:c r="AY51" s="161" t="n"/>
      <x:c r="AZ51" s="161" t="n"/>
    </x:row>
    <x:row r="52" ht="15" customHeight="1">
      <x:c r="A52" s="161" t="n"/>
      <x:c r="B52" s="161" t="n"/>
      <x:c r="C52" s="161" t="n"/>
      <x:c r="D52" s="161" t="n"/>
      <x:c r="E52" s="161" t="n"/>
      <x:c r="F52" s="161" t="n"/>
      <x:c r="G52" s="161" t="n"/>
      <x:c r="H52" s="161" t="n"/>
      <x:c r="I52" s="161" t="n"/>
      <x:c r="J52" s="161" t="n"/>
      <x:c r="K52" s="161" t="n"/>
      <x:c r="L52" s="161" t="n"/>
      <x:c r="M52" s="161" t="n"/>
      <x:c r="N52" s="161" t="n"/>
      <x:c r="O52" s="161" t="n"/>
      <x:c r="P52" s="161" t="n"/>
      <x:c r="Q52" s="161" t="n"/>
      <x:c r="R52" s="161" t="n"/>
      <x:c r="S52" s="161" t="n"/>
      <x:c r="T52" s="161" t="n"/>
      <x:c r="U52" s="161" t="n"/>
      <x:c r="V52" s="161" t="n"/>
      <x:c r="W52" s="161" t="n"/>
      <x:c r="X52" s="161" t="n"/>
      <x:c r="Y52" s="161" t="n"/>
      <x:c r="Z52" s="161" t="n"/>
      <x:c r="AA52" s="161" t="n"/>
      <x:c r="AB52" s="161" t="n"/>
      <x:c r="AC52" s="161" t="n"/>
      <x:c r="AD52" s="161" t="n"/>
      <x:c r="AE52" s="161" t="n"/>
      <x:c r="AF52" s="161" t="n"/>
      <x:c r="AG52" s="161" t="n"/>
      <x:c r="AH52" s="161" t="n"/>
      <x:c r="AI52" s="161" t="n"/>
      <x:c r="AJ52" s="161" t="n"/>
      <x:c r="AK52" s="161" t="n"/>
      <x:c r="AL52" s="161" t="n"/>
      <x:c r="AM52" s="161" t="n"/>
      <x:c r="AN52" s="161" t="n"/>
      <x:c r="AO52" s="161" t="n"/>
      <x:c r="AP52" s="161" t="n"/>
      <x:c r="AQ52" s="161" t="n"/>
      <x:c r="AR52" s="161" t="n"/>
      <x:c r="AS52" s="161" t="n"/>
      <x:c r="AT52" s="161" t="n"/>
      <x:c r="AU52" s="161" t="n"/>
      <x:c r="AV52" s="161" t="n"/>
      <x:c r="AW52" s="161" t="n"/>
      <x:c r="AX52" s="161" t="n"/>
      <x:c r="AY52" s="161" t="n"/>
      <x:c r="AZ52" s="161" t="n"/>
    </x:row>
    <x:row r="53" ht="15" customHeight="1">
      <x:c r="A53" s="161" t="n"/>
      <x:c r="B53" s="161" t="n"/>
      <x:c r="C53" s="161" t="n"/>
      <x:c r="D53" s="161" t="n"/>
      <x:c r="E53" s="161" t="n"/>
      <x:c r="F53" s="161" t="n"/>
      <x:c r="G53" s="161" t="n"/>
      <x:c r="H53" s="161" t="n"/>
      <x:c r="I53" s="161" t="n"/>
      <x:c r="J53" s="161" t="n"/>
      <x:c r="K53" s="161" t="n"/>
      <x:c r="L53" s="161" t="n"/>
      <x:c r="M53" s="161" t="n"/>
      <x:c r="N53" s="161" t="n"/>
      <x:c r="O53" s="161" t="n"/>
      <x:c r="P53" s="161" t="n"/>
      <x:c r="Q53" s="161" t="n"/>
      <x:c r="R53" s="161" t="n"/>
      <x:c r="S53" s="161" t="n"/>
      <x:c r="T53" s="161" t="n"/>
      <x:c r="U53" s="161" t="n"/>
      <x:c r="V53" s="161" t="n"/>
      <x:c r="W53" s="161" t="n"/>
      <x:c r="X53" s="161" t="n"/>
      <x:c r="Y53" s="161" t="n"/>
      <x:c r="Z53" s="161" t="n"/>
      <x:c r="AA53" s="161" t="n"/>
      <x:c r="AB53" s="161" t="n"/>
      <x:c r="AC53" s="161" t="n"/>
      <x:c r="AD53" s="161" t="n"/>
      <x:c r="AE53" s="161" t="n"/>
      <x:c r="AF53" s="161" t="n"/>
      <x:c r="AG53" s="161" t="n"/>
      <x:c r="AH53" s="161" t="n"/>
      <x:c r="AI53" s="161" t="n"/>
      <x:c r="AJ53" s="161" t="n"/>
      <x:c r="AK53" s="161" t="n"/>
      <x:c r="AL53" s="161" t="n"/>
      <x:c r="AM53" s="161" t="n"/>
      <x:c r="AN53" s="161" t="n"/>
      <x:c r="AO53" s="161" t="n"/>
      <x:c r="AP53" s="161" t="n"/>
      <x:c r="AQ53" s="161" t="n"/>
      <x:c r="AR53" s="161" t="n"/>
      <x:c r="AS53" s="161" t="n"/>
      <x:c r="AT53" s="161" t="n"/>
      <x:c r="AU53" s="161" t="n"/>
      <x:c r="AV53" s="161" t="n"/>
      <x:c r="AW53" s="161" t="n"/>
      <x:c r="AX53" s="161" t="n"/>
      <x:c r="AY53" s="161" t="n"/>
      <x:c r="AZ53" s="161" t="n"/>
    </x:row>
    <x:row r="54" ht="15" customHeight="1">
      <x:c r="A54" s="161" t="n"/>
      <x:c r="B54" s="161" t="n"/>
      <x:c r="C54" s="161" t="n"/>
      <x:c r="D54" s="161" t="n"/>
      <x:c r="E54" s="161" t="n"/>
      <x:c r="F54" s="161" t="n"/>
      <x:c r="G54" s="161" t="n"/>
      <x:c r="H54" s="161" t="n"/>
      <x:c r="I54" s="161" t="n"/>
      <x:c r="J54" s="161" t="n"/>
      <x:c r="K54" s="161" t="n"/>
      <x:c r="L54" s="161" t="n"/>
      <x:c r="M54" s="161" t="n"/>
      <x:c r="N54" s="161" t="n"/>
      <x:c r="O54" s="161" t="n"/>
      <x:c r="P54" s="161" t="n"/>
      <x:c r="Q54" s="161" t="n"/>
      <x:c r="R54" s="161" t="n"/>
      <x:c r="S54" s="161" t="n"/>
      <x:c r="T54" s="161" t="n"/>
      <x:c r="U54" s="161" t="n"/>
      <x:c r="V54" s="161" t="n"/>
      <x:c r="W54" s="161" t="n"/>
      <x:c r="X54" s="161" t="n"/>
      <x:c r="Y54" s="161" t="n"/>
      <x:c r="Z54" s="161" t="n"/>
      <x:c r="AA54" s="161" t="n"/>
      <x:c r="AB54" s="161" t="n"/>
      <x:c r="AC54" s="161" t="n"/>
      <x:c r="AD54" s="161" t="n"/>
      <x:c r="AE54" s="161" t="n"/>
      <x:c r="AF54" s="161" t="n"/>
      <x:c r="AG54" s="161" t="n"/>
      <x:c r="AH54" s="161" t="n"/>
      <x:c r="AI54" s="161" t="n"/>
      <x:c r="AJ54" s="161" t="n"/>
      <x:c r="AK54" s="161" t="n"/>
      <x:c r="AL54" s="161" t="n"/>
      <x:c r="AM54" s="161" t="n"/>
      <x:c r="AN54" s="161" t="n"/>
      <x:c r="AO54" s="161" t="n"/>
      <x:c r="AP54" s="161" t="n"/>
      <x:c r="AQ54" s="161" t="n"/>
      <x:c r="AR54" s="161" t="n"/>
      <x:c r="AS54" s="161" t="n"/>
      <x:c r="AT54" s="161" t="n"/>
      <x:c r="AU54" s="161" t="n"/>
      <x:c r="AV54" s="161" t="n"/>
      <x:c r="AW54" s="161" t="n"/>
      <x:c r="AX54" s="161" t="n"/>
      <x:c r="AY54" s="161" t="n"/>
      <x:c r="AZ54" s="161" t="n"/>
    </x:row>
    <x:row r="55" ht="15" customHeight="1">
      <x:c r="A55" s="161" t="n"/>
      <x:c r="B55" s="161" t="n"/>
      <x:c r="C55" s="161" t="n"/>
      <x:c r="D55" s="161" t="n"/>
      <x:c r="E55" s="161" t="n"/>
      <x:c r="F55" s="161" t="n"/>
      <x:c r="G55" s="161" t="n"/>
      <x:c r="H55" s="161" t="n"/>
      <x:c r="I55" s="161" t="n"/>
      <x:c r="J55" s="161" t="n"/>
      <x:c r="K55" s="161" t="n"/>
      <x:c r="L55" s="161" t="n"/>
      <x:c r="M55" s="161" t="n"/>
      <x:c r="N55" s="161" t="n"/>
      <x:c r="O55" s="161" t="n"/>
      <x:c r="P55" s="161" t="n"/>
      <x:c r="Q55" s="161" t="n"/>
      <x:c r="R55" s="161" t="n"/>
      <x:c r="S55" s="161" t="n"/>
      <x:c r="T55" s="161" t="n"/>
      <x:c r="U55" s="161" t="n"/>
      <x:c r="V55" s="161" t="n"/>
      <x:c r="W55" s="161" t="n"/>
      <x:c r="X55" s="161" t="n"/>
      <x:c r="Y55" s="161" t="n"/>
      <x:c r="Z55" s="161" t="n"/>
      <x:c r="AA55" s="161" t="n"/>
      <x:c r="AB55" s="161" t="n"/>
      <x:c r="AC55" s="161" t="n"/>
      <x:c r="AD55" s="161" t="n"/>
      <x:c r="AE55" s="161" t="n"/>
      <x:c r="AF55" s="161" t="n"/>
      <x:c r="AG55" s="161" t="n"/>
      <x:c r="AH55" s="161" t="n"/>
      <x:c r="AI55" s="161" t="n"/>
      <x:c r="AJ55" s="161" t="n"/>
      <x:c r="AK55" s="161" t="n"/>
      <x:c r="AL55" s="161" t="n"/>
      <x:c r="AM55" s="161" t="n"/>
      <x:c r="AN55" s="161" t="n"/>
      <x:c r="AO55" s="161" t="n"/>
      <x:c r="AP55" s="161" t="n"/>
      <x:c r="AQ55" s="161" t="n"/>
      <x:c r="AR55" s="161" t="n"/>
      <x:c r="AS55" s="161" t="n"/>
      <x:c r="AT55" s="161" t="n"/>
      <x:c r="AU55" s="161" t="n"/>
      <x:c r="AV55" s="161" t="n"/>
      <x:c r="AW55" s="161" t="n"/>
      <x:c r="AX55" s="161" t="n"/>
      <x:c r="AY55" s="161" t="n"/>
      <x:c r="AZ55" s="161" t="n"/>
    </x:row>
    <x:row r="56" ht="15" customHeight="1">
      <x:c r="A56" s="161" t="n"/>
      <x:c r="B56" s="161" t="n"/>
      <x:c r="C56" s="161" t="n"/>
      <x:c r="D56" s="161" t="n"/>
      <x:c r="E56" s="161" t="n"/>
      <x:c r="F56" s="161" t="n"/>
      <x:c r="G56" s="161" t="n"/>
      <x:c r="H56" s="161" t="n"/>
      <x:c r="I56" s="161" t="n"/>
      <x:c r="J56" s="161" t="n"/>
      <x:c r="K56" s="161" t="n"/>
      <x:c r="L56" s="161" t="n"/>
      <x:c r="M56" s="161" t="n"/>
      <x:c r="N56" s="161" t="n"/>
      <x:c r="O56" s="161" t="n"/>
      <x:c r="P56" s="161" t="n"/>
      <x:c r="Q56" s="161" t="n"/>
      <x:c r="R56" s="161" t="n"/>
      <x:c r="S56" s="161" t="n"/>
      <x:c r="T56" s="161" t="n"/>
      <x:c r="U56" s="161" t="n"/>
      <x:c r="V56" s="161" t="n"/>
      <x:c r="W56" s="161" t="n"/>
      <x:c r="X56" s="161" t="n"/>
      <x:c r="Y56" s="161" t="n"/>
      <x:c r="Z56" s="161" t="n"/>
      <x:c r="AA56" s="161" t="n"/>
      <x:c r="AB56" s="161" t="n"/>
      <x:c r="AC56" s="161" t="n"/>
      <x:c r="AD56" s="161" t="n"/>
      <x:c r="AE56" s="161" t="n"/>
      <x:c r="AF56" s="161" t="n"/>
      <x:c r="AG56" s="161" t="n"/>
      <x:c r="AH56" s="161" t="n"/>
      <x:c r="AI56" s="161" t="n"/>
      <x:c r="AJ56" s="161" t="n"/>
      <x:c r="AK56" s="161" t="n"/>
      <x:c r="AL56" s="161" t="n"/>
      <x:c r="AM56" s="161" t="n"/>
      <x:c r="AN56" s="161" t="n"/>
      <x:c r="AO56" s="161" t="n"/>
      <x:c r="AP56" s="161" t="n"/>
      <x:c r="AQ56" s="161" t="n"/>
      <x:c r="AR56" s="161" t="n"/>
      <x:c r="AS56" s="161" t="n"/>
      <x:c r="AT56" s="161" t="n"/>
      <x:c r="AU56" s="161" t="n"/>
      <x:c r="AV56" s="161" t="n"/>
      <x:c r="AW56" s="161" t="n"/>
      <x:c r="AX56" s="161" t="n"/>
      <x:c r="AY56" s="161" t="n"/>
      <x:c r="AZ56" s="161" t="n"/>
    </x:row>
    <x:row r="57" ht="15" customHeight="1">
      <x:c r="A57" s="161" t="n"/>
      <x:c r="B57" s="161" t="n"/>
      <x:c r="C57" s="161" t="n"/>
      <x:c r="D57" s="161" t="n"/>
      <x:c r="E57" s="161" t="n"/>
      <x:c r="F57" s="161" t="n"/>
      <x:c r="G57" s="161" t="n"/>
      <x:c r="H57" s="161" t="n"/>
      <x:c r="I57" s="161" t="n"/>
      <x:c r="J57" s="161" t="n"/>
      <x:c r="K57" s="161" t="n"/>
      <x:c r="L57" s="161" t="n"/>
      <x:c r="M57" s="161" t="n"/>
      <x:c r="N57" s="161" t="n"/>
      <x:c r="O57" s="161" t="n"/>
      <x:c r="P57" s="161" t="n"/>
      <x:c r="Q57" s="161" t="n"/>
      <x:c r="R57" s="161" t="n"/>
      <x:c r="S57" s="161" t="n"/>
      <x:c r="T57" s="161" t="n"/>
      <x:c r="U57" s="161" t="n"/>
      <x:c r="V57" s="161" t="n"/>
      <x:c r="W57" s="161" t="n"/>
      <x:c r="X57" s="161" t="n"/>
      <x:c r="Y57" s="161" t="n"/>
      <x:c r="Z57" s="161" t="n"/>
      <x:c r="AA57" s="161" t="n"/>
      <x:c r="AB57" s="161" t="n"/>
      <x:c r="AC57" s="161" t="n"/>
      <x:c r="AD57" s="161" t="n"/>
      <x:c r="AE57" s="161" t="n"/>
      <x:c r="AF57" s="161" t="n"/>
      <x:c r="AG57" s="161" t="n"/>
      <x:c r="AH57" s="161" t="n"/>
      <x:c r="AI57" s="161" t="n"/>
      <x:c r="AJ57" s="161" t="n"/>
      <x:c r="AK57" s="161" t="n"/>
      <x:c r="AL57" s="161" t="n"/>
      <x:c r="AM57" s="161" t="n"/>
      <x:c r="AN57" s="161" t="n"/>
      <x:c r="AO57" s="161" t="n"/>
      <x:c r="AP57" s="161" t="n"/>
      <x:c r="AQ57" s="161" t="n"/>
      <x:c r="AR57" s="161" t="n"/>
      <x:c r="AS57" s="161" t="n"/>
      <x:c r="AT57" s="161" t="n"/>
      <x:c r="AU57" s="161" t="n"/>
      <x:c r="AV57" s="161" t="n"/>
      <x:c r="AW57" s="161" t="n"/>
      <x:c r="AX57" s="161" t="n"/>
      <x:c r="AY57" s="161" t="n"/>
      <x:c r="AZ57" s="161" t="n"/>
    </x:row>
    <x:row r="58" ht="15" customHeight="1">
      <x:c r="A58" s="161" t="n"/>
      <x:c r="B58" s="161" t="n"/>
      <x:c r="C58" s="161" t="n"/>
      <x:c r="D58" s="161" t="n"/>
      <x:c r="E58" s="161" t="n"/>
      <x:c r="F58" s="161" t="n"/>
      <x:c r="G58" s="161" t="n"/>
      <x:c r="H58" s="161" t="n"/>
      <x:c r="I58" s="161" t="n"/>
      <x:c r="J58" s="161" t="n"/>
      <x:c r="K58" s="161" t="n"/>
      <x:c r="L58" s="161" t="n"/>
      <x:c r="M58" s="161" t="n"/>
      <x:c r="N58" s="161" t="n"/>
      <x:c r="O58" s="161" t="n"/>
      <x:c r="P58" s="161" t="n"/>
      <x:c r="Q58" s="161" t="n"/>
      <x:c r="R58" s="161" t="n"/>
      <x:c r="S58" s="161" t="n"/>
      <x:c r="T58" s="161" t="n"/>
      <x:c r="U58" s="161" t="n"/>
      <x:c r="V58" s="161" t="n"/>
      <x:c r="W58" s="161" t="n"/>
      <x:c r="X58" s="161" t="n"/>
      <x:c r="Y58" s="161" t="n"/>
      <x:c r="Z58" s="161" t="n"/>
      <x:c r="AA58" s="161" t="n"/>
      <x:c r="AB58" s="161" t="n"/>
      <x:c r="AC58" s="161" t="n"/>
      <x:c r="AD58" s="161" t="n"/>
      <x:c r="AE58" s="161" t="n"/>
      <x:c r="AF58" s="161" t="n"/>
      <x:c r="AG58" s="161" t="n"/>
      <x:c r="AH58" s="161" t="n"/>
      <x:c r="AI58" s="161" t="n"/>
      <x:c r="AJ58" s="161" t="n"/>
      <x:c r="AK58" s="161" t="n"/>
      <x:c r="AL58" s="161" t="n"/>
      <x:c r="AM58" s="161" t="n"/>
      <x:c r="AN58" s="161" t="n"/>
      <x:c r="AO58" s="161" t="n"/>
      <x:c r="AP58" s="161" t="n"/>
      <x:c r="AQ58" s="161" t="n"/>
      <x:c r="AR58" s="161" t="n"/>
      <x:c r="AS58" s="161" t="n"/>
      <x:c r="AT58" s="161" t="n"/>
      <x:c r="AU58" s="161" t="n"/>
      <x:c r="AV58" s="161" t="n"/>
      <x:c r="AW58" s="161" t="n"/>
      <x:c r="AX58" s="161" t="n"/>
      <x:c r="AY58" s="161" t="n"/>
      <x:c r="AZ58" s="161" t="n"/>
    </x:row>
    <x:row r="59" ht="15" customHeight="1">
      <x:c r="A59" s="161" t="n"/>
      <x:c r="B59" s="161" t="n"/>
      <x:c r="C59" s="161" t="n"/>
      <x:c r="D59" s="161" t="n"/>
      <x:c r="E59" s="161" t="n"/>
      <x:c r="F59" s="161" t="n"/>
      <x:c r="G59" s="161" t="n"/>
      <x:c r="H59" s="161" t="n"/>
      <x:c r="I59" s="161" t="n"/>
      <x:c r="J59" s="161" t="n"/>
      <x:c r="K59" s="161" t="n"/>
      <x:c r="L59" s="161" t="n"/>
      <x:c r="M59" s="161" t="n"/>
      <x:c r="N59" s="161" t="n"/>
      <x:c r="O59" s="161" t="n"/>
      <x:c r="P59" s="161" t="n"/>
      <x:c r="Q59" s="161" t="n"/>
      <x:c r="R59" s="161" t="n"/>
      <x:c r="S59" s="161" t="n"/>
      <x:c r="T59" s="161" t="n"/>
      <x:c r="U59" s="161" t="n"/>
      <x:c r="V59" s="161" t="n"/>
      <x:c r="W59" s="161" t="n"/>
      <x:c r="X59" s="161" t="n"/>
      <x:c r="Y59" s="161" t="n"/>
      <x:c r="Z59" s="161" t="n"/>
      <x:c r="AA59" s="161" t="n"/>
      <x:c r="AB59" s="161" t="n"/>
      <x:c r="AC59" s="161" t="n"/>
      <x:c r="AD59" s="161" t="n"/>
      <x:c r="AE59" s="161" t="n"/>
      <x:c r="AF59" s="161" t="n"/>
      <x:c r="AG59" s="161" t="n"/>
      <x:c r="AH59" s="161" t="n"/>
      <x:c r="AI59" s="161" t="n"/>
      <x:c r="AJ59" s="161" t="n"/>
      <x:c r="AK59" s="161" t="n"/>
      <x:c r="AL59" s="161" t="n"/>
      <x:c r="AM59" s="161" t="n"/>
      <x:c r="AN59" s="161" t="n"/>
      <x:c r="AO59" s="161" t="n"/>
      <x:c r="AP59" s="161" t="n"/>
      <x:c r="AQ59" s="161" t="n"/>
      <x:c r="AR59" s="161" t="n"/>
      <x:c r="AS59" s="161" t="n"/>
      <x:c r="AT59" s="161" t="n"/>
      <x:c r="AU59" s="161" t="n"/>
      <x:c r="AV59" s="161" t="n"/>
      <x:c r="AW59" s="161" t="n"/>
      <x:c r="AX59" s="161" t="n"/>
      <x:c r="AY59" s="161" t="n"/>
      <x:c r="AZ59" s="161" t="n"/>
    </x:row>
    <x:row r="60" ht="15" customHeight="1">
      <x:c r="A60" s="161" t="n"/>
      <x:c r="B60" s="161" t="n"/>
      <x:c r="C60" s="161" t="n"/>
      <x:c r="D60" s="161" t="n"/>
      <x:c r="E60" s="161" t="n"/>
      <x:c r="F60" s="161" t="n"/>
      <x:c r="G60" s="161" t="n"/>
      <x:c r="H60" s="161" t="n"/>
      <x:c r="I60" s="161" t="n"/>
      <x:c r="J60" s="161" t="n"/>
      <x:c r="K60" s="161" t="n"/>
      <x:c r="L60" s="161" t="n"/>
      <x:c r="M60" s="161" t="n"/>
      <x:c r="N60" s="161" t="n"/>
      <x:c r="O60" s="161" t="n"/>
      <x:c r="P60" s="161" t="n"/>
      <x:c r="Q60" s="161" t="n"/>
      <x:c r="R60" s="161" t="n"/>
      <x:c r="S60" s="161" t="n"/>
      <x:c r="T60" s="161" t="n"/>
      <x:c r="U60" s="161" t="n"/>
      <x:c r="V60" s="161" t="n"/>
      <x:c r="W60" s="161" t="n"/>
      <x:c r="X60" s="161" t="n"/>
      <x:c r="Y60" s="161" t="n"/>
      <x:c r="Z60" s="161" t="n"/>
      <x:c r="AA60" s="161" t="n"/>
      <x:c r="AB60" s="161" t="n"/>
      <x:c r="AC60" s="161" t="n"/>
      <x:c r="AD60" s="161" t="n"/>
      <x:c r="AE60" s="161" t="n"/>
      <x:c r="AF60" s="161" t="n"/>
      <x:c r="AG60" s="161" t="n"/>
      <x:c r="AH60" s="161" t="n"/>
      <x:c r="AI60" s="161" t="n"/>
      <x:c r="AJ60" s="161" t="n"/>
      <x:c r="AK60" s="161" t="n"/>
      <x:c r="AL60" s="161" t="n"/>
      <x:c r="AM60" s="161" t="n"/>
      <x:c r="AN60" s="161" t="n"/>
      <x:c r="AO60" s="161" t="n"/>
      <x:c r="AP60" s="161" t="n"/>
      <x:c r="AQ60" s="161" t="n"/>
      <x:c r="AR60" s="161" t="n"/>
      <x:c r="AS60" s="161" t="n"/>
      <x:c r="AT60" s="161" t="n"/>
      <x:c r="AU60" s="161" t="n"/>
      <x:c r="AV60" s="161" t="n"/>
      <x:c r="AW60" s="161" t="n"/>
      <x:c r="AX60" s="161" t="n"/>
      <x:c r="AY60" s="161" t="n"/>
      <x:c r="AZ60" s="161" t="n"/>
    </x:row>
    <x:row r="61" ht="15" customHeight="1">
      <x:c r="A61" s="161" t="n"/>
      <x:c r="B61" s="161" t="n"/>
      <x:c r="C61" s="161" t="n"/>
      <x:c r="D61" s="161" t="n"/>
      <x:c r="E61" s="161" t="n"/>
      <x:c r="F61" s="161" t="n"/>
      <x:c r="G61" s="161" t="n"/>
      <x:c r="H61" s="161" t="n"/>
      <x:c r="I61" s="161" t="n"/>
      <x:c r="J61" s="161" t="n"/>
      <x:c r="K61" s="161" t="n"/>
      <x:c r="L61" s="161" t="n"/>
      <x:c r="M61" s="161" t="n"/>
      <x:c r="N61" s="161" t="n"/>
      <x:c r="O61" s="161" t="n"/>
      <x:c r="P61" s="161" t="n"/>
      <x:c r="Q61" s="161" t="n"/>
      <x:c r="R61" s="161" t="n"/>
      <x:c r="S61" s="161" t="n"/>
      <x:c r="T61" s="161" t="n"/>
      <x:c r="U61" s="161" t="n"/>
      <x:c r="V61" s="161" t="n"/>
      <x:c r="W61" s="161" t="n"/>
      <x:c r="X61" s="161" t="n"/>
      <x:c r="Y61" s="161" t="n"/>
      <x:c r="Z61" s="161" t="n"/>
      <x:c r="AA61" s="161" t="n"/>
      <x:c r="AB61" s="161" t="n"/>
      <x:c r="AC61" s="161" t="n"/>
      <x:c r="AD61" s="161" t="n"/>
      <x:c r="AE61" s="161" t="n"/>
      <x:c r="AF61" s="161" t="n"/>
      <x:c r="AG61" s="161" t="n"/>
      <x:c r="AH61" s="161" t="n"/>
      <x:c r="AI61" s="161" t="n"/>
      <x:c r="AJ61" s="161" t="n"/>
      <x:c r="AK61" s="161" t="n"/>
      <x:c r="AL61" s="161" t="n"/>
      <x:c r="AM61" s="161" t="n"/>
      <x:c r="AN61" s="161" t="n"/>
      <x:c r="AO61" s="161" t="n"/>
      <x:c r="AP61" s="161" t="n"/>
      <x:c r="AQ61" s="161" t="n"/>
      <x:c r="AR61" s="161" t="n"/>
      <x:c r="AS61" s="161" t="n"/>
      <x:c r="AT61" s="161" t="n"/>
      <x:c r="AU61" s="161" t="n"/>
      <x:c r="AV61" s="161" t="n"/>
      <x:c r="AW61" s="161" t="n"/>
      <x:c r="AX61" s="161" t="n"/>
      <x:c r="AY61" s="161" t="n"/>
      <x:c r="AZ61" s="161" t="n"/>
    </x:row>
    <x:row r="62" ht="15" customHeight="1">
      <x:c r="A62" s="161" t="n"/>
      <x:c r="B62" s="161" t="n"/>
      <x:c r="C62" s="161" t="n"/>
      <x:c r="D62" s="161" t="n"/>
      <x:c r="E62" s="161" t="n"/>
      <x:c r="F62" s="161" t="n"/>
      <x:c r="G62" s="161" t="n"/>
      <x:c r="H62" s="161" t="n"/>
      <x:c r="I62" s="161" t="n"/>
      <x:c r="J62" s="161" t="n"/>
      <x:c r="K62" s="161" t="n"/>
      <x:c r="L62" s="161" t="n"/>
      <x:c r="M62" s="161" t="n"/>
      <x:c r="N62" s="161" t="n"/>
      <x:c r="O62" s="161" t="n"/>
      <x:c r="P62" s="161" t="n"/>
      <x:c r="Q62" s="161" t="n"/>
      <x:c r="R62" s="161" t="n"/>
      <x:c r="S62" s="161" t="n"/>
      <x:c r="T62" s="161" t="n"/>
      <x:c r="U62" s="161" t="n"/>
      <x:c r="V62" s="161" t="n"/>
      <x:c r="W62" s="161" t="n"/>
      <x:c r="X62" s="161" t="n"/>
      <x:c r="Y62" s="161" t="n"/>
      <x:c r="Z62" s="161" t="n"/>
      <x:c r="AA62" s="161" t="n"/>
      <x:c r="AB62" s="161" t="n"/>
      <x:c r="AC62" s="161" t="n"/>
      <x:c r="AD62" s="161" t="n"/>
      <x:c r="AE62" s="161" t="n"/>
      <x:c r="AF62" s="161" t="n"/>
      <x:c r="AG62" s="161" t="n"/>
      <x:c r="AH62" s="161" t="n"/>
      <x:c r="AI62" s="161" t="n"/>
      <x:c r="AJ62" s="161" t="n"/>
      <x:c r="AK62" s="161" t="n"/>
      <x:c r="AL62" s="161" t="n"/>
      <x:c r="AM62" s="161" t="n"/>
      <x:c r="AN62" s="161" t="n"/>
      <x:c r="AO62" s="161" t="n"/>
      <x:c r="AP62" s="161" t="n"/>
      <x:c r="AQ62" s="161" t="n"/>
      <x:c r="AR62" s="161" t="n"/>
      <x:c r="AS62" s="161" t="n"/>
      <x:c r="AT62" s="161" t="n"/>
      <x:c r="AU62" s="161" t="n"/>
      <x:c r="AV62" s="161" t="n"/>
      <x:c r="AW62" s="161" t="n"/>
      <x:c r="AX62" s="161" t="n"/>
      <x:c r="AY62" s="161" t="n"/>
      <x:c r="AZ62" s="161" t="n"/>
    </x:row>
    <x:row r="63" ht="15" customHeight="1">
      <x:c r="A63" s="161" t="n"/>
      <x:c r="B63" s="161" t="n"/>
      <x:c r="C63" s="161" t="n"/>
      <x:c r="D63" s="161" t="n"/>
      <x:c r="E63" s="161" t="n"/>
      <x:c r="F63" s="161" t="n"/>
      <x:c r="G63" s="161" t="n"/>
      <x:c r="H63" s="161" t="n"/>
      <x:c r="I63" s="161" t="n"/>
      <x:c r="J63" s="161" t="n"/>
      <x:c r="K63" s="161" t="n"/>
      <x:c r="L63" s="161" t="n"/>
      <x:c r="M63" s="161" t="n"/>
      <x:c r="N63" s="161" t="n"/>
      <x:c r="O63" s="161" t="n"/>
      <x:c r="P63" s="161" t="n"/>
      <x:c r="Q63" s="161" t="n"/>
      <x:c r="R63" s="161" t="n"/>
      <x:c r="S63" s="161" t="n"/>
      <x:c r="T63" s="161" t="n"/>
      <x:c r="U63" s="161" t="n"/>
      <x:c r="V63" s="161" t="n"/>
      <x:c r="W63" s="161" t="n"/>
      <x:c r="X63" s="161" t="n"/>
      <x:c r="Y63" s="161" t="n"/>
      <x:c r="Z63" s="161" t="n"/>
      <x:c r="AA63" s="161" t="n"/>
      <x:c r="AB63" s="161" t="n"/>
      <x:c r="AC63" s="161" t="n"/>
      <x:c r="AD63" s="161" t="n"/>
      <x:c r="AE63" s="161" t="n"/>
      <x:c r="AF63" s="161" t="n"/>
      <x:c r="AG63" s="161" t="n"/>
      <x:c r="AH63" s="161" t="n"/>
      <x:c r="AI63" s="161" t="n"/>
      <x:c r="AJ63" s="161" t="n"/>
      <x:c r="AK63" s="161" t="n"/>
      <x:c r="AL63" s="161" t="n"/>
      <x:c r="AM63" s="161" t="n"/>
      <x:c r="AN63" s="161" t="n"/>
      <x:c r="AO63" s="161" t="n"/>
      <x:c r="AP63" s="161" t="n"/>
      <x:c r="AQ63" s="161" t="n"/>
      <x:c r="AR63" s="161" t="n"/>
      <x:c r="AS63" s="161" t="n"/>
      <x:c r="AT63" s="161" t="n"/>
      <x:c r="AU63" s="161" t="n"/>
      <x:c r="AV63" s="161" t="n"/>
      <x:c r="AW63" s="161" t="n"/>
      <x:c r="AX63" s="161" t="n"/>
      <x:c r="AY63" s="161" t="n"/>
      <x:c r="AZ63" s="161" t="n"/>
    </x:row>
    <x:row r="64" ht="15" customHeight="1">
      <x:c r="A64" s="161" t="n"/>
      <x:c r="B64" s="161" t="n"/>
      <x:c r="C64" s="161" t="n"/>
      <x:c r="D64" s="161" t="n"/>
      <x:c r="E64" s="161" t="n"/>
      <x:c r="F64" s="161" t="n"/>
      <x:c r="G64" s="161" t="n"/>
      <x:c r="H64" s="161" t="n"/>
      <x:c r="I64" s="161" t="n"/>
      <x:c r="J64" s="161" t="n"/>
      <x:c r="K64" s="161" t="n"/>
      <x:c r="L64" s="161" t="n"/>
      <x:c r="M64" s="161" t="n"/>
      <x:c r="N64" s="161" t="n"/>
      <x:c r="O64" s="161" t="n"/>
      <x:c r="P64" s="161" t="n"/>
      <x:c r="Q64" s="161" t="n"/>
      <x:c r="R64" s="161" t="n"/>
      <x:c r="S64" s="161" t="n"/>
      <x:c r="T64" s="161" t="n"/>
      <x:c r="U64" s="161" t="n"/>
      <x:c r="V64" s="161" t="n"/>
      <x:c r="W64" s="161" t="n"/>
      <x:c r="X64" s="161" t="n"/>
      <x:c r="Y64" s="161" t="n"/>
      <x:c r="Z64" s="161" t="n"/>
      <x:c r="AA64" s="161" t="n"/>
      <x:c r="AB64" s="161" t="n"/>
      <x:c r="AC64" s="161" t="n"/>
      <x:c r="AD64" s="161" t="n"/>
      <x:c r="AE64" s="161" t="n"/>
      <x:c r="AF64" s="161" t="n"/>
      <x:c r="AG64" s="161" t="n"/>
      <x:c r="AH64" s="161" t="n"/>
      <x:c r="AI64" s="161" t="n"/>
      <x:c r="AJ64" s="161" t="n"/>
      <x:c r="AK64" s="161" t="n"/>
      <x:c r="AL64" s="161" t="n"/>
      <x:c r="AM64" s="161" t="n"/>
      <x:c r="AN64" s="161" t="n"/>
      <x:c r="AO64" s="161" t="n"/>
      <x:c r="AP64" s="161" t="n"/>
      <x:c r="AQ64" s="161" t="n"/>
      <x:c r="AR64" s="161" t="n"/>
      <x:c r="AS64" s="161" t="n"/>
      <x:c r="AT64" s="161" t="n"/>
      <x:c r="AU64" s="161" t="n"/>
      <x:c r="AV64" s="161" t="n"/>
      <x:c r="AW64" s="161" t="n"/>
      <x:c r="AX64" s="161" t="n"/>
      <x:c r="AY64" s="161" t="n"/>
      <x:c r="AZ64" s="161" t="n"/>
    </x:row>
    <x:row r="65" ht="15" customHeight="1">
      <x:c r="A65" s="161" t="n"/>
      <x:c r="B65" s="161" t="n"/>
      <x:c r="C65" s="161" t="n"/>
      <x:c r="D65" s="161" t="n"/>
      <x:c r="E65" s="161" t="n"/>
      <x:c r="F65" s="161" t="n"/>
      <x:c r="G65" s="161" t="n"/>
      <x:c r="H65" s="161" t="n"/>
      <x:c r="I65" s="161" t="n"/>
      <x:c r="J65" s="161" t="n"/>
      <x:c r="K65" s="161" t="n"/>
      <x:c r="L65" s="161" t="n"/>
      <x:c r="M65" s="161" t="n"/>
      <x:c r="N65" s="161" t="n"/>
      <x:c r="O65" s="161" t="n"/>
      <x:c r="P65" s="161" t="n"/>
      <x:c r="Q65" s="161" t="n"/>
      <x:c r="R65" s="161" t="n"/>
      <x:c r="S65" s="161" t="n"/>
      <x:c r="T65" s="161" t="n"/>
      <x:c r="U65" s="161" t="n"/>
      <x:c r="V65" s="161" t="n"/>
      <x:c r="W65" s="161" t="n"/>
      <x:c r="X65" s="161" t="n"/>
      <x:c r="Y65" s="161" t="n"/>
      <x:c r="Z65" s="161" t="n"/>
      <x:c r="AA65" s="161" t="n"/>
      <x:c r="AB65" s="161" t="n"/>
      <x:c r="AC65" s="161" t="n"/>
      <x:c r="AD65" s="161" t="n"/>
      <x:c r="AE65" s="161" t="n"/>
      <x:c r="AF65" s="161" t="n"/>
      <x:c r="AG65" s="161" t="n"/>
      <x:c r="AH65" s="161" t="n"/>
      <x:c r="AI65" s="161" t="n"/>
      <x:c r="AJ65" s="161" t="n"/>
      <x:c r="AK65" s="161" t="n"/>
      <x:c r="AL65" s="161" t="n"/>
      <x:c r="AM65" s="161" t="n"/>
      <x:c r="AN65" s="161" t="n"/>
      <x:c r="AO65" s="161" t="n"/>
      <x:c r="AP65" s="161" t="n"/>
      <x:c r="AQ65" s="161" t="n"/>
      <x:c r="AR65" s="161" t="n"/>
      <x:c r="AS65" s="161" t="n"/>
      <x:c r="AT65" s="161" t="n"/>
      <x:c r="AU65" s="161" t="n"/>
      <x:c r="AV65" s="161" t="n"/>
      <x:c r="AW65" s="161" t="n"/>
      <x:c r="AX65" s="161" t="n"/>
      <x:c r="AY65" s="161" t="n"/>
      <x:c r="AZ65" s="161" t="n"/>
    </x:row>
    <x:row r="66" ht="15" customHeight="1">
      <x:c r="A66" s="161" t="n"/>
      <x:c r="B66" s="161" t="n"/>
      <x:c r="C66" s="161" t="n"/>
      <x:c r="D66" s="161" t="n"/>
      <x:c r="E66" s="161" t="n"/>
      <x:c r="F66" s="161" t="n"/>
      <x:c r="G66" s="161" t="n"/>
      <x:c r="H66" s="161" t="n"/>
      <x:c r="I66" s="161" t="n"/>
      <x:c r="J66" s="161" t="n"/>
      <x:c r="K66" s="161" t="n"/>
      <x:c r="L66" s="161" t="n"/>
      <x:c r="M66" s="161" t="n"/>
      <x:c r="N66" s="161" t="n"/>
      <x:c r="O66" s="161" t="n"/>
      <x:c r="P66" s="161" t="n"/>
      <x:c r="Q66" s="161" t="n"/>
      <x:c r="R66" s="161" t="n"/>
      <x:c r="S66" s="161" t="n"/>
      <x:c r="T66" s="161" t="n"/>
      <x:c r="U66" s="161" t="n"/>
      <x:c r="V66" s="161" t="n"/>
      <x:c r="W66" s="161" t="n"/>
      <x:c r="X66" s="161" t="n"/>
      <x:c r="Y66" s="161" t="n"/>
      <x:c r="Z66" s="161" t="n"/>
      <x:c r="AA66" s="161" t="n"/>
      <x:c r="AB66" s="161" t="n"/>
      <x:c r="AC66" s="161" t="n"/>
      <x:c r="AD66" s="161" t="n"/>
      <x:c r="AE66" s="161" t="n"/>
      <x:c r="AF66" s="161" t="n"/>
      <x:c r="AG66" s="161" t="n"/>
      <x:c r="AH66" s="161" t="n"/>
      <x:c r="AI66" s="161" t="n"/>
      <x:c r="AJ66" s="161" t="n"/>
      <x:c r="AK66" s="161" t="n"/>
      <x:c r="AL66" s="161" t="n"/>
      <x:c r="AM66" s="161" t="n"/>
      <x:c r="AN66" s="161" t="n"/>
      <x:c r="AO66" s="161" t="n"/>
      <x:c r="AP66" s="161" t="n"/>
      <x:c r="AQ66" s="161" t="n"/>
      <x:c r="AR66" s="161" t="n"/>
      <x:c r="AS66" s="161" t="n"/>
      <x:c r="AT66" s="161" t="n"/>
      <x:c r="AU66" s="161" t="n"/>
      <x:c r="AV66" s="161" t="n"/>
      <x:c r="AW66" s="161" t="n"/>
      <x:c r="AX66" s="161" t="n"/>
      <x:c r="AY66" s="161" t="n"/>
      <x:c r="AZ66" s="161" t="n"/>
    </x:row>
    <x:row r="67" ht="15" customHeight="1">
      <x:c r="A67" s="161" t="n"/>
      <x:c r="B67" s="161" t="n"/>
      <x:c r="C67" s="161" t="n"/>
      <x:c r="D67" s="161" t="n"/>
      <x:c r="E67" s="161" t="n"/>
      <x:c r="F67" s="161" t="n"/>
      <x:c r="G67" s="161" t="n"/>
      <x:c r="H67" s="161" t="n"/>
      <x:c r="I67" s="161" t="n"/>
      <x:c r="J67" s="161" t="n"/>
      <x:c r="K67" s="161" t="n"/>
      <x:c r="L67" s="161" t="n"/>
      <x:c r="M67" s="161" t="n"/>
      <x:c r="N67" s="161" t="n"/>
      <x:c r="O67" s="161" t="n"/>
      <x:c r="P67" s="161" t="n"/>
      <x:c r="Q67" s="161" t="n"/>
      <x:c r="R67" s="161" t="n"/>
      <x:c r="S67" s="161" t="n"/>
      <x:c r="T67" s="161" t="n"/>
      <x:c r="U67" s="161" t="n"/>
      <x:c r="V67" s="161" t="n"/>
      <x:c r="W67" s="161" t="n"/>
      <x:c r="X67" s="161" t="n"/>
      <x:c r="Y67" s="161" t="n"/>
      <x:c r="Z67" s="161" t="n"/>
      <x:c r="AA67" s="161" t="n"/>
      <x:c r="AB67" s="161" t="n"/>
      <x:c r="AC67" s="161" t="n"/>
      <x:c r="AD67" s="161" t="n"/>
      <x:c r="AE67" s="161" t="n"/>
      <x:c r="AF67" s="161" t="n"/>
      <x:c r="AG67" s="161" t="n"/>
      <x:c r="AH67" s="161" t="n"/>
      <x:c r="AI67" s="161" t="n"/>
      <x:c r="AJ67" s="161" t="n"/>
      <x:c r="AK67" s="161" t="n"/>
      <x:c r="AL67" s="161" t="n"/>
      <x:c r="AM67" s="161" t="n"/>
      <x:c r="AN67" s="161" t="n"/>
      <x:c r="AO67" s="161" t="n"/>
      <x:c r="AP67" s="161" t="n"/>
      <x:c r="AQ67" s="161" t="n"/>
      <x:c r="AR67" s="161" t="n"/>
      <x:c r="AS67" s="161" t="n"/>
      <x:c r="AT67" s="161" t="n"/>
      <x:c r="AU67" s="161" t="n"/>
      <x:c r="AV67" s="161" t="n"/>
      <x:c r="AW67" s="161" t="n"/>
      <x:c r="AX67" s="161" t="n"/>
      <x:c r="AY67" s="161" t="n"/>
      <x:c r="AZ67" s="161" t="n"/>
    </x:row>
    <x:row r="68" ht="15" customHeight="1">
      <x:c r="A68" s="161" t="n"/>
      <x:c r="B68" s="161" t="n"/>
      <x:c r="C68" s="161" t="n"/>
      <x:c r="D68" s="161" t="n"/>
      <x:c r="E68" s="161" t="n"/>
      <x:c r="F68" s="161" t="n"/>
      <x:c r="G68" s="161" t="n"/>
      <x:c r="H68" s="161" t="n"/>
      <x:c r="I68" s="161" t="n"/>
      <x:c r="J68" s="161" t="n"/>
      <x:c r="K68" s="161" t="n"/>
      <x:c r="L68" s="161" t="n"/>
      <x:c r="M68" s="161" t="n"/>
      <x:c r="N68" s="161" t="n"/>
      <x:c r="O68" s="161" t="n"/>
      <x:c r="P68" s="161" t="n"/>
      <x:c r="Q68" s="161" t="n"/>
      <x:c r="R68" s="161" t="n"/>
      <x:c r="S68" s="161" t="n"/>
      <x:c r="T68" s="161" t="n"/>
      <x:c r="U68" s="161" t="n"/>
      <x:c r="V68" s="161" t="n"/>
      <x:c r="W68" s="161" t="n"/>
      <x:c r="X68" s="161" t="n"/>
      <x:c r="Y68" s="161" t="n"/>
      <x:c r="Z68" s="161" t="n"/>
      <x:c r="AA68" s="161" t="n"/>
      <x:c r="AB68" s="161" t="n"/>
      <x:c r="AC68" s="161" t="n"/>
      <x:c r="AD68" s="161" t="n"/>
      <x:c r="AE68" s="161" t="n"/>
      <x:c r="AF68" s="161" t="n"/>
      <x:c r="AG68" s="161" t="n"/>
      <x:c r="AH68" s="161" t="n"/>
      <x:c r="AI68" s="161" t="n"/>
      <x:c r="AJ68" s="161" t="n"/>
      <x:c r="AK68" s="161" t="n"/>
      <x:c r="AL68" s="161" t="n"/>
      <x:c r="AM68" s="161" t="n"/>
      <x:c r="AN68" s="161" t="n"/>
      <x:c r="AO68" s="161" t="n"/>
      <x:c r="AP68" s="161" t="n"/>
      <x:c r="AQ68" s="161" t="n"/>
      <x:c r="AR68" s="161" t="n"/>
      <x:c r="AS68" s="161" t="n"/>
      <x:c r="AT68" s="161" t="n"/>
      <x:c r="AU68" s="161" t="n"/>
      <x:c r="AV68" s="161" t="n"/>
      <x:c r="AW68" s="161" t="n"/>
      <x:c r="AX68" s="161" t="n"/>
      <x:c r="AY68" s="161" t="n"/>
      <x:c r="AZ68" s="161" t="n"/>
    </x:row>
    <x:row r="69" ht="15" customHeight="1">
      <x:c r="A69" s="161" t="n"/>
      <x:c r="B69" s="161" t="n"/>
      <x:c r="C69" s="161" t="n"/>
      <x:c r="D69" s="161" t="n"/>
      <x:c r="E69" s="161" t="n"/>
      <x:c r="F69" s="161" t="n"/>
      <x:c r="G69" s="161" t="n"/>
      <x:c r="H69" s="161" t="n"/>
      <x:c r="I69" s="161" t="n"/>
      <x:c r="J69" s="161" t="n"/>
      <x:c r="K69" s="161" t="n"/>
      <x:c r="L69" s="161" t="n"/>
      <x:c r="M69" s="161" t="n"/>
      <x:c r="N69" s="161" t="n"/>
      <x:c r="O69" s="161" t="n"/>
      <x:c r="P69" s="161" t="n"/>
      <x:c r="Q69" s="161" t="n"/>
      <x:c r="R69" s="161" t="n"/>
      <x:c r="S69" s="161" t="n"/>
      <x:c r="T69" s="161" t="n"/>
      <x:c r="U69" s="161" t="n"/>
      <x:c r="V69" s="161" t="n"/>
      <x:c r="W69" s="161" t="n"/>
      <x:c r="X69" s="161" t="n"/>
      <x:c r="Y69" s="161" t="n"/>
      <x:c r="Z69" s="161" t="n"/>
      <x:c r="AA69" s="161" t="n"/>
      <x:c r="AB69" s="161" t="n"/>
      <x:c r="AC69" s="161" t="n"/>
      <x:c r="AD69" s="161" t="n"/>
      <x:c r="AE69" s="161" t="n"/>
      <x:c r="AF69" s="161" t="n"/>
      <x:c r="AG69" s="161" t="n"/>
      <x:c r="AH69" s="161" t="n"/>
      <x:c r="AI69" s="161" t="n"/>
      <x:c r="AJ69" s="161" t="n"/>
      <x:c r="AK69" s="161" t="n"/>
      <x:c r="AL69" s="161" t="n"/>
      <x:c r="AM69" s="161" t="n"/>
      <x:c r="AN69" s="161" t="n"/>
      <x:c r="AO69" s="161" t="n"/>
      <x:c r="AP69" s="161" t="n"/>
      <x:c r="AQ69" s="161" t="n"/>
      <x:c r="AR69" s="161" t="n"/>
      <x:c r="AS69" s="161" t="n"/>
      <x:c r="AT69" s="161" t="n"/>
      <x:c r="AU69" s="161" t="n"/>
      <x:c r="AV69" s="161" t="n"/>
      <x:c r="AW69" s="161" t="n"/>
      <x:c r="AX69" s="161" t="n"/>
      <x:c r="AY69" s="161" t="n"/>
      <x:c r="AZ69" s="161" t="n"/>
    </x:row>
    <x:row r="70" ht="15" customHeight="1">
      <x:c r="A70" s="161" t="n"/>
      <x:c r="B70" s="161" t="n"/>
      <x:c r="C70" s="161" t="n"/>
      <x:c r="D70" s="161" t="n"/>
      <x:c r="E70" s="161" t="n"/>
      <x:c r="F70" s="161" t="n"/>
      <x:c r="G70" s="161" t="n"/>
      <x:c r="H70" s="161" t="n"/>
      <x:c r="I70" s="161" t="n"/>
      <x:c r="J70" s="161" t="n"/>
      <x:c r="K70" s="161" t="n"/>
      <x:c r="L70" s="161" t="n"/>
      <x:c r="M70" s="161" t="n"/>
      <x:c r="N70" s="161" t="n"/>
      <x:c r="O70" s="161" t="n"/>
      <x:c r="P70" s="161" t="n"/>
      <x:c r="Q70" s="161" t="n"/>
      <x:c r="R70" s="161" t="n"/>
      <x:c r="S70" s="161" t="n"/>
      <x:c r="T70" s="161" t="n"/>
      <x:c r="U70" s="161" t="n"/>
      <x:c r="V70" s="161" t="n"/>
      <x:c r="W70" s="161" t="n"/>
      <x:c r="X70" s="161" t="n"/>
      <x:c r="Y70" s="161" t="n"/>
      <x:c r="Z70" s="161" t="n"/>
      <x:c r="AA70" s="161" t="n"/>
      <x:c r="AB70" s="161" t="n"/>
      <x:c r="AC70" s="161" t="n"/>
      <x:c r="AD70" s="161" t="n"/>
      <x:c r="AE70" s="161" t="n"/>
      <x:c r="AF70" s="161" t="n"/>
      <x:c r="AG70" s="161" t="n"/>
      <x:c r="AH70" s="161" t="n"/>
      <x:c r="AI70" s="161" t="n"/>
      <x:c r="AJ70" s="161" t="n"/>
      <x:c r="AK70" s="161" t="n"/>
      <x:c r="AL70" s="161" t="n"/>
      <x:c r="AM70" s="161" t="n"/>
      <x:c r="AN70" s="161" t="n"/>
      <x:c r="AO70" s="161" t="n"/>
      <x:c r="AP70" s="161" t="n"/>
      <x:c r="AQ70" s="161" t="n"/>
      <x:c r="AR70" s="161" t="n"/>
      <x:c r="AS70" s="161" t="n"/>
      <x:c r="AT70" s="161" t="n"/>
      <x:c r="AU70" s="161" t="n"/>
      <x:c r="AV70" s="161" t="n"/>
      <x:c r="AW70" s="161" t="n"/>
      <x:c r="AX70" s="161" t="n"/>
      <x:c r="AY70" s="161" t="n"/>
      <x:c r="AZ70" s="161" t="n"/>
    </x:row>
    <x:row r="71" ht="15" customHeight="1">
      <x:c r="A71" s="161" t="n"/>
      <x:c r="B71" s="161" t="n"/>
      <x:c r="C71" s="161" t="n"/>
      <x:c r="D71" s="161" t="n"/>
      <x:c r="E71" s="161" t="n"/>
      <x:c r="F71" s="161" t="n"/>
      <x:c r="G71" s="161" t="n"/>
      <x:c r="H71" s="161" t="n"/>
      <x:c r="I71" s="161" t="n"/>
      <x:c r="J71" s="161" t="n"/>
      <x:c r="K71" s="161" t="n"/>
      <x:c r="L71" s="161" t="n"/>
      <x:c r="M71" s="161" t="n"/>
      <x:c r="N71" s="161" t="n"/>
      <x:c r="O71" s="161" t="n"/>
      <x:c r="P71" s="161" t="n"/>
      <x:c r="Q71" s="161" t="n"/>
      <x:c r="R71" s="161" t="n"/>
      <x:c r="S71" s="161" t="n"/>
      <x:c r="T71" s="161" t="n"/>
      <x:c r="U71" s="161" t="n"/>
      <x:c r="V71" s="161" t="n"/>
      <x:c r="W71" s="161" t="n"/>
      <x:c r="X71" s="161" t="n"/>
      <x:c r="Y71" s="161" t="n"/>
      <x:c r="Z71" s="161" t="n"/>
      <x:c r="AA71" s="161" t="n"/>
      <x:c r="AB71" s="161" t="n"/>
      <x:c r="AC71" s="161" t="n"/>
      <x:c r="AD71" s="161" t="n"/>
      <x:c r="AE71" s="161" t="n"/>
      <x:c r="AF71" s="161" t="n"/>
      <x:c r="AG71" s="161" t="n"/>
      <x:c r="AH71" s="161" t="n"/>
      <x:c r="AI71" s="161" t="n"/>
      <x:c r="AJ71" s="161" t="n"/>
      <x:c r="AK71" s="161" t="n"/>
      <x:c r="AL71" s="161" t="n"/>
      <x:c r="AM71" s="161" t="n"/>
      <x:c r="AN71" s="161" t="n"/>
      <x:c r="AO71" s="161" t="n"/>
      <x:c r="AP71" s="161" t="n"/>
      <x:c r="AQ71" s="161" t="n"/>
      <x:c r="AR71" s="161" t="n"/>
      <x:c r="AS71" s="161" t="n"/>
      <x:c r="AT71" s="161" t="n"/>
      <x:c r="AU71" s="161" t="n"/>
      <x:c r="AV71" s="161" t="n"/>
      <x:c r="AW71" s="161" t="n"/>
      <x:c r="AX71" s="161" t="n"/>
      <x:c r="AY71" s="161" t="n"/>
      <x:c r="AZ71" s="161" t="n"/>
    </x:row>
    <x:row r="72" ht="15" customHeight="1">
      <x:c r="A72" s="161" t="n"/>
      <x:c r="B72" s="161" t="n"/>
      <x:c r="C72" s="161" t="n"/>
      <x:c r="D72" s="161" t="n"/>
      <x:c r="E72" s="161" t="n"/>
      <x:c r="F72" s="161" t="n"/>
      <x:c r="G72" s="161" t="n"/>
      <x:c r="H72" s="161" t="n"/>
      <x:c r="I72" s="161" t="n"/>
      <x:c r="J72" s="161" t="n"/>
      <x:c r="K72" s="161" t="n"/>
      <x:c r="L72" s="161" t="n"/>
      <x:c r="M72" s="161" t="n"/>
      <x:c r="N72" s="161" t="n"/>
      <x:c r="O72" s="161" t="n"/>
      <x:c r="P72" s="161" t="n"/>
      <x:c r="Q72" s="161" t="n"/>
      <x:c r="R72" s="161" t="n"/>
      <x:c r="S72" s="161" t="n"/>
      <x:c r="T72" s="161" t="n"/>
      <x:c r="U72" s="161" t="n"/>
      <x:c r="V72" s="161" t="n"/>
      <x:c r="W72" s="161" t="n"/>
      <x:c r="X72" s="161" t="n"/>
      <x:c r="Y72" s="161" t="n"/>
      <x:c r="Z72" s="161" t="n"/>
      <x:c r="AA72" s="161" t="n"/>
      <x:c r="AB72" s="161" t="n"/>
      <x:c r="AC72" s="161" t="n"/>
      <x:c r="AD72" s="161" t="n"/>
      <x:c r="AE72" s="161" t="n"/>
      <x:c r="AF72" s="161" t="n"/>
      <x:c r="AG72" s="161" t="n"/>
      <x:c r="AH72" s="161" t="n"/>
      <x:c r="AI72" s="161" t="n"/>
      <x:c r="AJ72" s="161" t="n"/>
      <x:c r="AK72" s="161" t="n"/>
      <x:c r="AL72" s="161" t="n"/>
      <x:c r="AM72" s="161" t="n"/>
      <x:c r="AN72" s="161" t="n"/>
      <x:c r="AO72" s="161" t="n"/>
      <x:c r="AP72" s="161" t="n"/>
      <x:c r="AQ72" s="161" t="n"/>
      <x:c r="AR72" s="161" t="n"/>
      <x:c r="AS72" s="161" t="n"/>
      <x:c r="AT72" s="161" t="n"/>
      <x:c r="AU72" s="161" t="n"/>
      <x:c r="AV72" s="161" t="n"/>
      <x:c r="AW72" s="161" t="n"/>
      <x:c r="AX72" s="161" t="n"/>
      <x:c r="AY72" s="161" t="n"/>
      <x:c r="AZ72" s="161" t="n"/>
    </x:row>
    <x:row r="73" ht="15" customHeight="1">
      <x:c r="A73" s="161" t="n"/>
      <x:c r="B73" s="161" t="n"/>
      <x:c r="C73" s="161" t="n"/>
      <x:c r="D73" s="161" t="n"/>
      <x:c r="E73" s="161" t="n"/>
      <x:c r="F73" s="161" t="n"/>
      <x:c r="G73" s="161" t="n"/>
      <x:c r="H73" s="161" t="n"/>
      <x:c r="I73" s="161" t="n"/>
      <x:c r="J73" s="161" t="n"/>
      <x:c r="K73" s="161" t="n"/>
      <x:c r="L73" s="161" t="n"/>
      <x:c r="M73" s="161" t="n"/>
      <x:c r="N73" s="161" t="n"/>
      <x:c r="O73" s="161" t="n"/>
      <x:c r="P73" s="161" t="n"/>
      <x:c r="Q73" s="161" t="n"/>
      <x:c r="R73" s="161" t="n"/>
      <x:c r="S73" s="161" t="n"/>
      <x:c r="T73" s="161" t="n"/>
      <x:c r="U73" s="161" t="n"/>
      <x:c r="V73" s="161" t="n"/>
      <x:c r="W73" s="161" t="n"/>
      <x:c r="X73" s="161" t="n"/>
      <x:c r="Y73" s="161" t="n"/>
      <x:c r="Z73" s="161" t="n"/>
      <x:c r="AA73" s="161" t="n"/>
      <x:c r="AB73" s="161" t="n"/>
      <x:c r="AC73" s="161" t="n"/>
      <x:c r="AD73" s="161" t="n"/>
      <x:c r="AE73" s="161" t="n"/>
      <x:c r="AF73" s="161" t="n"/>
      <x:c r="AG73" s="161" t="n"/>
      <x:c r="AH73" s="161" t="n"/>
      <x:c r="AI73" s="161" t="n"/>
      <x:c r="AJ73" s="161" t="n"/>
      <x:c r="AK73" s="161" t="n"/>
      <x:c r="AL73" s="161" t="n"/>
      <x:c r="AM73" s="161" t="n"/>
      <x:c r="AN73" s="161" t="n"/>
      <x:c r="AO73" s="161" t="n"/>
      <x:c r="AP73" s="161" t="n"/>
      <x:c r="AQ73" s="161" t="n"/>
      <x:c r="AR73" s="161" t="n"/>
      <x:c r="AS73" s="161" t="n"/>
      <x:c r="AT73" s="161" t="n"/>
      <x:c r="AU73" s="161" t="n"/>
      <x:c r="AV73" s="161" t="n"/>
      <x:c r="AW73" s="161" t="n"/>
      <x:c r="AX73" s="161" t="n"/>
      <x:c r="AY73" s="161" t="n"/>
      <x:c r="AZ73" s="161" t="n"/>
    </x:row>
    <x:row r="74" ht="15" customHeight="1">
      <x:c r="A74" s="161" t="n"/>
      <x:c r="B74" s="161" t="n"/>
      <x:c r="C74" s="161" t="n"/>
      <x:c r="D74" s="161" t="n"/>
      <x:c r="E74" s="161" t="n"/>
      <x:c r="F74" s="161" t="n"/>
      <x:c r="G74" s="161" t="n"/>
      <x:c r="H74" s="161" t="n"/>
      <x:c r="I74" s="161" t="n"/>
      <x:c r="J74" s="161" t="n"/>
      <x:c r="K74" s="161" t="n"/>
      <x:c r="L74" s="161" t="n"/>
      <x:c r="M74" s="161" t="n"/>
      <x:c r="N74" s="161" t="n"/>
      <x:c r="O74" s="161" t="n"/>
      <x:c r="P74" s="161" t="n"/>
      <x:c r="Q74" s="161" t="n"/>
      <x:c r="R74" s="161" t="n"/>
      <x:c r="S74" s="161" t="n"/>
      <x:c r="T74" s="161" t="n"/>
      <x:c r="U74" s="161" t="n"/>
      <x:c r="V74" s="161" t="n"/>
      <x:c r="W74" s="161" t="n"/>
      <x:c r="X74" s="161" t="n"/>
      <x:c r="Y74" s="161" t="n"/>
      <x:c r="Z74" s="161" t="n"/>
      <x:c r="AA74" s="161" t="n"/>
      <x:c r="AB74" s="161" t="n"/>
      <x:c r="AC74" s="161" t="n"/>
      <x:c r="AD74" s="161" t="n"/>
      <x:c r="AE74" s="161" t="n"/>
      <x:c r="AF74" s="161" t="n"/>
      <x:c r="AG74" s="161" t="n"/>
      <x:c r="AH74" s="161" t="n"/>
      <x:c r="AI74" s="161" t="n"/>
      <x:c r="AJ74" s="161" t="n"/>
      <x:c r="AK74" s="161" t="n"/>
      <x:c r="AL74" s="161" t="n"/>
      <x:c r="AM74" s="161" t="n"/>
      <x:c r="AN74" s="161" t="n"/>
      <x:c r="AO74" s="161" t="n"/>
      <x:c r="AP74" s="161" t="n"/>
      <x:c r="AQ74" s="161" t="n"/>
      <x:c r="AR74" s="161" t="n"/>
      <x:c r="AS74" s="161" t="n"/>
      <x:c r="AT74" s="161" t="n"/>
      <x:c r="AU74" s="161" t="n"/>
      <x:c r="AV74" s="161" t="n"/>
      <x:c r="AW74" s="161" t="n"/>
      <x:c r="AX74" s="161" t="n"/>
      <x:c r="AY74" s="161" t="n"/>
      <x:c r="AZ74" s="161" t="n"/>
    </x:row>
    <x:row r="75" ht="15" customHeight="1">
      <x:c r="A75" s="161" t="n"/>
      <x:c r="B75" s="161" t="n"/>
      <x:c r="C75" s="161" t="n"/>
      <x:c r="D75" s="161" t="n"/>
      <x:c r="E75" s="161" t="n"/>
      <x:c r="F75" s="161" t="n"/>
      <x:c r="G75" s="161" t="n"/>
      <x:c r="H75" s="161" t="n"/>
      <x:c r="I75" s="161" t="n"/>
      <x:c r="J75" s="161" t="n"/>
      <x:c r="K75" s="161" t="n"/>
      <x:c r="L75" s="161" t="n"/>
      <x:c r="M75" s="161" t="n"/>
      <x:c r="N75" s="161" t="n"/>
      <x:c r="O75" s="161" t="n"/>
      <x:c r="P75" s="161" t="n"/>
      <x:c r="Q75" s="161" t="n"/>
      <x:c r="R75" s="161" t="n"/>
      <x:c r="S75" s="161" t="n"/>
      <x:c r="T75" s="161" t="n"/>
      <x:c r="U75" s="161" t="n"/>
      <x:c r="V75" s="161" t="n"/>
      <x:c r="W75" s="161" t="n"/>
      <x:c r="X75" s="161" t="n"/>
      <x:c r="Y75" s="161" t="n"/>
      <x:c r="Z75" s="161" t="n"/>
      <x:c r="AA75" s="161" t="n"/>
      <x:c r="AB75" s="161" t="n"/>
      <x:c r="AC75" s="161" t="n"/>
      <x:c r="AD75" s="161" t="n"/>
      <x:c r="AE75" s="161" t="n"/>
      <x:c r="AF75" s="161" t="n"/>
      <x:c r="AG75" s="161" t="n"/>
      <x:c r="AH75" s="161" t="n"/>
      <x:c r="AI75" s="161" t="n"/>
      <x:c r="AJ75" s="161" t="n"/>
      <x:c r="AK75" s="161" t="n"/>
      <x:c r="AL75" s="161" t="n"/>
      <x:c r="AM75" s="161" t="n"/>
      <x:c r="AN75" s="161" t="n"/>
      <x:c r="AO75" s="161" t="n"/>
      <x:c r="AP75" s="161" t="n"/>
      <x:c r="AQ75" s="161" t="n"/>
      <x:c r="AR75" s="161" t="n"/>
      <x:c r="AS75" s="161" t="n"/>
      <x:c r="AT75" s="161" t="n"/>
      <x:c r="AU75" s="161" t="n"/>
      <x:c r="AV75" s="161" t="n"/>
      <x:c r="AW75" s="161" t="n"/>
      <x:c r="AX75" s="161" t="n"/>
      <x:c r="AY75" s="161" t="n"/>
      <x:c r="AZ75" s="161" t="n"/>
    </x:row>
    <x:row r="76" ht="15" customHeight="1">
      <x:c r="A76" s="161" t="n"/>
      <x:c r="B76" s="161" t="n"/>
      <x:c r="C76" s="161" t="n"/>
      <x:c r="D76" s="161" t="n"/>
      <x:c r="E76" s="161" t="n"/>
      <x:c r="F76" s="161" t="n"/>
      <x:c r="G76" s="161" t="n"/>
      <x:c r="H76" s="161" t="n"/>
      <x:c r="I76" s="161" t="n"/>
      <x:c r="J76" s="161" t="n"/>
      <x:c r="K76" s="161" t="n"/>
      <x:c r="L76" s="161" t="n"/>
      <x:c r="M76" s="161" t="n"/>
      <x:c r="N76" s="161" t="n"/>
      <x:c r="O76" s="161" t="n"/>
      <x:c r="P76" s="161" t="n"/>
      <x:c r="Q76" s="161" t="n"/>
      <x:c r="R76" s="161" t="n"/>
      <x:c r="S76" s="161" t="n"/>
      <x:c r="T76" s="161" t="n"/>
      <x:c r="U76" s="161" t="n"/>
      <x:c r="V76" s="161" t="n"/>
      <x:c r="W76" s="161" t="n"/>
      <x:c r="X76" s="161" t="n"/>
      <x:c r="Y76" s="161" t="n"/>
      <x:c r="Z76" s="161" t="n"/>
      <x:c r="AA76" s="161" t="n"/>
      <x:c r="AB76" s="161" t="n"/>
      <x:c r="AC76" s="161" t="n"/>
      <x:c r="AD76" s="161" t="n"/>
      <x:c r="AE76" s="161" t="n"/>
      <x:c r="AF76" s="161" t="n"/>
      <x:c r="AG76" s="161" t="n"/>
      <x:c r="AH76" s="161" t="n"/>
      <x:c r="AI76" s="161" t="n"/>
      <x:c r="AJ76" s="161" t="n"/>
      <x:c r="AK76" s="161" t="n"/>
      <x:c r="AL76" s="161" t="n"/>
      <x:c r="AM76" s="161" t="n"/>
      <x:c r="AN76" s="161" t="n"/>
      <x:c r="AO76" s="161" t="n"/>
      <x:c r="AP76" s="161" t="n"/>
      <x:c r="AQ76" s="161" t="n"/>
      <x:c r="AR76" s="161" t="n"/>
      <x:c r="AS76" s="161" t="n"/>
      <x:c r="AT76" s="161" t="n"/>
      <x:c r="AU76" s="161" t="n"/>
      <x:c r="AV76" s="161" t="n"/>
      <x:c r="AW76" s="161" t="n"/>
      <x:c r="AX76" s="161" t="n"/>
      <x:c r="AY76" s="161" t="n"/>
      <x:c r="AZ76" s="161" t="n"/>
    </x:row>
    <x:row r="77" ht="15" customHeight="1">
      <x:c r="A77" s="161" t="n"/>
      <x:c r="B77" s="161" t="n"/>
      <x:c r="C77" s="161" t="n"/>
      <x:c r="D77" s="161" t="n"/>
      <x:c r="E77" s="161" t="n"/>
      <x:c r="F77" s="161" t="n"/>
      <x:c r="G77" s="161" t="n"/>
      <x:c r="H77" s="161" t="n"/>
      <x:c r="I77" s="161" t="n"/>
      <x:c r="J77" s="161" t="n"/>
      <x:c r="K77" s="161" t="n"/>
      <x:c r="L77" s="161" t="n"/>
      <x:c r="M77" s="161" t="n"/>
      <x:c r="N77" s="161" t="n"/>
      <x:c r="O77" s="161" t="n"/>
      <x:c r="P77" s="161" t="n"/>
      <x:c r="Q77" s="161" t="n"/>
      <x:c r="R77" s="161" t="n"/>
      <x:c r="S77" s="161" t="n"/>
      <x:c r="T77" s="161" t="n"/>
      <x:c r="U77" s="161" t="n"/>
      <x:c r="V77" s="161" t="n"/>
      <x:c r="W77" s="161" t="n"/>
      <x:c r="X77" s="161" t="n"/>
      <x:c r="Y77" s="161" t="n"/>
      <x:c r="Z77" s="161" t="n"/>
      <x:c r="AA77" s="161" t="n"/>
      <x:c r="AB77" s="161" t="n"/>
      <x:c r="AC77" s="161" t="n"/>
      <x:c r="AD77" s="161" t="n"/>
      <x:c r="AE77" s="161" t="n"/>
      <x:c r="AF77" s="161" t="n"/>
      <x:c r="AG77" s="161" t="n"/>
      <x:c r="AH77" s="161" t="n"/>
      <x:c r="AI77" s="161" t="n"/>
      <x:c r="AJ77" s="161" t="n"/>
      <x:c r="AK77" s="161" t="n"/>
      <x:c r="AL77" s="161" t="n"/>
      <x:c r="AM77" s="161" t="n"/>
      <x:c r="AN77" s="161" t="n"/>
      <x:c r="AO77" s="161" t="n"/>
      <x:c r="AP77" s="161" t="n"/>
      <x:c r="AQ77" s="161" t="n"/>
      <x:c r="AR77" s="161" t="n"/>
      <x:c r="AS77" s="161" t="n"/>
      <x:c r="AT77" s="161" t="n"/>
      <x:c r="AU77" s="161" t="n"/>
      <x:c r="AV77" s="161" t="n"/>
      <x:c r="AW77" s="161" t="n"/>
      <x:c r="AX77" s="161" t="n"/>
      <x:c r="AY77" s="161" t="n"/>
      <x:c r="AZ77" s="161" t="n"/>
    </x:row>
    <x:row r="78" ht="15" customHeight="1">
      <x:c r="A78" s="161" t="n"/>
      <x:c r="B78" s="161" t="n"/>
      <x:c r="C78" s="161" t="n"/>
      <x:c r="D78" s="161" t="n"/>
      <x:c r="E78" s="161" t="n"/>
      <x:c r="F78" s="161" t="n"/>
      <x:c r="G78" s="161" t="n"/>
      <x:c r="H78" s="161" t="n"/>
      <x:c r="I78" s="161" t="n"/>
      <x:c r="J78" s="161" t="n"/>
      <x:c r="K78" s="161" t="n"/>
      <x:c r="L78" s="161" t="n"/>
      <x:c r="M78" s="161" t="n"/>
      <x:c r="N78" s="161" t="n"/>
      <x:c r="O78" s="161" t="n"/>
      <x:c r="P78" s="161" t="n"/>
      <x:c r="Q78" s="161" t="n"/>
      <x:c r="R78" s="161" t="n"/>
      <x:c r="S78" s="161" t="n"/>
      <x:c r="T78" s="161" t="n"/>
      <x:c r="U78" s="161" t="n"/>
      <x:c r="V78" s="161" t="n"/>
      <x:c r="W78" s="161" t="n"/>
      <x:c r="X78" s="161" t="n"/>
      <x:c r="Y78" s="161" t="n"/>
      <x:c r="Z78" s="161" t="n"/>
      <x:c r="AA78" s="161" t="n"/>
      <x:c r="AB78" s="161" t="n"/>
      <x:c r="AC78" s="161" t="n"/>
      <x:c r="AD78" s="161" t="n"/>
      <x:c r="AE78" s="161" t="n"/>
      <x:c r="AF78" s="161" t="n"/>
      <x:c r="AG78" s="161" t="n"/>
      <x:c r="AH78" s="161" t="n"/>
      <x:c r="AI78" s="161" t="n"/>
      <x:c r="AJ78" s="161" t="n"/>
      <x:c r="AK78" s="161" t="n"/>
      <x:c r="AL78" s="161" t="n"/>
      <x:c r="AM78" s="161" t="n"/>
      <x:c r="AN78" s="161" t="n"/>
      <x:c r="AO78" s="161" t="n"/>
      <x:c r="AP78" s="161" t="n"/>
      <x:c r="AQ78" s="161" t="n"/>
      <x:c r="AR78" s="161" t="n"/>
      <x:c r="AS78" s="161" t="n"/>
      <x:c r="AT78" s="161" t="n"/>
      <x:c r="AU78" s="161" t="n"/>
      <x:c r="AV78" s="161" t="n"/>
      <x:c r="AW78" s="161" t="n"/>
      <x:c r="AX78" s="161" t="n"/>
      <x:c r="AY78" s="161" t="n"/>
      <x:c r="AZ78" s="161" t="n"/>
    </x:row>
    <x:row r="79" ht="15" customHeight="1">
      <x:c r="A79" s="161" t="n"/>
      <x:c r="B79" s="161" t="n"/>
      <x:c r="C79" s="161" t="n"/>
      <x:c r="D79" s="161" t="n"/>
      <x:c r="E79" s="161" t="n"/>
      <x:c r="F79" s="161" t="n"/>
      <x:c r="G79" s="161" t="n"/>
      <x:c r="H79" s="161" t="n"/>
      <x:c r="I79" s="161" t="n"/>
      <x:c r="J79" s="161" t="n"/>
      <x:c r="K79" s="161" t="n"/>
      <x:c r="L79" s="161" t="n"/>
      <x:c r="M79" s="161" t="n"/>
      <x:c r="N79" s="161" t="n"/>
      <x:c r="O79" s="161" t="n"/>
      <x:c r="P79" s="161" t="n"/>
      <x:c r="Q79" s="161" t="n"/>
      <x:c r="R79" s="161" t="n"/>
      <x:c r="S79" s="161" t="n"/>
      <x:c r="T79" s="161" t="n"/>
      <x:c r="U79" s="161" t="n"/>
      <x:c r="V79" s="161" t="n"/>
      <x:c r="W79" s="161" t="n"/>
      <x:c r="X79" s="161" t="n"/>
      <x:c r="Y79" s="161" t="n"/>
      <x:c r="Z79" s="161" t="n"/>
      <x:c r="AA79" s="161" t="n"/>
      <x:c r="AB79" s="161" t="n"/>
      <x:c r="AC79" s="161" t="n"/>
      <x:c r="AD79" s="161" t="n"/>
      <x:c r="AE79" s="161" t="n"/>
      <x:c r="AF79" s="161" t="n"/>
      <x:c r="AG79" s="161" t="n"/>
      <x:c r="AH79" s="161" t="n"/>
      <x:c r="AI79" s="161" t="n"/>
      <x:c r="AJ79" s="161" t="n"/>
      <x:c r="AK79" s="161" t="n"/>
      <x:c r="AL79" s="161" t="n"/>
      <x:c r="AM79" s="161" t="n"/>
      <x:c r="AN79" s="161" t="n"/>
      <x:c r="AO79" s="161" t="n"/>
      <x:c r="AP79" s="161" t="n"/>
      <x:c r="AQ79" s="161" t="n"/>
      <x:c r="AR79" s="161" t="n"/>
      <x:c r="AS79" s="161" t="n"/>
      <x:c r="AT79" s="161" t="n"/>
      <x:c r="AU79" s="161" t="n"/>
      <x:c r="AV79" s="161" t="n"/>
      <x:c r="AW79" s="161" t="n"/>
      <x:c r="AX79" s="161" t="n"/>
      <x:c r="AY79" s="161" t="n"/>
      <x:c r="AZ79" s="161" t="n"/>
    </x:row>
    <x:row r="80" ht="15" customHeight="1">
      <x:c r="A80" s="161" t="n"/>
      <x:c r="B80" s="161" t="n"/>
      <x:c r="C80" s="161" t="n"/>
      <x:c r="D80" s="161" t="n"/>
      <x:c r="E80" s="161" t="n"/>
      <x:c r="F80" s="161" t="n"/>
      <x:c r="G80" s="161" t="n"/>
      <x:c r="H80" s="161" t="n"/>
      <x:c r="I80" s="161" t="n"/>
      <x:c r="J80" s="161" t="n"/>
      <x:c r="K80" s="161" t="n"/>
      <x:c r="L80" s="161" t="n"/>
      <x:c r="M80" s="161" t="n"/>
      <x:c r="N80" s="161" t="n"/>
      <x:c r="O80" s="161" t="n"/>
      <x:c r="P80" s="161" t="n"/>
      <x:c r="Q80" s="161" t="n"/>
      <x:c r="R80" s="161" t="n"/>
      <x:c r="S80" s="161" t="n"/>
      <x:c r="T80" s="161" t="n"/>
      <x:c r="U80" s="161" t="n"/>
      <x:c r="V80" s="161" t="n"/>
      <x:c r="W80" s="161" t="n"/>
      <x:c r="X80" s="161" t="n"/>
      <x:c r="Y80" s="161" t="n"/>
      <x:c r="Z80" s="161" t="n"/>
      <x:c r="AA80" s="161" t="n"/>
      <x:c r="AB80" s="161" t="n"/>
      <x:c r="AC80" s="161" t="n"/>
      <x:c r="AD80" s="161" t="n"/>
      <x:c r="AE80" s="161" t="n"/>
      <x:c r="AF80" s="161" t="n"/>
      <x:c r="AG80" s="161" t="n"/>
      <x:c r="AH80" s="161" t="n"/>
      <x:c r="AI80" s="161" t="n"/>
      <x:c r="AJ80" s="161" t="n"/>
      <x:c r="AK80" s="161" t="n"/>
      <x:c r="AL80" s="161" t="n"/>
      <x:c r="AM80" s="161" t="n"/>
      <x:c r="AN80" s="161" t="n"/>
      <x:c r="AO80" s="161" t="n"/>
      <x:c r="AP80" s="161" t="n"/>
      <x:c r="AQ80" s="161" t="n"/>
      <x:c r="AR80" s="161" t="n"/>
      <x:c r="AS80" s="161" t="n"/>
      <x:c r="AT80" s="161" t="n"/>
      <x:c r="AU80" s="161" t="n"/>
      <x:c r="AV80" s="161" t="n"/>
      <x:c r="AW80" s="161" t="n"/>
      <x:c r="AX80" s="161" t="n"/>
      <x:c r="AY80" s="161" t="n"/>
      <x:c r="AZ80" s="161" t="n"/>
    </x:row>
    <x:row r="81" ht="15" customHeight="1">
      <x:c r="A81" s="161" t="n"/>
      <x:c r="B81" s="161" t="n"/>
      <x:c r="C81" s="161" t="n"/>
      <x:c r="D81" s="161" t="n"/>
      <x:c r="E81" s="161" t="n"/>
      <x:c r="F81" s="161" t="n"/>
      <x:c r="G81" s="161" t="n"/>
      <x:c r="H81" s="161" t="n"/>
      <x:c r="I81" s="161" t="n"/>
      <x:c r="J81" s="161" t="n"/>
      <x:c r="K81" s="161" t="n"/>
      <x:c r="L81" s="161" t="n"/>
      <x:c r="M81" s="161" t="n"/>
      <x:c r="N81" s="161" t="n"/>
      <x:c r="O81" s="161" t="n"/>
      <x:c r="P81" s="161" t="n"/>
      <x:c r="Q81" s="161" t="n"/>
      <x:c r="R81" s="161" t="n"/>
      <x:c r="S81" s="161" t="n"/>
      <x:c r="T81" s="161" t="n"/>
      <x:c r="U81" s="161" t="n"/>
      <x:c r="V81" s="161" t="n"/>
      <x:c r="W81" s="161" t="n"/>
      <x:c r="X81" s="161" t="n"/>
      <x:c r="Y81" s="161" t="n"/>
      <x:c r="Z81" s="161" t="n"/>
      <x:c r="AA81" s="161" t="n"/>
      <x:c r="AB81" s="161" t="n"/>
      <x:c r="AC81" s="161" t="n"/>
      <x:c r="AD81" s="161" t="n"/>
      <x:c r="AE81" s="161" t="n"/>
      <x:c r="AF81" s="161" t="n"/>
      <x:c r="AG81" s="161" t="n"/>
      <x:c r="AH81" s="161" t="n"/>
      <x:c r="AI81" s="161" t="n"/>
      <x:c r="AJ81" s="161" t="n"/>
      <x:c r="AK81" s="161" t="n"/>
      <x:c r="AL81" s="161" t="n"/>
      <x:c r="AM81" s="161" t="n"/>
      <x:c r="AN81" s="161" t="n"/>
      <x:c r="AO81" s="161" t="n"/>
      <x:c r="AP81" s="161" t="n"/>
      <x:c r="AQ81" s="161" t="n"/>
      <x:c r="AR81" s="161" t="n"/>
      <x:c r="AS81" s="161" t="n"/>
      <x:c r="AT81" s="161" t="n"/>
      <x:c r="AU81" s="161" t="n"/>
      <x:c r="AV81" s="161" t="n"/>
      <x:c r="AW81" s="161" t="n"/>
      <x:c r="AX81" s="161" t="n"/>
      <x:c r="AY81" s="161" t="n"/>
      <x:c r="AZ81" s="161" t="n"/>
    </x:row>
    <x:row r="82" ht="15" customHeight="1">
      <x:c r="A82" s="161" t="n"/>
      <x:c r="B82" s="161" t="n"/>
      <x:c r="C82" s="161" t="n"/>
      <x:c r="D82" s="161" t="n"/>
      <x:c r="E82" s="161" t="n"/>
      <x:c r="F82" s="161" t="n"/>
      <x:c r="G82" s="161" t="n"/>
      <x:c r="H82" s="161" t="n"/>
      <x:c r="I82" s="161" t="n"/>
      <x:c r="J82" s="161" t="n"/>
      <x:c r="K82" s="161" t="n"/>
      <x:c r="L82" s="161" t="n"/>
      <x:c r="M82" s="161" t="n"/>
      <x:c r="N82" s="161" t="n"/>
      <x:c r="O82" s="161" t="n"/>
      <x:c r="P82" s="161" t="n"/>
      <x:c r="Q82" s="161" t="n"/>
      <x:c r="R82" s="161" t="n"/>
      <x:c r="S82" s="161" t="n"/>
      <x:c r="T82" s="161" t="n"/>
      <x:c r="U82" s="161" t="n"/>
      <x:c r="V82" s="161" t="n"/>
      <x:c r="W82" s="161" t="n"/>
      <x:c r="X82" s="161" t="n"/>
      <x:c r="Y82" s="161" t="n"/>
      <x:c r="Z82" s="161" t="n"/>
      <x:c r="AA82" s="161" t="n"/>
      <x:c r="AB82" s="161" t="n"/>
      <x:c r="AC82" s="161" t="n"/>
      <x:c r="AD82" s="161" t="n"/>
      <x:c r="AE82" s="161" t="n"/>
      <x:c r="AF82" s="161" t="n"/>
      <x:c r="AG82" s="161" t="n"/>
      <x:c r="AH82" s="161" t="n"/>
      <x:c r="AI82" s="161" t="n"/>
      <x:c r="AJ82" s="161" t="n"/>
      <x:c r="AK82" s="161" t="n"/>
      <x:c r="AL82" s="161" t="n"/>
      <x:c r="AM82" s="161" t="n"/>
      <x:c r="AN82" s="161" t="n"/>
      <x:c r="AO82" s="161" t="n"/>
      <x:c r="AP82" s="161" t="n"/>
      <x:c r="AQ82" s="161" t="n"/>
      <x:c r="AR82" s="161" t="n"/>
      <x:c r="AS82" s="161" t="n"/>
      <x:c r="AT82" s="161" t="n"/>
      <x:c r="AU82" s="161" t="n"/>
      <x:c r="AV82" s="161" t="n"/>
      <x:c r="AW82" s="161" t="n"/>
      <x:c r="AX82" s="161" t="n"/>
      <x:c r="AY82" s="161" t="n"/>
      <x:c r="AZ82" s="161" t="n"/>
    </x:row>
    <x:row r="83" ht="15" customHeight="1">
      <x:c r="A83" s="161" t="n"/>
      <x:c r="B83" s="161" t="n"/>
      <x:c r="C83" s="161" t="n"/>
      <x:c r="D83" s="161" t="n"/>
      <x:c r="E83" s="161" t="n"/>
      <x:c r="F83" s="161" t="n"/>
      <x:c r="G83" s="161" t="n"/>
      <x:c r="H83" s="161" t="n"/>
      <x:c r="I83" s="161" t="n"/>
      <x:c r="J83" s="161" t="n"/>
      <x:c r="K83" s="161" t="n"/>
      <x:c r="L83" s="161" t="n"/>
      <x:c r="M83" s="161" t="n"/>
      <x:c r="N83" s="161" t="n"/>
      <x:c r="O83" s="161" t="n"/>
      <x:c r="P83" s="161" t="n"/>
      <x:c r="Q83" s="161" t="n"/>
      <x:c r="R83" s="161" t="n"/>
      <x:c r="S83" s="161" t="n"/>
      <x:c r="T83" s="161" t="n"/>
      <x:c r="U83" s="161" t="n"/>
      <x:c r="V83" s="161" t="n"/>
      <x:c r="W83" s="161" t="n"/>
      <x:c r="X83" s="161" t="n"/>
      <x:c r="Y83" s="161" t="n"/>
      <x:c r="Z83" s="161" t="n"/>
      <x:c r="AA83" s="161" t="n"/>
      <x:c r="AB83" s="161" t="n"/>
      <x:c r="AC83" s="161" t="n"/>
      <x:c r="AD83" s="161" t="n"/>
      <x:c r="AE83" s="161" t="n"/>
      <x:c r="AF83" s="161" t="n"/>
      <x:c r="AG83" s="161" t="n"/>
      <x:c r="AH83" s="161" t="n"/>
      <x:c r="AI83" s="161" t="n"/>
      <x:c r="AJ83" s="161" t="n"/>
      <x:c r="AK83" s="161" t="n"/>
      <x:c r="AL83" s="161" t="n"/>
      <x:c r="AM83" s="161" t="n"/>
      <x:c r="AN83" s="161" t="n"/>
      <x:c r="AO83" s="161" t="n"/>
      <x:c r="AP83" s="161" t="n"/>
      <x:c r="AQ83" s="161" t="n"/>
      <x:c r="AR83" s="161" t="n"/>
      <x:c r="AS83" s="161" t="n"/>
      <x:c r="AT83" s="161" t="n"/>
      <x:c r="AU83" s="161" t="n"/>
      <x:c r="AV83" s="161" t="n"/>
      <x:c r="AW83" s="161" t="n"/>
      <x:c r="AX83" s="161" t="n"/>
      <x:c r="AY83" s="161" t="n"/>
      <x:c r="AZ83" s="161" t="n"/>
    </x:row>
    <x:row r="84" ht="15" customHeight="1">
      <x:c r="A84" s="161" t="n"/>
      <x:c r="B84" s="161" t="n"/>
      <x:c r="C84" s="161" t="n"/>
      <x:c r="D84" s="161" t="n"/>
      <x:c r="E84" s="161" t="n"/>
      <x:c r="F84" s="161" t="n"/>
      <x:c r="G84" s="161" t="n"/>
      <x:c r="H84" s="161" t="n"/>
      <x:c r="I84" s="161" t="n"/>
      <x:c r="J84" s="161" t="n"/>
      <x:c r="K84" s="161" t="n"/>
      <x:c r="L84" s="161" t="n"/>
      <x:c r="M84" s="161" t="n"/>
      <x:c r="N84" s="161" t="n"/>
      <x:c r="O84" s="161" t="n"/>
      <x:c r="P84" s="161" t="n"/>
      <x:c r="Q84" s="161" t="n"/>
      <x:c r="R84" s="161" t="n"/>
      <x:c r="S84" s="161" t="n"/>
      <x:c r="T84" s="161" t="n"/>
      <x:c r="U84" s="161" t="n"/>
      <x:c r="V84" s="161" t="n"/>
      <x:c r="W84" s="161" t="n"/>
      <x:c r="X84" s="161" t="n"/>
      <x:c r="Y84" s="161" t="n"/>
      <x:c r="Z84" s="161" t="n"/>
      <x:c r="AA84" s="161" t="n"/>
      <x:c r="AB84" s="161" t="n"/>
      <x:c r="AC84" s="161" t="n"/>
      <x:c r="AD84" s="161" t="n"/>
      <x:c r="AE84" s="161" t="n"/>
      <x:c r="AF84" s="161" t="n"/>
      <x:c r="AG84" s="161" t="n"/>
      <x:c r="AH84" s="161" t="n"/>
      <x:c r="AI84" s="161" t="n"/>
      <x:c r="AJ84" s="161" t="n"/>
      <x:c r="AK84" s="161" t="n"/>
      <x:c r="AL84" s="161" t="n"/>
      <x:c r="AM84" s="161" t="n"/>
      <x:c r="AN84" s="161" t="n"/>
      <x:c r="AO84" s="161" t="n"/>
      <x:c r="AP84" s="161" t="n"/>
      <x:c r="AQ84" s="161" t="n"/>
      <x:c r="AR84" s="161" t="n"/>
      <x:c r="AS84" s="161" t="n"/>
      <x:c r="AT84" s="161" t="n"/>
      <x:c r="AU84" s="161" t="n"/>
      <x:c r="AV84" s="161" t="n"/>
      <x:c r="AW84" s="161" t="n"/>
      <x:c r="AX84" s="161" t="n"/>
      <x:c r="AY84" s="161" t="n"/>
      <x:c r="AZ84" s="161" t="n"/>
    </x:row>
    <x:row r="85" ht="15" customHeight="1">
      <x:c r="A85" s="161" t="n"/>
      <x:c r="B85" s="161" t="n"/>
      <x:c r="C85" s="161" t="n"/>
      <x:c r="D85" s="161" t="n"/>
      <x:c r="E85" s="161" t="n"/>
      <x:c r="F85" s="161" t="n"/>
      <x:c r="G85" s="161" t="n"/>
      <x:c r="H85" s="161" t="n"/>
      <x:c r="I85" s="161" t="n"/>
      <x:c r="J85" s="161" t="n"/>
      <x:c r="K85" s="161" t="n"/>
      <x:c r="L85" s="161" t="n"/>
      <x:c r="M85" s="161" t="n"/>
      <x:c r="N85" s="161" t="n"/>
      <x:c r="O85" s="161" t="n"/>
      <x:c r="P85" s="161" t="n"/>
      <x:c r="Q85" s="161" t="n"/>
      <x:c r="R85" s="161" t="n"/>
      <x:c r="S85" s="161" t="n"/>
      <x:c r="T85" s="161" t="n"/>
      <x:c r="U85" s="161" t="n"/>
      <x:c r="V85" s="161" t="n"/>
      <x:c r="W85" s="161" t="n"/>
      <x:c r="X85" s="161" t="n"/>
      <x:c r="Y85" s="161" t="n"/>
      <x:c r="Z85" s="161" t="n"/>
      <x:c r="AA85" s="161" t="n"/>
      <x:c r="AB85" s="161" t="n"/>
      <x:c r="AC85" s="161" t="n"/>
      <x:c r="AD85" s="161" t="n"/>
      <x:c r="AE85" s="161" t="n"/>
      <x:c r="AF85" s="161" t="n"/>
      <x:c r="AG85" s="161" t="n"/>
      <x:c r="AH85" s="161" t="n"/>
      <x:c r="AI85" s="161" t="n"/>
      <x:c r="AJ85" s="161" t="n"/>
      <x:c r="AK85" s="161" t="n"/>
      <x:c r="AL85" s="161" t="n"/>
      <x:c r="AM85" s="161" t="n"/>
      <x:c r="AN85" s="161" t="n"/>
      <x:c r="AO85" s="161" t="n"/>
      <x:c r="AP85" s="161" t="n"/>
      <x:c r="AQ85" s="161" t="n"/>
      <x:c r="AR85" s="161" t="n"/>
      <x:c r="AS85" s="161" t="n"/>
      <x:c r="AT85" s="161" t="n"/>
      <x:c r="AU85" s="161" t="n"/>
      <x:c r="AV85" s="161" t="n"/>
      <x:c r="AW85" s="161" t="n"/>
      <x:c r="AX85" s="161" t="n"/>
      <x:c r="AY85" s="161" t="n"/>
      <x:c r="AZ85" s="161" t="n"/>
    </x:row>
    <x:row r="86" ht="15" customHeight="1">
      <x:c r="A86" s="161" t="n"/>
      <x:c r="B86" s="161" t="n"/>
      <x:c r="C86" s="161" t="n"/>
      <x:c r="D86" s="161" t="n"/>
      <x:c r="E86" s="161" t="n"/>
      <x:c r="F86" s="161" t="n"/>
      <x:c r="G86" s="161" t="n"/>
      <x:c r="H86" s="161" t="n"/>
      <x:c r="I86" s="161" t="n"/>
      <x:c r="J86" s="161" t="n"/>
      <x:c r="K86" s="161" t="n"/>
      <x:c r="L86" s="161" t="n"/>
      <x:c r="M86" s="161" t="n"/>
      <x:c r="N86" s="161" t="n"/>
      <x:c r="O86" s="161" t="n"/>
      <x:c r="P86" s="161" t="n"/>
      <x:c r="Q86" s="161" t="n"/>
      <x:c r="R86" s="161" t="n"/>
      <x:c r="S86" s="161" t="n"/>
      <x:c r="T86" s="161" t="n"/>
      <x:c r="U86" s="161" t="n"/>
      <x:c r="V86" s="161" t="n"/>
      <x:c r="W86" s="161" t="n"/>
      <x:c r="X86" s="161" t="n"/>
      <x:c r="Y86" s="161" t="n"/>
      <x:c r="Z86" s="161" t="n"/>
      <x:c r="AA86" s="161" t="n"/>
      <x:c r="AB86" s="161" t="n"/>
      <x:c r="AC86" s="161" t="n"/>
      <x:c r="AD86" s="161" t="n"/>
      <x:c r="AE86" s="161" t="n"/>
      <x:c r="AF86" s="161" t="n"/>
      <x:c r="AG86" s="161" t="n"/>
      <x:c r="AH86" s="161" t="n"/>
      <x:c r="AI86" s="161" t="n"/>
      <x:c r="AJ86" s="161" t="n"/>
      <x:c r="AK86" s="161" t="n"/>
      <x:c r="AL86" s="161" t="n"/>
      <x:c r="AM86" s="161" t="n"/>
      <x:c r="AN86" s="161" t="n"/>
      <x:c r="AO86" s="161" t="n"/>
      <x:c r="AP86" s="161" t="n"/>
      <x:c r="AQ86" s="161" t="n"/>
      <x:c r="AR86" s="161" t="n"/>
      <x:c r="AS86" s="161" t="n"/>
      <x:c r="AT86" s="161" t="n"/>
      <x:c r="AU86" s="161" t="n"/>
      <x:c r="AV86" s="161" t="n"/>
      <x:c r="AW86" s="161" t="n"/>
      <x:c r="AX86" s="161" t="n"/>
      <x:c r="AY86" s="161" t="n"/>
      <x:c r="AZ86" s="161" t="n"/>
    </x:row>
    <x:row r="87" ht="15" customHeight="1">
      <x:c r="A87" s="161" t="n"/>
      <x:c r="B87" s="161" t="n"/>
      <x:c r="C87" s="161" t="n"/>
      <x:c r="D87" s="161" t="n"/>
      <x:c r="E87" s="161" t="n"/>
      <x:c r="F87" s="161" t="n"/>
      <x:c r="G87" s="161" t="n"/>
      <x:c r="H87" s="161" t="n"/>
      <x:c r="I87" s="161" t="n"/>
      <x:c r="J87" s="161" t="n"/>
      <x:c r="K87" s="161" t="n"/>
      <x:c r="L87" s="161" t="n"/>
      <x:c r="M87" s="161" t="n"/>
      <x:c r="N87" s="161" t="n"/>
      <x:c r="O87" s="161" t="n"/>
      <x:c r="P87" s="161" t="n"/>
      <x:c r="Q87" s="161" t="n"/>
      <x:c r="R87" s="161" t="n"/>
      <x:c r="S87" s="161" t="n"/>
      <x:c r="T87" s="161" t="n"/>
      <x:c r="U87" s="161" t="n"/>
      <x:c r="V87" s="161" t="n"/>
      <x:c r="W87" s="161" t="n"/>
      <x:c r="X87" s="161" t="n"/>
      <x:c r="Y87" s="161" t="n"/>
      <x:c r="Z87" s="161" t="n"/>
      <x:c r="AA87" s="161" t="n"/>
      <x:c r="AB87" s="161" t="n"/>
      <x:c r="AC87" s="161" t="n"/>
      <x:c r="AD87" s="161" t="n"/>
      <x:c r="AE87" s="161" t="n"/>
      <x:c r="AF87" s="161" t="n"/>
      <x:c r="AG87" s="161" t="n"/>
      <x:c r="AH87" s="161" t="n"/>
      <x:c r="AI87" s="161" t="n"/>
      <x:c r="AJ87" s="161" t="n"/>
      <x:c r="AK87" s="161" t="n"/>
      <x:c r="AL87" s="161" t="n"/>
      <x:c r="AM87" s="161" t="n"/>
      <x:c r="AN87" s="161" t="n"/>
      <x:c r="AO87" s="161" t="n"/>
      <x:c r="AP87" s="161" t="n"/>
      <x:c r="AQ87" s="161" t="n"/>
      <x:c r="AR87" s="161" t="n"/>
      <x:c r="AS87" s="161" t="n"/>
      <x:c r="AT87" s="161" t="n"/>
      <x:c r="AU87" s="161" t="n"/>
      <x:c r="AV87" s="161" t="n"/>
      <x:c r="AW87" s="161" t="n"/>
      <x:c r="AX87" s="161" t="n"/>
      <x:c r="AY87" s="161" t="n"/>
      <x:c r="AZ87" s="161" t="n"/>
    </x:row>
    <x:row r="88" ht="15" customHeight="1">
      <x:c r="A88" s="161" t="n"/>
      <x:c r="B88" s="161" t="n"/>
      <x:c r="C88" s="161" t="n"/>
      <x:c r="D88" s="161" t="n"/>
      <x:c r="E88" s="161" t="n"/>
      <x:c r="F88" s="161" t="n"/>
      <x:c r="G88" s="161" t="n"/>
      <x:c r="H88" s="161" t="n"/>
      <x:c r="I88" s="161" t="n"/>
      <x:c r="J88" s="161" t="n"/>
      <x:c r="K88" s="161" t="n"/>
      <x:c r="L88" s="161" t="n"/>
      <x:c r="M88" s="161" t="n"/>
      <x:c r="N88" s="161" t="n"/>
      <x:c r="O88" s="161" t="n"/>
      <x:c r="P88" s="161" t="n"/>
      <x:c r="Q88" s="161" t="n"/>
      <x:c r="R88" s="161" t="n"/>
      <x:c r="S88" s="161" t="n"/>
      <x:c r="T88" s="161" t="n"/>
      <x:c r="U88" s="161" t="n"/>
      <x:c r="V88" s="161" t="n"/>
      <x:c r="W88" s="161" t="n"/>
      <x:c r="X88" s="161" t="n"/>
      <x:c r="Y88" s="161" t="n"/>
      <x:c r="Z88" s="161" t="n"/>
      <x:c r="AA88" s="161" t="n"/>
      <x:c r="AB88" s="161" t="n"/>
      <x:c r="AC88" s="161" t="n"/>
      <x:c r="AD88" s="161" t="n"/>
      <x:c r="AE88" s="161" t="n"/>
      <x:c r="AF88" s="161" t="n"/>
      <x:c r="AG88" s="161" t="n"/>
      <x:c r="AH88" s="161" t="n"/>
      <x:c r="AI88" s="161" t="n"/>
      <x:c r="AJ88" s="161" t="n"/>
      <x:c r="AK88" s="161" t="n"/>
      <x:c r="AL88" s="161" t="n"/>
      <x:c r="AM88" s="161" t="n"/>
      <x:c r="AN88" s="161" t="n"/>
      <x:c r="AO88" s="161" t="n"/>
      <x:c r="AP88" s="161" t="n"/>
      <x:c r="AQ88" s="161" t="n"/>
      <x:c r="AR88" s="161" t="n"/>
      <x:c r="AS88" s="161" t="n"/>
      <x:c r="AT88" s="161" t="n"/>
      <x:c r="AU88" s="161" t="n"/>
      <x:c r="AV88" s="161" t="n"/>
      <x:c r="AW88" s="161" t="n"/>
      <x:c r="AX88" s="161" t="n"/>
      <x:c r="AY88" s="161" t="n"/>
      <x:c r="AZ88" s="161" t="n"/>
    </x:row>
    <x:row r="89" ht="15" customHeight="1">
      <x:c r="A89" s="161" t="n"/>
      <x:c r="B89" s="161" t="n"/>
      <x:c r="C89" s="161" t="n"/>
      <x:c r="D89" s="161" t="n"/>
      <x:c r="E89" s="161" t="n"/>
      <x:c r="F89" s="161" t="n"/>
      <x:c r="G89" s="161" t="n"/>
      <x:c r="H89" s="161" t="n"/>
      <x:c r="I89" s="161" t="n"/>
      <x:c r="J89" s="161" t="n"/>
      <x:c r="K89" s="161" t="n"/>
      <x:c r="L89" s="161" t="n"/>
      <x:c r="M89" s="161" t="n"/>
      <x:c r="N89" s="161" t="n"/>
      <x:c r="O89" s="161" t="n"/>
      <x:c r="P89" s="161" t="n"/>
      <x:c r="Q89" s="161" t="n"/>
      <x:c r="R89" s="161" t="n"/>
      <x:c r="S89" s="161" t="n"/>
      <x:c r="T89" s="161" t="n"/>
      <x:c r="U89" s="161" t="n"/>
      <x:c r="V89" s="161" t="n"/>
      <x:c r="W89" s="161" t="n"/>
      <x:c r="X89" s="161" t="n"/>
      <x:c r="Y89" s="161" t="n"/>
      <x:c r="Z89" s="161" t="n"/>
      <x:c r="AA89" s="161" t="n"/>
      <x:c r="AB89" s="161" t="n"/>
      <x:c r="AC89" s="161" t="n"/>
      <x:c r="AD89" s="161" t="n"/>
      <x:c r="AE89" s="161" t="n"/>
      <x:c r="AF89" s="161" t="n"/>
      <x:c r="AG89" s="161" t="n"/>
      <x:c r="AH89" s="161" t="n"/>
      <x:c r="AI89" s="161" t="n"/>
      <x:c r="AJ89" s="161" t="n"/>
      <x:c r="AK89" s="161" t="n"/>
      <x:c r="AL89" s="161" t="n"/>
      <x:c r="AM89" s="161" t="n"/>
      <x:c r="AN89" s="161" t="n"/>
      <x:c r="AO89" s="161" t="n"/>
      <x:c r="AP89" s="161" t="n"/>
      <x:c r="AQ89" s="161" t="n"/>
      <x:c r="AR89" s="161" t="n"/>
      <x:c r="AS89" s="161" t="n"/>
      <x:c r="AT89" s="161" t="n"/>
      <x:c r="AU89" s="161" t="n"/>
      <x:c r="AV89" s="161" t="n"/>
      <x:c r="AW89" s="161" t="n"/>
      <x:c r="AX89" s="161" t="n"/>
      <x:c r="AY89" s="161" t="n"/>
      <x:c r="AZ89" s="161" t="n"/>
    </x:row>
    <x:row r="90" ht="15" customHeight="1">
      <x:c r="A90" s="161" t="n"/>
      <x:c r="B90" s="161" t="n"/>
      <x:c r="C90" s="161" t="n"/>
      <x:c r="D90" s="161" t="n"/>
      <x:c r="E90" s="161" t="n"/>
      <x:c r="F90" s="161" t="n"/>
      <x:c r="G90" s="161" t="n"/>
      <x:c r="H90" s="161" t="n"/>
      <x:c r="I90" s="161" t="n"/>
      <x:c r="J90" s="161" t="n"/>
      <x:c r="K90" s="161" t="n"/>
      <x:c r="L90" s="161" t="n"/>
      <x:c r="M90" s="161" t="n"/>
      <x:c r="N90" s="161" t="n"/>
      <x:c r="O90" s="161" t="n"/>
      <x:c r="P90" s="161" t="n"/>
      <x:c r="Q90" s="161" t="n"/>
      <x:c r="R90" s="161" t="n"/>
      <x:c r="S90" s="161" t="n"/>
      <x:c r="T90" s="161" t="n"/>
      <x:c r="U90" s="161" t="n"/>
      <x:c r="V90" s="161" t="n"/>
      <x:c r="W90" s="161" t="n"/>
      <x:c r="X90" s="161" t="n"/>
      <x:c r="Y90" s="161" t="n"/>
      <x:c r="Z90" s="161" t="n"/>
      <x:c r="AA90" s="161" t="n"/>
      <x:c r="AB90" s="161" t="n"/>
      <x:c r="AC90" s="161" t="n"/>
      <x:c r="AD90" s="161" t="n"/>
      <x:c r="AE90" s="161" t="n"/>
      <x:c r="AF90" s="161" t="n"/>
      <x:c r="AG90" s="161" t="n"/>
      <x:c r="AH90" s="161" t="n"/>
      <x:c r="AI90" s="161" t="n"/>
      <x:c r="AJ90" s="161" t="n"/>
      <x:c r="AK90" s="161" t="n"/>
      <x:c r="AL90" s="161" t="n"/>
      <x:c r="AM90" s="161" t="n"/>
      <x:c r="AN90" s="161" t="n"/>
      <x:c r="AO90" s="161" t="n"/>
      <x:c r="AP90" s="161" t="n"/>
      <x:c r="AQ90" s="161" t="n"/>
      <x:c r="AR90" s="161" t="n"/>
      <x:c r="AS90" s="161" t="n"/>
      <x:c r="AT90" s="161" t="n"/>
      <x:c r="AU90" s="161" t="n"/>
      <x:c r="AV90" s="161" t="n"/>
      <x:c r="AW90" s="161" t="n"/>
      <x:c r="AX90" s="161" t="n"/>
      <x:c r="AY90" s="161" t="n"/>
      <x:c r="AZ90" s="161" t="n"/>
    </x:row>
    <x:row r="91" ht="15" customHeight="1">
      <x:c r="A91" s="161" t="n"/>
      <x:c r="B91" s="161" t="n"/>
      <x:c r="C91" s="161" t="n"/>
      <x:c r="D91" s="161" t="n"/>
      <x:c r="E91" s="161" t="n"/>
      <x:c r="F91" s="161" t="n"/>
      <x:c r="G91" s="161" t="n"/>
      <x:c r="H91" s="161" t="n"/>
      <x:c r="I91" s="161" t="n"/>
      <x:c r="J91" s="161" t="n"/>
      <x:c r="K91" s="161" t="n"/>
      <x:c r="L91" s="161" t="n"/>
      <x:c r="M91" s="161" t="n"/>
      <x:c r="N91" s="161" t="n"/>
      <x:c r="O91" s="161" t="n"/>
      <x:c r="P91" s="161" t="n"/>
      <x:c r="Q91" s="161" t="n"/>
      <x:c r="R91" s="161" t="n"/>
      <x:c r="S91" s="161" t="n"/>
      <x:c r="T91" s="161" t="n"/>
      <x:c r="U91" s="161" t="n"/>
      <x:c r="V91" s="161" t="n"/>
      <x:c r="W91" s="161" t="n"/>
      <x:c r="X91" s="161" t="n"/>
      <x:c r="Y91" s="161" t="n"/>
      <x:c r="Z91" s="161" t="n"/>
      <x:c r="AA91" s="161" t="n"/>
      <x:c r="AB91" s="161" t="n"/>
      <x:c r="AC91" s="161" t="n"/>
      <x:c r="AD91" s="161" t="n"/>
      <x:c r="AE91" s="161" t="n"/>
      <x:c r="AF91" s="161" t="n"/>
      <x:c r="AG91" s="161" t="n"/>
      <x:c r="AH91" s="161" t="n"/>
      <x:c r="AI91" s="161" t="n"/>
      <x:c r="AJ91" s="161" t="n"/>
      <x:c r="AK91" s="161" t="n"/>
      <x:c r="AL91" s="161" t="n"/>
      <x:c r="AM91" s="161" t="n"/>
      <x:c r="AN91" s="161" t="n"/>
      <x:c r="AO91" s="161" t="n"/>
      <x:c r="AP91" s="161" t="n"/>
      <x:c r="AQ91" s="161" t="n"/>
      <x:c r="AR91" s="161" t="n"/>
      <x:c r="AS91" s="161" t="n"/>
      <x:c r="AT91" s="161" t="n"/>
      <x:c r="AU91" s="161" t="n"/>
      <x:c r="AV91" s="161" t="n"/>
      <x:c r="AW91" s="161" t="n"/>
      <x:c r="AX91" s="161" t="n"/>
      <x:c r="AY91" s="161" t="n"/>
      <x:c r="AZ91" s="161" t="n"/>
    </x:row>
    <x:row r="92" ht="15" customHeight="1">
      <x:c r="A92" s="161" t="n"/>
      <x:c r="B92" s="161" t="n"/>
      <x:c r="C92" s="161" t="n"/>
      <x:c r="D92" s="161" t="n"/>
      <x:c r="E92" s="161" t="n"/>
      <x:c r="F92" s="161" t="n"/>
      <x:c r="G92" s="161" t="n"/>
      <x:c r="H92" s="161" t="n"/>
      <x:c r="I92" s="161" t="n"/>
      <x:c r="J92" s="161" t="n"/>
      <x:c r="K92" s="161" t="n"/>
      <x:c r="L92" s="161" t="n"/>
      <x:c r="M92" s="161" t="n"/>
      <x:c r="N92" s="161" t="n"/>
      <x:c r="O92" s="161" t="n"/>
      <x:c r="P92" s="161" t="n"/>
      <x:c r="Q92" s="161" t="n"/>
      <x:c r="R92" s="161" t="n"/>
      <x:c r="S92" s="161" t="n"/>
      <x:c r="T92" s="161" t="n"/>
      <x:c r="U92" s="161" t="n"/>
      <x:c r="V92" s="161" t="n"/>
      <x:c r="W92" s="161" t="n"/>
      <x:c r="X92" s="161" t="n"/>
      <x:c r="Y92" s="161" t="n"/>
      <x:c r="Z92" s="161" t="n"/>
      <x:c r="AA92" s="161" t="n"/>
      <x:c r="AB92" s="161" t="n"/>
      <x:c r="AC92" s="161" t="n"/>
      <x:c r="AD92" s="161" t="n"/>
      <x:c r="AE92" s="161" t="n"/>
      <x:c r="AF92" s="161" t="n"/>
      <x:c r="AG92" s="161" t="n"/>
      <x:c r="AH92" s="161" t="n"/>
      <x:c r="AI92" s="161" t="n"/>
      <x:c r="AJ92" s="161" t="n"/>
      <x:c r="AK92" s="161" t="n"/>
      <x:c r="AL92" s="161" t="n"/>
      <x:c r="AM92" s="161" t="n"/>
      <x:c r="AN92" s="161" t="n"/>
      <x:c r="AO92" s="161" t="n"/>
      <x:c r="AP92" s="161" t="n"/>
      <x:c r="AQ92" s="161" t="n"/>
      <x:c r="AR92" s="161" t="n"/>
      <x:c r="AS92" s="161" t="n"/>
      <x:c r="AT92" s="161" t="n"/>
      <x:c r="AU92" s="161" t="n"/>
      <x:c r="AV92" s="161" t="n"/>
      <x:c r="AW92" s="161" t="n"/>
      <x:c r="AX92" s="161" t="n"/>
      <x:c r="AY92" s="161" t="n"/>
      <x:c r="AZ92" s="161" t="n"/>
    </x:row>
    <x:row r="93" ht="15" customHeight="1">
      <x:c r="A93" s="161" t="n"/>
      <x:c r="B93" s="161" t="n"/>
      <x:c r="C93" s="161" t="n"/>
      <x:c r="D93" s="161" t="n"/>
      <x:c r="E93" s="161" t="n"/>
      <x:c r="F93" s="161" t="n"/>
      <x:c r="G93" s="161" t="n"/>
      <x:c r="H93" s="161" t="n"/>
      <x:c r="I93" s="161" t="n"/>
      <x:c r="J93" s="161" t="n"/>
      <x:c r="K93" s="161" t="n"/>
      <x:c r="L93" s="161" t="n"/>
      <x:c r="M93" s="161" t="n"/>
      <x:c r="N93" s="161" t="n"/>
      <x:c r="O93" s="161" t="n"/>
      <x:c r="P93" s="161" t="n"/>
      <x:c r="Q93" s="161" t="n"/>
      <x:c r="R93" s="161" t="n"/>
      <x:c r="S93" s="161" t="n"/>
      <x:c r="T93" s="161" t="n"/>
      <x:c r="U93" s="161" t="n"/>
      <x:c r="V93" s="161" t="n"/>
      <x:c r="W93" s="161" t="n"/>
      <x:c r="X93" s="161" t="n"/>
      <x:c r="Y93" s="161" t="n"/>
      <x:c r="Z93" s="161" t="n"/>
      <x:c r="AA93" s="161" t="n"/>
      <x:c r="AB93" s="161" t="n"/>
      <x:c r="AC93" s="161" t="n"/>
      <x:c r="AD93" s="161" t="n"/>
      <x:c r="AE93" s="161" t="n"/>
      <x:c r="AF93" s="161" t="n"/>
      <x:c r="AG93" s="161" t="n"/>
      <x:c r="AH93" s="161" t="n"/>
      <x:c r="AI93" s="161" t="n"/>
      <x:c r="AJ93" s="161" t="n"/>
      <x:c r="AK93" s="161" t="n"/>
      <x:c r="AL93" s="161" t="n"/>
      <x:c r="AM93" s="161" t="n"/>
      <x:c r="AN93" s="161" t="n"/>
      <x:c r="AO93" s="161" t="n"/>
      <x:c r="AP93" s="161" t="n"/>
      <x:c r="AQ93" s="161" t="n"/>
      <x:c r="AR93" s="161" t="n"/>
      <x:c r="AS93" s="161" t="n"/>
      <x:c r="AT93" s="161" t="n"/>
      <x:c r="AU93" s="161" t="n"/>
      <x:c r="AV93" s="161" t="n"/>
      <x:c r="AW93" s="161" t="n"/>
      <x:c r="AX93" s="161" t="n"/>
      <x:c r="AY93" s="161" t="n"/>
      <x:c r="AZ93" s="161" t="n"/>
    </x:row>
    <x:row r="94" ht="15" customHeight="1">
      <x:c r="A94" s="161" t="n"/>
      <x:c r="B94" s="161" t="n"/>
      <x:c r="C94" s="161" t="n"/>
      <x:c r="D94" s="161" t="n"/>
      <x:c r="E94" s="161" t="n"/>
      <x:c r="F94" s="161" t="n"/>
      <x:c r="G94" s="161" t="n"/>
      <x:c r="H94" s="161" t="n"/>
      <x:c r="I94" s="161" t="n"/>
      <x:c r="J94" s="161" t="n"/>
      <x:c r="K94" s="161" t="n"/>
      <x:c r="L94" s="161" t="n"/>
      <x:c r="M94" s="161" t="n"/>
      <x:c r="N94" s="161" t="n"/>
      <x:c r="O94" s="161" t="n"/>
      <x:c r="P94" s="161" t="n"/>
      <x:c r="Q94" s="161" t="n"/>
      <x:c r="R94" s="161" t="n"/>
      <x:c r="S94" s="161" t="n"/>
      <x:c r="T94" s="161" t="n"/>
      <x:c r="U94" s="161" t="n"/>
      <x:c r="V94" s="161" t="n"/>
      <x:c r="W94" s="161" t="n"/>
      <x:c r="X94" s="161" t="n"/>
      <x:c r="Y94" s="161" t="n"/>
      <x:c r="Z94" s="161" t="n"/>
      <x:c r="AA94" s="161" t="n"/>
      <x:c r="AB94" s="161" t="n"/>
      <x:c r="AC94" s="161" t="n"/>
      <x:c r="AD94" s="161" t="n"/>
      <x:c r="AE94" s="161" t="n"/>
      <x:c r="AF94" s="161" t="n"/>
      <x:c r="AG94" s="161" t="n"/>
      <x:c r="AH94" s="161" t="n"/>
      <x:c r="AI94" s="161" t="n"/>
      <x:c r="AJ94" s="161" t="n"/>
      <x:c r="AK94" s="161" t="n"/>
      <x:c r="AL94" s="161" t="n"/>
      <x:c r="AM94" s="161" t="n"/>
      <x:c r="AN94" s="161" t="n"/>
      <x:c r="AO94" s="161" t="n"/>
      <x:c r="AP94" s="161" t="n"/>
      <x:c r="AQ94" s="161" t="n"/>
      <x:c r="AR94" s="161" t="n"/>
      <x:c r="AS94" s="161" t="n"/>
      <x:c r="AT94" s="161" t="n"/>
      <x:c r="AU94" s="161" t="n"/>
      <x:c r="AV94" s="161" t="n"/>
      <x:c r="AW94" s="161" t="n"/>
      <x:c r="AX94" s="161" t="n"/>
      <x:c r="AY94" s="161" t="n"/>
      <x:c r="AZ94" s="161" t="n"/>
    </x:row>
    <x:row r="95" ht="15" customHeight="1">
      <x:c r="A95" s="161" t="n"/>
      <x:c r="B95" s="161" t="n"/>
      <x:c r="C95" s="161" t="n"/>
      <x:c r="D95" s="161" t="n"/>
      <x:c r="E95" s="161" t="n"/>
      <x:c r="F95" s="161" t="n"/>
      <x:c r="G95" s="161" t="n"/>
      <x:c r="H95" s="161" t="n"/>
      <x:c r="I95" s="161" t="n"/>
      <x:c r="J95" s="161" t="n"/>
      <x:c r="K95" s="161" t="n"/>
      <x:c r="L95" s="161" t="n"/>
      <x:c r="M95" s="161" t="n"/>
      <x:c r="N95" s="161" t="n"/>
      <x:c r="O95" s="161" t="n"/>
      <x:c r="P95" s="161" t="n"/>
      <x:c r="Q95" s="161" t="n"/>
      <x:c r="R95" s="161" t="n"/>
      <x:c r="S95" s="161" t="n"/>
      <x:c r="T95" s="161" t="n"/>
      <x:c r="U95" s="161" t="n"/>
      <x:c r="V95" s="161" t="n"/>
      <x:c r="W95" s="161" t="n"/>
      <x:c r="X95" s="161" t="n"/>
      <x:c r="Y95" s="161" t="n"/>
      <x:c r="Z95" s="161" t="n"/>
      <x:c r="AA95" s="161" t="n"/>
      <x:c r="AB95" s="161" t="n"/>
      <x:c r="AC95" s="161" t="n"/>
      <x:c r="AD95" s="161" t="n"/>
      <x:c r="AE95" s="161" t="n"/>
      <x:c r="AF95" s="161" t="n"/>
      <x:c r="AG95" s="161" t="n"/>
      <x:c r="AH95" s="161" t="n"/>
      <x:c r="AI95" s="161" t="n"/>
      <x:c r="AJ95" s="161" t="n"/>
      <x:c r="AK95" s="161" t="n"/>
      <x:c r="AL95" s="161" t="n"/>
      <x:c r="AM95" s="161" t="n"/>
      <x:c r="AN95" s="161" t="n"/>
      <x:c r="AO95" s="161" t="n"/>
      <x:c r="AP95" s="161" t="n"/>
      <x:c r="AQ95" s="161" t="n"/>
      <x:c r="AR95" s="161" t="n"/>
      <x:c r="AS95" s="161" t="n"/>
      <x:c r="AT95" s="161" t="n"/>
      <x:c r="AU95" s="161" t="n"/>
      <x:c r="AV95" s="161" t="n"/>
      <x:c r="AW95" s="161" t="n"/>
      <x:c r="AX95" s="161" t="n"/>
      <x:c r="AY95" s="161" t="n"/>
      <x:c r="AZ95" s="161" t="n"/>
    </x:row>
    <x:row r="96" ht="15" customHeight="1">
      <x:c r="A96" s="161" t="n"/>
      <x:c r="B96" s="161" t="n"/>
      <x:c r="C96" s="161" t="n"/>
      <x:c r="D96" s="161" t="n"/>
      <x:c r="E96" s="161" t="n"/>
      <x:c r="F96" s="161" t="n"/>
      <x:c r="G96" s="161" t="n"/>
      <x:c r="H96" s="161" t="n"/>
      <x:c r="I96" s="161" t="n"/>
      <x:c r="J96" s="161" t="n"/>
      <x:c r="K96" s="161" t="n"/>
      <x:c r="L96" s="161" t="n"/>
      <x:c r="M96" s="161" t="n"/>
      <x:c r="N96" s="161" t="n"/>
      <x:c r="O96" s="161" t="n"/>
      <x:c r="P96" s="161" t="n"/>
      <x:c r="Q96" s="161" t="n"/>
      <x:c r="R96" s="161" t="n"/>
      <x:c r="S96" s="161" t="n"/>
      <x:c r="T96" s="161" t="n"/>
      <x:c r="U96" s="161" t="n"/>
      <x:c r="V96" s="161" t="n"/>
      <x:c r="W96" s="161" t="n"/>
      <x:c r="X96" s="161" t="n"/>
      <x:c r="Y96" s="161" t="n"/>
      <x:c r="Z96" s="161" t="n"/>
      <x:c r="AA96" s="161" t="n"/>
      <x:c r="AB96" s="161" t="n"/>
      <x:c r="AC96" s="161" t="n"/>
      <x:c r="AD96" s="161" t="n"/>
      <x:c r="AE96" s="161" t="n"/>
      <x:c r="AF96" s="161" t="n"/>
      <x:c r="AG96" s="161" t="n"/>
      <x:c r="AH96" s="161" t="n"/>
      <x:c r="AI96" s="161" t="n"/>
      <x:c r="AJ96" s="161" t="n"/>
      <x:c r="AK96" s="161" t="n"/>
      <x:c r="AL96" s="161" t="n"/>
      <x:c r="AM96" s="161" t="n"/>
      <x:c r="AN96" s="161" t="n"/>
      <x:c r="AO96" s="161" t="n"/>
      <x:c r="AP96" s="161" t="n"/>
      <x:c r="AQ96" s="161" t="n"/>
      <x:c r="AR96" s="161" t="n"/>
      <x:c r="AS96" s="161" t="n"/>
      <x:c r="AT96" s="161" t="n"/>
      <x:c r="AU96" s="161" t="n"/>
      <x:c r="AV96" s="161" t="n"/>
      <x:c r="AW96" s="161" t="n"/>
      <x:c r="AX96" s="161" t="n"/>
      <x:c r="AY96" s="161" t="n"/>
      <x:c r="AZ96" s="161" t="n"/>
    </x:row>
    <x:row r="97" ht="15" customHeight="1">
      <x:c r="A97" s="161" t="n"/>
      <x:c r="B97" s="161" t="n"/>
      <x:c r="C97" s="161" t="n"/>
      <x:c r="D97" s="161" t="n"/>
      <x:c r="E97" s="161" t="n"/>
      <x:c r="F97" s="161" t="n"/>
      <x:c r="G97" s="161" t="n"/>
      <x:c r="H97" s="161" t="n"/>
      <x:c r="I97" s="161" t="n"/>
      <x:c r="J97" s="161" t="n"/>
      <x:c r="K97" s="161" t="n"/>
      <x:c r="L97" s="161" t="n"/>
      <x:c r="M97" s="161" t="n"/>
      <x:c r="N97" s="161" t="n"/>
      <x:c r="O97" s="161" t="n"/>
      <x:c r="P97" s="161" t="n"/>
      <x:c r="Q97" s="161" t="n"/>
      <x:c r="R97" s="161" t="n"/>
      <x:c r="S97" s="161" t="n"/>
      <x:c r="T97" s="161" t="n"/>
      <x:c r="U97" s="161" t="n"/>
      <x:c r="V97" s="161" t="n"/>
      <x:c r="W97" s="161" t="n"/>
      <x:c r="X97" s="161" t="n"/>
      <x:c r="Y97" s="161" t="n"/>
      <x:c r="Z97" s="161" t="n"/>
      <x:c r="AA97" s="161" t="n"/>
      <x:c r="AB97" s="161" t="n"/>
      <x:c r="AC97" s="161" t="n"/>
      <x:c r="AD97" s="161" t="n"/>
      <x:c r="AE97" s="161" t="n"/>
      <x:c r="AF97" s="161" t="n"/>
      <x:c r="AG97" s="161" t="n"/>
      <x:c r="AH97" s="161" t="n"/>
      <x:c r="AI97" s="161" t="n"/>
      <x:c r="AJ97" s="161" t="n"/>
      <x:c r="AK97" s="161" t="n"/>
      <x:c r="AL97" s="161" t="n"/>
      <x:c r="AM97" s="161" t="n"/>
      <x:c r="AN97" s="161" t="n"/>
      <x:c r="AO97" s="161" t="n"/>
      <x:c r="AP97" s="161" t="n"/>
      <x:c r="AQ97" s="161" t="n"/>
      <x:c r="AR97" s="161" t="n"/>
      <x:c r="AS97" s="161" t="n"/>
      <x:c r="AT97" s="161" t="n"/>
      <x:c r="AU97" s="161" t="n"/>
      <x:c r="AV97" s="161" t="n"/>
      <x:c r="AW97" s="161" t="n"/>
      <x:c r="AX97" s="161" t="n"/>
      <x:c r="AY97" s="161" t="n"/>
      <x:c r="AZ97" s="161" t="n"/>
    </x:row>
    <x:row r="98" ht="15" customHeight="1">
      <x:c r="A98" s="161" t="n"/>
      <x:c r="B98" s="161" t="n"/>
      <x:c r="C98" s="161" t="n"/>
      <x:c r="D98" s="161" t="n"/>
      <x:c r="E98" s="161" t="n"/>
      <x:c r="F98" s="161" t="n"/>
      <x:c r="G98" s="161" t="n"/>
      <x:c r="H98" s="161" t="n"/>
      <x:c r="I98" s="161" t="n"/>
      <x:c r="J98" s="161" t="n"/>
      <x:c r="K98" s="161" t="n"/>
      <x:c r="L98" s="161" t="n"/>
      <x:c r="M98" s="161" t="n"/>
      <x:c r="N98" s="161" t="n"/>
      <x:c r="O98" s="161" t="n"/>
      <x:c r="P98" s="161" t="n"/>
      <x:c r="Q98" s="161" t="n"/>
      <x:c r="R98" s="161" t="n"/>
      <x:c r="S98" s="161" t="n"/>
      <x:c r="T98" s="161" t="n"/>
      <x:c r="U98" s="161" t="n"/>
      <x:c r="V98" s="161" t="n"/>
      <x:c r="W98" s="161" t="n"/>
      <x:c r="X98" s="161" t="n"/>
      <x:c r="Y98" s="161" t="n"/>
      <x:c r="Z98" s="161" t="n"/>
      <x:c r="AA98" s="161" t="n"/>
      <x:c r="AB98" s="161" t="n"/>
      <x:c r="AC98" s="161" t="n"/>
      <x:c r="AD98" s="161" t="n"/>
      <x:c r="AE98" s="161" t="n"/>
      <x:c r="AF98" s="161" t="n"/>
      <x:c r="AG98" s="161" t="n"/>
      <x:c r="AH98" s="161" t="n"/>
      <x:c r="AI98" s="161" t="n"/>
      <x:c r="AJ98" s="161" t="n"/>
      <x:c r="AK98" s="161" t="n"/>
      <x:c r="AL98" s="161" t="n"/>
      <x:c r="AM98" s="161" t="n"/>
      <x:c r="AN98" s="161" t="n"/>
      <x:c r="AO98" s="161" t="n"/>
      <x:c r="AP98" s="161" t="n"/>
      <x:c r="AQ98" s="161" t="n"/>
      <x:c r="AR98" s="161" t="n"/>
      <x:c r="AS98" s="161" t="n"/>
      <x:c r="AT98" s="161" t="n"/>
      <x:c r="AU98" s="161" t="n"/>
      <x:c r="AV98" s="161" t="n"/>
      <x:c r="AW98" s="161" t="n"/>
      <x:c r="AX98" s="161" t="n"/>
      <x:c r="AY98" s="161" t="n"/>
      <x:c r="AZ98" s="161" t="n"/>
    </x:row>
    <x:row r="99" ht="15" customHeight="1">
      <x:c r="A99" s="161" t="n"/>
      <x:c r="B99" s="161" t="n"/>
      <x:c r="C99" s="161" t="n"/>
      <x:c r="D99" s="161" t="n"/>
      <x:c r="E99" s="161" t="n"/>
      <x:c r="F99" s="161" t="n"/>
      <x:c r="G99" s="161" t="n"/>
      <x:c r="H99" s="161" t="n"/>
      <x:c r="I99" s="161" t="n"/>
      <x:c r="J99" s="161" t="n"/>
      <x:c r="K99" s="161" t="n"/>
      <x:c r="L99" s="161" t="n"/>
      <x:c r="M99" s="161" t="n"/>
      <x:c r="N99" s="161" t="n"/>
      <x:c r="O99" s="161" t="n"/>
      <x:c r="P99" s="161" t="n"/>
      <x:c r="Q99" s="161" t="n"/>
      <x:c r="R99" s="161" t="n"/>
      <x:c r="S99" s="161" t="n"/>
      <x:c r="T99" s="161" t="n"/>
      <x:c r="U99" s="161" t="n"/>
      <x:c r="V99" s="161" t="n"/>
      <x:c r="W99" s="161" t="n"/>
      <x:c r="X99" s="161" t="n"/>
      <x:c r="Y99" s="161" t="n"/>
      <x:c r="Z99" s="161" t="n"/>
      <x:c r="AA99" s="161" t="n"/>
      <x:c r="AB99" s="161" t="n"/>
      <x:c r="AC99" s="161" t="n"/>
      <x:c r="AD99" s="161" t="n"/>
      <x:c r="AE99" s="161" t="n"/>
      <x:c r="AF99" s="161" t="n"/>
      <x:c r="AG99" s="161" t="n"/>
      <x:c r="AH99" s="161" t="n"/>
      <x:c r="AI99" s="161" t="n"/>
      <x:c r="AJ99" s="161" t="n"/>
      <x:c r="AK99" s="161" t="n"/>
      <x:c r="AL99" s="161" t="n"/>
      <x:c r="AM99" s="161" t="n"/>
      <x:c r="AN99" s="161" t="n"/>
      <x:c r="AO99" s="161" t="n"/>
      <x:c r="AP99" s="161" t="n"/>
      <x:c r="AQ99" s="161" t="n"/>
      <x:c r="AR99" s="161" t="n"/>
      <x:c r="AS99" s="161" t="n"/>
      <x:c r="AT99" s="161" t="n"/>
      <x:c r="AU99" s="161" t="n"/>
      <x:c r="AV99" s="161" t="n"/>
      <x:c r="AW99" s="161" t="n"/>
      <x:c r="AX99" s="161" t="n"/>
      <x:c r="AY99" s="161" t="n"/>
      <x:c r="AZ99" s="161" t="n"/>
    </x:row>
    <x:row r="100" ht="15" customHeight="1">
      <x:c r="A100" s="161" t="n"/>
      <x:c r="B100" s="161" t="n"/>
      <x:c r="C100" s="161" t="n"/>
      <x:c r="D100" s="161" t="n"/>
      <x:c r="E100" s="161" t="n"/>
      <x:c r="F100" s="161" t="n"/>
      <x:c r="G100" s="161" t="n"/>
      <x:c r="H100" s="161" t="n"/>
      <x:c r="I100" s="161" t="n"/>
      <x:c r="J100" s="161" t="n"/>
      <x:c r="K100" s="161" t="n"/>
      <x:c r="L100" s="161" t="n"/>
      <x:c r="M100" s="161" t="n"/>
      <x:c r="N100" s="161" t="n"/>
      <x:c r="O100" s="161" t="n"/>
      <x:c r="P100" s="161" t="n"/>
      <x:c r="Q100" s="161" t="n"/>
      <x:c r="R100" s="161" t="n"/>
      <x:c r="S100" s="161" t="n"/>
      <x:c r="T100" s="161" t="n"/>
      <x:c r="U100" s="161" t="n"/>
      <x:c r="V100" s="161" t="n"/>
      <x:c r="W100" s="161" t="n"/>
      <x:c r="X100" s="161" t="n"/>
      <x:c r="Y100" s="161" t="n"/>
      <x:c r="Z100" s="161" t="n"/>
      <x:c r="AA100" s="161" t="n"/>
      <x:c r="AB100" s="161" t="n"/>
      <x:c r="AC100" s="161" t="n"/>
      <x:c r="AD100" s="161" t="n"/>
      <x:c r="AE100" s="161" t="n"/>
      <x:c r="AF100" s="161" t="n"/>
      <x:c r="AG100" s="161" t="n"/>
      <x:c r="AH100" s="161" t="n"/>
      <x:c r="AI100" s="161" t="n"/>
      <x:c r="AJ100" s="161" t="n"/>
      <x:c r="AK100" s="161" t="n"/>
      <x:c r="AL100" s="161" t="n"/>
      <x:c r="AM100" s="161" t="n"/>
      <x:c r="AN100" s="161" t="n"/>
      <x:c r="AO100" s="161" t="n"/>
      <x:c r="AP100" s="161" t="n"/>
      <x:c r="AQ100" s="161" t="n"/>
      <x:c r="AR100" s="161" t="n"/>
      <x:c r="AS100" s="161" t="n"/>
      <x:c r="AT100" s="161" t="n"/>
      <x:c r="AU100" s="161" t="n"/>
      <x:c r="AV100" s="161" t="n"/>
      <x:c r="AW100" s="161" t="n"/>
      <x:c r="AX100" s="161" t="n"/>
      <x:c r="AY100" s="161" t="n"/>
      <x:c r="AZ100" s="161" t="n"/>
    </x:row>
    <x:row r="101" ht="15" customHeight="1">
      <x:c r="A101" s="161" t="n"/>
      <x:c r="B101" s="161" t="n"/>
      <x:c r="C101" s="161" t="n"/>
      <x:c r="D101" s="161" t="n"/>
      <x:c r="E101" s="161" t="n"/>
      <x:c r="F101" s="161" t="n"/>
      <x:c r="G101" s="161" t="n"/>
      <x:c r="H101" s="161" t="n"/>
      <x:c r="I101" s="161" t="n"/>
      <x:c r="J101" s="161" t="n"/>
      <x:c r="K101" s="161" t="n"/>
      <x:c r="L101" s="161" t="n"/>
      <x:c r="M101" s="161" t="n"/>
      <x:c r="N101" s="161" t="n"/>
      <x:c r="O101" s="161" t="n"/>
      <x:c r="P101" s="161" t="n"/>
      <x:c r="Q101" s="161" t="n"/>
      <x:c r="R101" s="161" t="n"/>
      <x:c r="S101" s="161" t="n"/>
      <x:c r="T101" s="161" t="n"/>
      <x:c r="U101" s="161" t="n"/>
      <x:c r="V101" s="161" t="n"/>
      <x:c r="W101" s="161" t="n"/>
      <x:c r="X101" s="161" t="n"/>
      <x:c r="Y101" s="161" t="n"/>
      <x:c r="Z101" s="161" t="n"/>
      <x:c r="AA101" s="161" t="n"/>
      <x:c r="AB101" s="161" t="n"/>
      <x:c r="AC101" s="161" t="n"/>
      <x:c r="AD101" s="161" t="n"/>
      <x:c r="AE101" s="161" t="n"/>
      <x:c r="AF101" s="161" t="n"/>
      <x:c r="AG101" s="161" t="n"/>
      <x:c r="AH101" s="161" t="n"/>
      <x:c r="AI101" s="161" t="n"/>
      <x:c r="AJ101" s="161" t="n"/>
      <x:c r="AK101" s="161" t="n"/>
      <x:c r="AL101" s="161" t="n"/>
      <x:c r="AM101" s="161" t="n"/>
      <x:c r="AN101" s="161" t="n"/>
      <x:c r="AO101" s="161" t="n"/>
      <x:c r="AP101" s="161" t="n"/>
      <x:c r="AQ101" s="161" t="n"/>
      <x:c r="AR101" s="161" t="n"/>
      <x:c r="AS101" s="161" t="n"/>
      <x:c r="AT101" s="161" t="n"/>
      <x:c r="AU101" s="161" t="n"/>
      <x:c r="AV101" s="161" t="n"/>
      <x:c r="AW101" s="161" t="n"/>
      <x:c r="AX101" s="161" t="n"/>
      <x:c r="AY101" s="161" t="n"/>
      <x:c r="AZ101" s="161" t="n"/>
    </x:row>
    <x:row r="102" ht="15" customHeight="1">
      <x:c r="A102" s="161" t="n"/>
      <x:c r="B102" s="161" t="n"/>
      <x:c r="C102" s="161" t="n"/>
      <x:c r="D102" s="161" t="n"/>
      <x:c r="E102" s="161" t="n"/>
      <x:c r="F102" s="161" t="n"/>
      <x:c r="G102" s="161" t="n"/>
      <x:c r="H102" s="161" t="n"/>
      <x:c r="I102" s="161" t="n"/>
      <x:c r="J102" s="161" t="n"/>
      <x:c r="K102" s="161" t="n"/>
      <x:c r="L102" s="161" t="n"/>
      <x:c r="M102" s="161" t="n"/>
      <x:c r="N102" s="161" t="n"/>
      <x:c r="O102" s="161" t="n"/>
      <x:c r="P102" s="161" t="n"/>
      <x:c r="Q102" s="161" t="n"/>
      <x:c r="R102" s="161" t="n"/>
      <x:c r="S102" s="161" t="n"/>
      <x:c r="T102" s="161" t="n"/>
      <x:c r="U102" s="161" t="n"/>
      <x:c r="V102" s="161" t="n"/>
      <x:c r="W102" s="161" t="n"/>
      <x:c r="X102" s="161" t="n"/>
      <x:c r="Y102" s="161" t="n"/>
      <x:c r="Z102" s="161" t="n"/>
      <x:c r="AA102" s="161" t="n"/>
      <x:c r="AB102" s="161" t="n"/>
      <x:c r="AC102" s="161" t="n"/>
      <x:c r="AD102" s="161" t="n"/>
      <x:c r="AE102" s="161" t="n"/>
      <x:c r="AF102" s="161" t="n"/>
      <x:c r="AG102" s="161" t="n"/>
      <x:c r="AH102" s="161" t="n"/>
      <x:c r="AI102" s="161" t="n"/>
      <x:c r="AJ102" s="161" t="n"/>
      <x:c r="AK102" s="161" t="n"/>
      <x:c r="AL102" s="161" t="n"/>
      <x:c r="AM102" s="161" t="n"/>
      <x:c r="AN102" s="161" t="n"/>
      <x:c r="AO102" s="161" t="n"/>
      <x:c r="AP102" s="161" t="n"/>
      <x:c r="AQ102" s="161" t="n"/>
      <x:c r="AR102" s="161" t="n"/>
      <x:c r="AS102" s="161" t="n"/>
      <x:c r="AT102" s="161" t="n"/>
      <x:c r="AU102" s="161" t="n"/>
      <x:c r="AV102" s="161" t="n"/>
      <x:c r="AW102" s="161" t="n"/>
      <x:c r="AX102" s="161" t="n"/>
      <x:c r="AY102" s="161" t="n"/>
      <x:c r="AZ102" s="161" t="n"/>
    </x:row>
    <x:row r="103" ht="15" customHeight="1">
      <x:c r="A103" s="161" t="n"/>
      <x:c r="B103" s="161" t="n"/>
      <x:c r="C103" s="161" t="n"/>
      <x:c r="D103" s="161" t="n"/>
      <x:c r="E103" s="161" t="n"/>
      <x:c r="F103" s="161" t="n"/>
      <x:c r="G103" s="161" t="n"/>
      <x:c r="H103" s="161" t="n"/>
      <x:c r="I103" s="161" t="n"/>
      <x:c r="J103" s="161" t="n"/>
      <x:c r="K103" s="161" t="n"/>
      <x:c r="L103" s="161" t="n"/>
      <x:c r="M103" s="161" t="n"/>
      <x:c r="N103" s="161" t="n"/>
      <x:c r="O103" s="161" t="n"/>
      <x:c r="P103" s="161" t="n"/>
      <x:c r="Q103" s="161" t="n"/>
      <x:c r="R103" s="161" t="n"/>
      <x:c r="S103" s="161" t="n"/>
      <x:c r="T103" s="161" t="n"/>
      <x:c r="U103" s="161" t="n"/>
      <x:c r="V103" s="161" t="n"/>
      <x:c r="W103" s="161" t="n"/>
      <x:c r="X103" s="161" t="n"/>
      <x:c r="Y103" s="161" t="n"/>
      <x:c r="Z103" s="161" t="n"/>
      <x:c r="AA103" s="161" t="n"/>
      <x:c r="AB103" s="161" t="n"/>
      <x:c r="AC103" s="161" t="n"/>
      <x:c r="AD103" s="161" t="n"/>
      <x:c r="AE103" s="161" t="n"/>
      <x:c r="AF103" s="161" t="n"/>
      <x:c r="AG103" s="161" t="n"/>
      <x:c r="AH103" s="161" t="n"/>
      <x:c r="AI103" s="161" t="n"/>
      <x:c r="AJ103" s="161" t="n"/>
      <x:c r="AK103" s="161" t="n"/>
      <x:c r="AL103" s="161" t="n"/>
      <x:c r="AM103" s="161" t="n"/>
      <x:c r="AN103" s="161" t="n"/>
      <x:c r="AO103" s="161" t="n"/>
      <x:c r="AP103" s="161" t="n"/>
      <x:c r="AQ103" s="161" t="n"/>
      <x:c r="AR103" s="161" t="n"/>
      <x:c r="AS103" s="161" t="n"/>
      <x:c r="AT103" s="161" t="n"/>
      <x:c r="AU103" s="161" t="n"/>
      <x:c r="AV103" s="161" t="n"/>
      <x:c r="AW103" s="161" t="n"/>
      <x:c r="AX103" s="161" t="n"/>
      <x:c r="AY103" s="161" t="n"/>
      <x:c r="AZ103" s="161" t="n"/>
    </x:row>
    <x:row r="104" ht="15" customHeight="1">
      <x:c r="A104" s="161" t="n"/>
      <x:c r="B104" s="161" t="n"/>
      <x:c r="C104" s="161" t="n"/>
      <x:c r="D104" s="161" t="n"/>
      <x:c r="E104" s="161" t="n"/>
      <x:c r="F104" s="161" t="n"/>
      <x:c r="G104" s="161" t="n"/>
      <x:c r="H104" s="161" t="n"/>
      <x:c r="I104" s="161" t="n"/>
      <x:c r="J104" s="161" t="n"/>
      <x:c r="K104" s="161" t="n"/>
      <x:c r="L104" s="161" t="n"/>
      <x:c r="M104" s="161" t="n"/>
      <x:c r="N104" s="161" t="n"/>
      <x:c r="O104" s="161" t="n"/>
      <x:c r="P104" s="161" t="n"/>
      <x:c r="Q104" s="161" t="n"/>
      <x:c r="R104" s="161" t="n"/>
      <x:c r="S104" s="161" t="n"/>
      <x:c r="T104" s="161" t="n"/>
      <x:c r="U104" s="161" t="n"/>
      <x:c r="V104" s="161" t="n"/>
      <x:c r="W104" s="161" t="n"/>
      <x:c r="X104" s="161" t="n"/>
      <x:c r="Y104" s="161" t="n"/>
      <x:c r="Z104" s="161" t="n"/>
      <x:c r="AA104" s="161" t="n"/>
      <x:c r="AB104" s="161" t="n"/>
      <x:c r="AC104" s="161" t="n"/>
      <x:c r="AD104" s="161" t="n"/>
      <x:c r="AE104" s="161" t="n"/>
      <x:c r="AF104" s="161" t="n"/>
      <x:c r="AG104" s="161" t="n"/>
      <x:c r="AH104" s="161" t="n"/>
      <x:c r="AI104" s="161" t="n"/>
      <x:c r="AJ104" s="161" t="n"/>
      <x:c r="AK104" s="161" t="n"/>
      <x:c r="AL104" s="161" t="n"/>
      <x:c r="AM104" s="161" t="n"/>
      <x:c r="AN104" s="161" t="n"/>
      <x:c r="AO104" s="161" t="n"/>
      <x:c r="AP104" s="161" t="n"/>
      <x:c r="AQ104" s="161" t="n"/>
      <x:c r="AR104" s="161" t="n"/>
      <x:c r="AS104" s="161" t="n"/>
      <x:c r="AT104" s="161" t="n"/>
      <x:c r="AU104" s="161" t="n"/>
      <x:c r="AV104" s="161" t="n"/>
      <x:c r="AW104" s="161" t="n"/>
      <x:c r="AX104" s="161" t="n"/>
      <x:c r="AY104" s="161" t="n"/>
      <x:c r="AZ104" s="161" t="n"/>
    </x:row>
    <x:row r="105" ht="15" customHeight="1">
      <x:c r="A105" s="161" t="n"/>
      <x:c r="B105" s="161" t="n"/>
      <x:c r="C105" s="161" t="n"/>
      <x:c r="D105" s="161" t="n"/>
      <x:c r="E105" s="161" t="n"/>
      <x:c r="F105" s="161" t="n"/>
      <x:c r="G105" s="161" t="n"/>
      <x:c r="H105" s="161" t="n"/>
      <x:c r="I105" s="161" t="n"/>
      <x:c r="J105" s="161" t="n"/>
      <x:c r="K105" s="161" t="n"/>
      <x:c r="L105" s="161" t="n"/>
      <x:c r="M105" s="161" t="n"/>
      <x:c r="N105" s="161" t="n"/>
      <x:c r="O105" s="161" t="n"/>
      <x:c r="P105" s="161" t="n"/>
      <x:c r="Q105" s="161" t="n"/>
      <x:c r="R105" s="161" t="n"/>
      <x:c r="S105" s="161" t="n"/>
      <x:c r="T105" s="161" t="n"/>
      <x:c r="U105" s="161" t="n"/>
      <x:c r="V105" s="161" t="n"/>
      <x:c r="W105" s="161" t="n"/>
      <x:c r="X105" s="161" t="n"/>
      <x:c r="Y105" s="161" t="n"/>
      <x:c r="Z105" s="161" t="n"/>
      <x:c r="AA105" s="161" t="n"/>
      <x:c r="AB105" s="161" t="n"/>
      <x:c r="AC105" s="161" t="n"/>
      <x:c r="AD105" s="161" t="n"/>
      <x:c r="AE105" s="161" t="n"/>
      <x:c r="AF105" s="161" t="n"/>
      <x:c r="AG105" s="161" t="n"/>
      <x:c r="AH105" s="161" t="n"/>
      <x:c r="AI105" s="161" t="n"/>
      <x:c r="AJ105" s="161" t="n"/>
      <x:c r="AK105" s="161" t="n"/>
      <x:c r="AL105" s="161" t="n"/>
      <x:c r="AM105" s="161" t="n"/>
      <x:c r="AN105" s="161" t="n"/>
      <x:c r="AO105" s="161" t="n"/>
      <x:c r="AP105" s="161" t="n"/>
      <x:c r="AQ105" s="161" t="n"/>
      <x:c r="AR105" s="161" t="n"/>
      <x:c r="AS105" s="161" t="n"/>
      <x:c r="AT105" s="161" t="n"/>
      <x:c r="AU105" s="161" t="n"/>
      <x:c r="AV105" s="161" t="n"/>
      <x:c r="AW105" s="161" t="n"/>
      <x:c r="AX105" s="161" t="n"/>
      <x:c r="AY105" s="161" t="n"/>
      <x:c r="AZ105" s="161" t="n"/>
    </x:row>
    <x:row r="106" ht="15" customHeight="1">
      <x:c r="A106" s="161" t="n"/>
      <x:c r="B106" s="161" t="n"/>
      <x:c r="C106" s="161" t="n"/>
      <x:c r="D106" s="161" t="n"/>
      <x:c r="E106" s="161" t="n"/>
      <x:c r="F106" s="161" t="n"/>
      <x:c r="G106" s="161" t="n"/>
      <x:c r="H106" s="161" t="n"/>
      <x:c r="I106" s="161" t="n"/>
      <x:c r="J106" s="161" t="n"/>
      <x:c r="K106" s="161" t="n"/>
      <x:c r="L106" s="161" t="n"/>
      <x:c r="M106" s="161" t="n"/>
      <x:c r="N106" s="161" t="n"/>
      <x:c r="O106" s="161" t="n"/>
      <x:c r="P106" s="161" t="n"/>
      <x:c r="Q106" s="161" t="n"/>
      <x:c r="R106" s="161" t="n"/>
      <x:c r="S106" s="161" t="n"/>
      <x:c r="T106" s="161" t="n"/>
      <x:c r="U106" s="161" t="n"/>
      <x:c r="V106" s="161" t="n"/>
      <x:c r="W106" s="161" t="n"/>
      <x:c r="X106" s="161" t="n"/>
      <x:c r="Y106" s="161" t="n"/>
      <x:c r="Z106" s="161" t="n"/>
      <x:c r="AA106" s="161" t="n"/>
      <x:c r="AB106" s="161" t="n"/>
      <x:c r="AC106" s="161" t="n"/>
      <x:c r="AD106" s="161" t="n"/>
      <x:c r="AE106" s="161" t="n"/>
      <x:c r="AF106" s="161" t="n"/>
      <x:c r="AG106" s="161" t="n"/>
      <x:c r="AH106" s="161" t="n"/>
      <x:c r="AI106" s="161" t="n"/>
      <x:c r="AJ106" s="161" t="n"/>
      <x:c r="AK106" s="161" t="n"/>
      <x:c r="AL106" s="161" t="n"/>
      <x:c r="AM106" s="161" t="n"/>
      <x:c r="AN106" s="161" t="n"/>
      <x:c r="AO106" s="161" t="n"/>
      <x:c r="AP106" s="161" t="n"/>
      <x:c r="AQ106" s="161" t="n"/>
      <x:c r="AR106" s="161" t="n"/>
      <x:c r="AS106" s="161" t="n"/>
      <x:c r="AT106" s="161" t="n"/>
      <x:c r="AU106" s="161" t="n"/>
      <x:c r="AV106" s="161" t="n"/>
      <x:c r="AW106" s="161" t="n"/>
      <x:c r="AX106" s="161" t="n"/>
      <x:c r="AY106" s="161" t="n"/>
      <x:c r="AZ106" s="161" t="n"/>
    </x:row>
    <x:row r="107" ht="15" customHeight="1">
      <x:c r="A107" s="161" t="n"/>
      <x:c r="B107" s="161" t="n"/>
      <x:c r="C107" s="161" t="n"/>
      <x:c r="D107" s="161" t="n"/>
      <x:c r="E107" s="161" t="n"/>
      <x:c r="F107" s="161" t="n"/>
      <x:c r="G107" s="161" t="n"/>
      <x:c r="H107" s="161" t="n"/>
      <x:c r="I107" s="161" t="n"/>
      <x:c r="J107" s="161" t="n"/>
      <x:c r="K107" s="161" t="n"/>
      <x:c r="L107" s="161" t="n"/>
      <x:c r="M107" s="161" t="n"/>
      <x:c r="N107" s="161" t="n"/>
      <x:c r="O107" s="161" t="n"/>
      <x:c r="P107" s="161" t="n"/>
      <x:c r="Q107" s="161" t="n"/>
      <x:c r="R107" s="161" t="n"/>
      <x:c r="S107" s="161" t="n"/>
      <x:c r="T107" s="161" t="n"/>
      <x:c r="U107" s="161" t="n"/>
      <x:c r="V107" s="161" t="n"/>
      <x:c r="W107" s="161" t="n"/>
      <x:c r="X107" s="161" t="n"/>
      <x:c r="Y107" s="161" t="n"/>
      <x:c r="Z107" s="161" t="n"/>
      <x:c r="AA107" s="161" t="n"/>
      <x:c r="AB107" s="161" t="n"/>
      <x:c r="AC107" s="161" t="n"/>
      <x:c r="AD107" s="161" t="n"/>
      <x:c r="AE107" s="161" t="n"/>
      <x:c r="AF107" s="161" t="n"/>
      <x:c r="AG107" s="161" t="n"/>
      <x:c r="AH107" s="161" t="n"/>
      <x:c r="AI107" s="161" t="n"/>
      <x:c r="AJ107" s="161" t="n"/>
      <x:c r="AK107" s="161" t="n"/>
      <x:c r="AL107" s="161" t="n"/>
      <x:c r="AM107" s="161" t="n"/>
      <x:c r="AN107" s="161" t="n"/>
      <x:c r="AO107" s="161" t="n"/>
      <x:c r="AP107" s="161" t="n"/>
      <x:c r="AQ107" s="161" t="n"/>
      <x:c r="AR107" s="161" t="n"/>
      <x:c r="AS107" s="161" t="n"/>
      <x:c r="AT107" s="161" t="n"/>
      <x:c r="AU107" s="161" t="n"/>
      <x:c r="AV107" s="161" t="n"/>
      <x:c r="AW107" s="161" t="n"/>
      <x:c r="AX107" s="161" t="n"/>
      <x:c r="AY107" s="161" t="n"/>
      <x:c r="AZ107" s="161" t="n"/>
    </x:row>
    <x:row r="108" ht="15" customHeight="1">
      <x:c r="A108" s="161" t="n"/>
      <x:c r="B108" s="161" t="n"/>
      <x:c r="C108" s="161" t="n"/>
      <x:c r="D108" s="161" t="n"/>
      <x:c r="E108" s="161" t="n"/>
      <x:c r="F108" s="161" t="n"/>
      <x:c r="G108" s="161" t="n"/>
      <x:c r="H108" s="161" t="n"/>
      <x:c r="I108" s="161" t="n"/>
      <x:c r="J108" s="161" t="n"/>
      <x:c r="K108" s="161" t="n"/>
      <x:c r="L108" s="161" t="n"/>
      <x:c r="M108" s="161" t="n"/>
      <x:c r="N108" s="161" t="n"/>
      <x:c r="O108" s="161" t="n"/>
      <x:c r="P108" s="161" t="n"/>
      <x:c r="Q108" s="161" t="n"/>
      <x:c r="R108" s="161" t="n"/>
      <x:c r="S108" s="161" t="n"/>
      <x:c r="T108" s="161" t="n"/>
      <x:c r="U108" s="161" t="n"/>
      <x:c r="V108" s="161" t="n"/>
      <x:c r="W108" s="161" t="n"/>
      <x:c r="X108" s="161" t="n"/>
      <x:c r="Y108" s="161" t="n"/>
      <x:c r="Z108" s="161" t="n"/>
      <x:c r="AA108" s="161" t="n"/>
      <x:c r="AB108" s="161" t="n"/>
      <x:c r="AC108" s="161" t="n"/>
      <x:c r="AD108" s="161" t="n"/>
      <x:c r="AE108" s="161" t="n"/>
      <x:c r="AF108" s="161" t="n"/>
      <x:c r="AG108" s="161" t="n"/>
      <x:c r="AH108" s="161" t="n"/>
      <x:c r="AI108" s="161" t="n"/>
      <x:c r="AJ108" s="161" t="n"/>
      <x:c r="AK108" s="161" t="n"/>
      <x:c r="AL108" s="161" t="n"/>
      <x:c r="AM108" s="161" t="n"/>
      <x:c r="AN108" s="161" t="n"/>
      <x:c r="AO108" s="161" t="n"/>
      <x:c r="AP108" s="161" t="n"/>
      <x:c r="AQ108" s="161" t="n"/>
      <x:c r="AR108" s="161" t="n"/>
      <x:c r="AS108" s="161" t="n"/>
      <x:c r="AT108" s="161" t="n"/>
      <x:c r="AU108" s="161" t="n"/>
      <x:c r="AV108" s="161" t="n"/>
      <x:c r="AW108" s="161" t="n"/>
      <x:c r="AX108" s="161" t="n"/>
      <x:c r="AY108" s="161" t="n"/>
      <x:c r="AZ108" s="161" t="n"/>
    </x:row>
    <x:row r="109" ht="15" customHeight="1">
      <x:c r="A109" s="161" t="n"/>
      <x:c r="B109" s="161" t="n"/>
      <x:c r="C109" s="161" t="n"/>
      <x:c r="D109" s="161" t="n"/>
      <x:c r="E109" s="161" t="n"/>
      <x:c r="F109" s="161" t="n"/>
      <x:c r="G109" s="161" t="n"/>
      <x:c r="H109" s="161" t="n"/>
      <x:c r="I109" s="161" t="n"/>
      <x:c r="J109" s="161" t="n"/>
      <x:c r="K109" s="161" t="n"/>
      <x:c r="L109" s="161" t="n"/>
      <x:c r="M109" s="161" t="n"/>
      <x:c r="N109" s="161" t="n"/>
      <x:c r="O109" s="161" t="n"/>
      <x:c r="P109" s="161" t="n"/>
      <x:c r="Q109" s="161" t="n"/>
      <x:c r="R109" s="161" t="n"/>
      <x:c r="S109" s="161" t="n"/>
      <x:c r="T109" s="161" t="n"/>
      <x:c r="U109" s="161" t="n"/>
      <x:c r="V109" s="161" t="n"/>
      <x:c r="W109" s="161" t="n"/>
      <x:c r="X109" s="161" t="n"/>
      <x:c r="Y109" s="161" t="n"/>
      <x:c r="Z109" s="161" t="n"/>
      <x:c r="AA109" s="161" t="n"/>
      <x:c r="AB109" s="161" t="n"/>
      <x:c r="AC109" s="161" t="n"/>
      <x:c r="AD109" s="161" t="n"/>
      <x:c r="AE109" s="161" t="n"/>
      <x:c r="AF109" s="161" t="n"/>
      <x:c r="AG109" s="161" t="n"/>
      <x:c r="AH109" s="161" t="n"/>
      <x:c r="AI109" s="161" t="n"/>
      <x:c r="AJ109" s="161" t="n"/>
      <x:c r="AK109" s="161" t="n"/>
      <x:c r="AL109" s="161" t="n"/>
      <x:c r="AM109" s="161" t="n"/>
      <x:c r="AN109" s="161" t="n"/>
      <x:c r="AO109" s="161" t="n"/>
      <x:c r="AP109" s="161" t="n"/>
      <x:c r="AQ109" s="161" t="n"/>
      <x:c r="AR109" s="161" t="n"/>
      <x:c r="AS109" s="161" t="n"/>
      <x:c r="AT109" s="161" t="n"/>
      <x:c r="AU109" s="161" t="n"/>
      <x:c r="AV109" s="161" t="n"/>
      <x:c r="AW109" s="161" t="n"/>
      <x:c r="AX109" s="161" t="n"/>
      <x:c r="AY109" s="161" t="n"/>
      <x:c r="AZ109" s="161" t="n"/>
    </x:row>
    <x:row r="110" ht="15" customHeight="1">
      <x:c r="A110" s="161" t="n"/>
      <x:c r="B110" s="161" t="n"/>
      <x:c r="C110" s="161" t="n"/>
      <x:c r="D110" s="161" t="n"/>
      <x:c r="E110" s="161" t="n"/>
      <x:c r="F110" s="161" t="n"/>
      <x:c r="G110" s="161" t="n"/>
      <x:c r="H110" s="161" t="n"/>
      <x:c r="I110" s="161" t="n"/>
      <x:c r="J110" s="161" t="n"/>
      <x:c r="K110" s="161" t="n"/>
      <x:c r="L110" s="161" t="n"/>
      <x:c r="M110" s="161" t="n"/>
      <x:c r="N110" s="161" t="n"/>
      <x:c r="O110" s="161" t="n"/>
      <x:c r="P110" s="161" t="n"/>
      <x:c r="Q110" s="161" t="n"/>
      <x:c r="R110" s="161" t="n"/>
      <x:c r="S110" s="161" t="n"/>
      <x:c r="T110" s="161" t="n"/>
      <x:c r="U110" s="161" t="n"/>
      <x:c r="V110" s="161" t="n"/>
      <x:c r="W110" s="161" t="n"/>
      <x:c r="X110" s="161" t="n"/>
      <x:c r="Y110" s="161" t="n"/>
      <x:c r="Z110" s="161" t="n"/>
      <x:c r="AA110" s="161" t="n"/>
      <x:c r="AB110" s="161" t="n"/>
      <x:c r="AC110" s="161" t="n"/>
      <x:c r="AD110" s="161" t="n"/>
      <x:c r="AE110" s="161" t="n"/>
      <x:c r="AF110" s="161" t="n"/>
      <x:c r="AG110" s="161" t="n"/>
      <x:c r="AH110" s="161" t="n"/>
      <x:c r="AI110" s="161" t="n"/>
      <x:c r="AJ110" s="161" t="n"/>
      <x:c r="AK110" s="161" t="n"/>
      <x:c r="AL110" s="161" t="n"/>
      <x:c r="AM110" s="161" t="n"/>
      <x:c r="AN110" s="161" t="n"/>
      <x:c r="AO110" s="161" t="n"/>
      <x:c r="AP110" s="161" t="n"/>
      <x:c r="AQ110" s="161" t="n"/>
      <x:c r="AR110" s="161" t="n"/>
      <x:c r="AS110" s="161" t="n"/>
      <x:c r="AT110" s="161" t="n"/>
      <x:c r="AU110" s="161" t="n"/>
      <x:c r="AV110" s="161" t="n"/>
      <x:c r="AW110" s="161" t="n"/>
      <x:c r="AX110" s="161" t="n"/>
      <x:c r="AY110" s="161" t="n"/>
      <x:c r="AZ110" s="161" t="n"/>
    </x:row>
    <x:row r="111" ht="15" customHeight="1">
      <x:c r="A111" s="161" t="n"/>
      <x:c r="B111" s="161" t="n"/>
      <x:c r="C111" s="161" t="n"/>
      <x:c r="D111" s="161" t="n"/>
      <x:c r="E111" s="161" t="n"/>
      <x:c r="F111" s="161" t="n"/>
      <x:c r="G111" s="161" t="n"/>
      <x:c r="H111" s="161" t="n"/>
      <x:c r="I111" s="161" t="n"/>
      <x:c r="J111" s="161" t="n"/>
      <x:c r="K111" s="161" t="n"/>
      <x:c r="L111" s="161" t="n"/>
      <x:c r="M111" s="161" t="n"/>
      <x:c r="N111" s="161" t="n"/>
      <x:c r="O111" s="161" t="n"/>
      <x:c r="P111" s="161" t="n"/>
      <x:c r="Q111" s="161" t="n"/>
      <x:c r="R111" s="161" t="n"/>
      <x:c r="S111" s="161" t="n"/>
      <x:c r="T111" s="161" t="n"/>
      <x:c r="U111" s="161" t="n"/>
      <x:c r="V111" s="161" t="n"/>
      <x:c r="W111" s="161" t="n"/>
      <x:c r="X111" s="161" t="n"/>
      <x:c r="Y111" s="161" t="n"/>
      <x:c r="Z111" s="161" t="n"/>
      <x:c r="AA111" s="161" t="n"/>
      <x:c r="AB111" s="161" t="n"/>
      <x:c r="AC111" s="161" t="n"/>
      <x:c r="AD111" s="161" t="n"/>
      <x:c r="AE111" s="161" t="n"/>
      <x:c r="AF111" s="161" t="n"/>
      <x:c r="AG111" s="161" t="n"/>
      <x:c r="AH111" s="161" t="n"/>
      <x:c r="AI111" s="161" t="n"/>
      <x:c r="AJ111" s="161" t="n"/>
      <x:c r="AK111" s="161" t="n"/>
      <x:c r="AL111" s="161" t="n"/>
      <x:c r="AM111" s="161" t="n"/>
      <x:c r="AN111" s="161" t="n"/>
      <x:c r="AO111" s="161" t="n"/>
      <x:c r="AP111" s="161" t="n"/>
      <x:c r="AQ111" s="161" t="n"/>
      <x:c r="AR111" s="161" t="n"/>
      <x:c r="AS111" s="161" t="n"/>
      <x:c r="AT111" s="161" t="n"/>
      <x:c r="AU111" s="161" t="n"/>
      <x:c r="AV111" s="161" t="n"/>
      <x:c r="AW111" s="161" t="n"/>
      <x:c r="AX111" s="161" t="n"/>
      <x:c r="AY111" s="161" t="n"/>
      <x:c r="AZ111" s="161" t="n"/>
    </x:row>
    <x:row r="112" ht="15" customHeight="1">
      <x:c r="A112" s="161" t="n"/>
      <x:c r="B112" s="161" t="n"/>
      <x:c r="C112" s="161" t="n"/>
      <x:c r="D112" s="161" t="n"/>
      <x:c r="E112" s="161" t="n"/>
      <x:c r="F112" s="161" t="n"/>
      <x:c r="G112" s="161" t="n"/>
      <x:c r="H112" s="161" t="n"/>
      <x:c r="I112" s="161" t="n"/>
      <x:c r="J112" s="161" t="n"/>
      <x:c r="K112" s="161" t="n"/>
      <x:c r="L112" s="161" t="n"/>
      <x:c r="M112" s="161" t="n"/>
      <x:c r="N112" s="161" t="n"/>
      <x:c r="O112" s="161" t="n"/>
      <x:c r="P112" s="161" t="n"/>
      <x:c r="Q112" s="161" t="n"/>
      <x:c r="R112" s="161" t="n"/>
      <x:c r="S112" s="161" t="n"/>
      <x:c r="T112" s="161" t="n"/>
      <x:c r="U112" s="161" t="n"/>
      <x:c r="V112" s="161" t="n"/>
      <x:c r="W112" s="161" t="n"/>
      <x:c r="X112" s="161" t="n"/>
      <x:c r="Y112" s="161" t="n"/>
      <x:c r="Z112" s="161" t="n"/>
      <x:c r="AA112" s="161" t="n"/>
      <x:c r="AB112" s="161" t="n"/>
      <x:c r="AC112" s="161" t="n"/>
      <x:c r="AD112" s="161" t="n"/>
      <x:c r="AE112" s="161" t="n"/>
      <x:c r="AF112" s="161" t="n"/>
      <x:c r="AG112" s="161" t="n"/>
      <x:c r="AH112" s="161" t="n"/>
      <x:c r="AI112" s="161" t="n"/>
      <x:c r="AJ112" s="161" t="n"/>
      <x:c r="AK112" s="161" t="n"/>
      <x:c r="AL112" s="161" t="n"/>
      <x:c r="AM112" s="161" t="n"/>
      <x:c r="AN112" s="161" t="n"/>
      <x:c r="AO112" s="161" t="n"/>
      <x:c r="AP112" s="161" t="n"/>
      <x:c r="AQ112" s="161" t="n"/>
      <x:c r="AR112" s="161" t="n"/>
      <x:c r="AS112" s="161" t="n"/>
      <x:c r="AT112" s="161" t="n"/>
      <x:c r="AU112" s="161" t="n"/>
      <x:c r="AV112" s="161" t="n"/>
      <x:c r="AW112" s="161" t="n"/>
      <x:c r="AX112" s="161" t="n"/>
      <x:c r="AY112" s="161" t="n"/>
      <x:c r="AZ112" s="161" t="n"/>
    </x:row>
    <x:row r="113" ht="15" customHeight="1">
      <x:c r="A113" s="161" t="n"/>
      <x:c r="B113" s="161" t="n"/>
      <x:c r="C113" s="161" t="n"/>
      <x:c r="D113" s="161" t="n"/>
      <x:c r="E113" s="161" t="n"/>
      <x:c r="F113" s="161" t="n"/>
      <x:c r="G113" s="161" t="n"/>
      <x:c r="H113" s="161" t="n"/>
      <x:c r="I113" s="161" t="n"/>
      <x:c r="J113" s="161" t="n"/>
      <x:c r="K113" s="161" t="n"/>
      <x:c r="L113" s="161" t="n"/>
      <x:c r="M113" s="161" t="n"/>
      <x:c r="N113" s="161" t="n"/>
      <x:c r="O113" s="161" t="n"/>
      <x:c r="P113" s="161" t="n"/>
      <x:c r="Q113" s="161" t="n"/>
      <x:c r="R113" s="161" t="n"/>
      <x:c r="S113" s="161" t="n"/>
      <x:c r="T113" s="161" t="n"/>
      <x:c r="U113" s="161" t="n"/>
      <x:c r="V113" s="161" t="n"/>
      <x:c r="W113" s="161" t="n"/>
      <x:c r="X113" s="161" t="n"/>
      <x:c r="Y113" s="161" t="n"/>
      <x:c r="Z113" s="161" t="n"/>
      <x:c r="AA113" s="161" t="n"/>
      <x:c r="AB113" s="161" t="n"/>
      <x:c r="AC113" s="161" t="n"/>
      <x:c r="AD113" s="161" t="n"/>
      <x:c r="AE113" s="161" t="n"/>
      <x:c r="AF113" s="161" t="n"/>
      <x:c r="AG113" s="161" t="n"/>
      <x:c r="AH113" s="161" t="n"/>
      <x:c r="AI113" s="161" t="n"/>
      <x:c r="AJ113" s="161" t="n"/>
      <x:c r="AK113" s="161" t="n"/>
      <x:c r="AL113" s="161" t="n"/>
      <x:c r="AM113" s="161" t="n"/>
      <x:c r="AN113" s="161" t="n"/>
      <x:c r="AO113" s="161" t="n"/>
      <x:c r="AP113" s="161" t="n"/>
      <x:c r="AQ113" s="161" t="n"/>
      <x:c r="AR113" s="161" t="n"/>
      <x:c r="AS113" s="161" t="n"/>
      <x:c r="AT113" s="161" t="n"/>
      <x:c r="AU113" s="161" t="n"/>
      <x:c r="AV113" s="161" t="n"/>
      <x:c r="AW113" s="161" t="n"/>
      <x:c r="AX113" s="161" t="n"/>
      <x:c r="AY113" s="161" t="n"/>
      <x:c r="AZ113" s="161" t="n"/>
    </x:row>
    <x:row r="114" ht="15" customHeight="1">
      <x:c r="A114" s="161" t="n"/>
      <x:c r="B114" s="161" t="n"/>
      <x:c r="C114" s="161" t="n"/>
      <x:c r="D114" s="161" t="n"/>
      <x:c r="E114" s="161" t="n"/>
      <x:c r="F114" s="161" t="n"/>
      <x:c r="G114" s="161" t="n"/>
      <x:c r="H114" s="161" t="n"/>
      <x:c r="I114" s="161" t="n"/>
      <x:c r="J114" s="161" t="n"/>
      <x:c r="K114" s="161" t="n"/>
      <x:c r="L114" s="161" t="n"/>
      <x:c r="M114" s="161" t="n"/>
      <x:c r="N114" s="161" t="n"/>
      <x:c r="O114" s="161" t="n"/>
      <x:c r="P114" s="161" t="n"/>
      <x:c r="Q114" s="161" t="n"/>
      <x:c r="R114" s="161" t="n"/>
      <x:c r="S114" s="161" t="n"/>
      <x:c r="T114" s="161" t="n"/>
      <x:c r="U114" s="161" t="n"/>
      <x:c r="V114" s="161" t="n"/>
      <x:c r="W114" s="161" t="n"/>
      <x:c r="X114" s="161" t="n"/>
      <x:c r="Y114" s="161" t="n"/>
      <x:c r="Z114" s="161" t="n"/>
      <x:c r="AA114" s="161" t="n"/>
      <x:c r="AB114" s="161" t="n"/>
      <x:c r="AC114" s="161" t="n"/>
      <x:c r="AD114" s="161" t="n"/>
      <x:c r="AE114" s="161" t="n"/>
      <x:c r="AF114" s="161" t="n"/>
      <x:c r="AG114" s="161" t="n"/>
      <x:c r="AH114" s="161" t="n"/>
      <x:c r="AI114" s="161" t="n"/>
      <x:c r="AJ114" s="161" t="n"/>
      <x:c r="AK114" s="161" t="n"/>
      <x:c r="AL114" s="161" t="n"/>
      <x:c r="AM114" s="161" t="n"/>
      <x:c r="AN114" s="161" t="n"/>
      <x:c r="AO114" s="161" t="n"/>
      <x:c r="AP114" s="161" t="n"/>
      <x:c r="AQ114" s="161" t="n"/>
      <x:c r="AR114" s="161" t="n"/>
      <x:c r="AS114" s="161" t="n"/>
      <x:c r="AT114" s="161" t="n"/>
      <x:c r="AU114" s="161" t="n"/>
      <x:c r="AV114" s="161" t="n"/>
      <x:c r="AW114" s="161" t="n"/>
      <x:c r="AX114" s="161" t="n"/>
      <x:c r="AY114" s="161" t="n"/>
      <x:c r="AZ114" s="161" t="n"/>
    </x:row>
    <x:row r="115" ht="15" customHeight="1">
      <x:c r="A115" s="161" t="n"/>
      <x:c r="B115" s="161" t="n"/>
      <x:c r="C115" s="161" t="n"/>
      <x:c r="D115" s="161" t="n"/>
      <x:c r="E115" s="161" t="n"/>
      <x:c r="F115" s="161" t="n"/>
      <x:c r="G115" s="161" t="n"/>
      <x:c r="H115" s="161" t="n"/>
      <x:c r="I115" s="161" t="n"/>
      <x:c r="J115" s="161" t="n"/>
      <x:c r="K115" s="161" t="n"/>
      <x:c r="L115" s="161" t="n"/>
      <x:c r="M115" s="161" t="n"/>
      <x:c r="N115" s="161" t="n"/>
      <x:c r="O115" s="161" t="n"/>
      <x:c r="P115" s="161" t="n"/>
      <x:c r="Q115" s="161" t="n"/>
      <x:c r="R115" s="161" t="n"/>
      <x:c r="S115" s="161" t="n"/>
      <x:c r="T115" s="161" t="n"/>
      <x:c r="U115" s="161" t="n"/>
      <x:c r="V115" s="161" t="n"/>
      <x:c r="W115" s="161" t="n"/>
      <x:c r="X115" s="161" t="n"/>
      <x:c r="Y115" s="161" t="n"/>
      <x:c r="Z115" s="161" t="n"/>
      <x:c r="AA115" s="161" t="n"/>
      <x:c r="AB115" s="161" t="n"/>
      <x:c r="AC115" s="161" t="n"/>
      <x:c r="AD115" s="161" t="n"/>
      <x:c r="AE115" s="161" t="n"/>
      <x:c r="AF115" s="161" t="n"/>
      <x:c r="AG115" s="161" t="n"/>
      <x:c r="AH115" s="161" t="n"/>
      <x:c r="AI115" s="161" t="n"/>
      <x:c r="AJ115" s="161" t="n"/>
      <x:c r="AK115" s="161" t="n"/>
      <x:c r="AL115" s="161" t="n"/>
      <x:c r="AM115" s="161" t="n"/>
      <x:c r="AN115" s="161" t="n"/>
      <x:c r="AO115" s="161" t="n"/>
      <x:c r="AP115" s="161" t="n"/>
      <x:c r="AQ115" s="161" t="n"/>
      <x:c r="AR115" s="161" t="n"/>
      <x:c r="AS115" s="161" t="n"/>
      <x:c r="AT115" s="161" t="n"/>
      <x:c r="AU115" s="161" t="n"/>
      <x:c r="AV115" s="161" t="n"/>
      <x:c r="AW115" s="161" t="n"/>
      <x:c r="AX115" s="161" t="n"/>
      <x:c r="AY115" s="161" t="n"/>
      <x:c r="AZ115" s="161" t="n"/>
    </x:row>
    <x:row r="116" ht="15" customHeight="1">
      <x:c r="A116" s="161" t="n"/>
      <x:c r="B116" s="161" t="n"/>
      <x:c r="C116" s="161" t="n"/>
      <x:c r="D116" s="161" t="n"/>
      <x:c r="E116" s="161" t="n"/>
      <x:c r="F116" s="161" t="n"/>
      <x:c r="G116" s="161" t="n"/>
      <x:c r="H116" s="161" t="n"/>
      <x:c r="I116" s="161" t="n"/>
      <x:c r="J116" s="161" t="n"/>
      <x:c r="K116" s="161" t="n"/>
      <x:c r="L116" s="161" t="n"/>
      <x:c r="M116" s="161" t="n"/>
      <x:c r="N116" s="161" t="n"/>
      <x:c r="O116" s="161" t="n"/>
      <x:c r="P116" s="161" t="n"/>
      <x:c r="Q116" s="161" t="n"/>
      <x:c r="R116" s="161" t="n"/>
      <x:c r="S116" s="161" t="n"/>
      <x:c r="T116" s="161" t="n"/>
      <x:c r="U116" s="161" t="n"/>
      <x:c r="V116" s="161" t="n"/>
      <x:c r="W116" s="161" t="n"/>
      <x:c r="X116" s="161" t="n"/>
      <x:c r="Y116" s="161" t="n"/>
      <x:c r="Z116" s="161" t="n"/>
      <x:c r="AA116" s="161" t="n"/>
      <x:c r="AB116" s="161" t="n"/>
      <x:c r="AC116" s="161" t="n"/>
      <x:c r="AD116" s="161" t="n"/>
      <x:c r="AE116" s="161" t="n"/>
      <x:c r="AF116" s="161" t="n"/>
      <x:c r="AG116" s="161" t="n"/>
      <x:c r="AH116" s="161" t="n"/>
      <x:c r="AI116" s="161" t="n"/>
      <x:c r="AJ116" s="161" t="n"/>
      <x:c r="AK116" s="161" t="n"/>
      <x:c r="AL116" s="161" t="n"/>
      <x:c r="AM116" s="161" t="n"/>
      <x:c r="AN116" s="161" t="n"/>
      <x:c r="AO116" s="161" t="n"/>
      <x:c r="AP116" s="161" t="n"/>
      <x:c r="AQ116" s="161" t="n"/>
      <x:c r="AR116" s="161" t="n"/>
      <x:c r="AS116" s="161" t="n"/>
      <x:c r="AT116" s="161" t="n"/>
      <x:c r="AU116" s="161" t="n"/>
      <x:c r="AV116" s="161" t="n"/>
      <x:c r="AW116" s="161" t="n"/>
      <x:c r="AX116" s="161" t="n"/>
      <x:c r="AY116" s="161" t="n"/>
      <x:c r="AZ116" s="161" t="n"/>
    </x:row>
    <x:row r="117" ht="15" customHeight="1">
      <x:c r="A117" s="161" t="n"/>
      <x:c r="B117" s="161" t="n"/>
      <x:c r="C117" s="161" t="n"/>
      <x:c r="D117" s="161" t="n"/>
      <x:c r="E117" s="161" t="n"/>
      <x:c r="F117" s="161" t="n"/>
      <x:c r="G117" s="161" t="n"/>
      <x:c r="H117" s="161" t="n"/>
      <x:c r="I117" s="161" t="n"/>
      <x:c r="J117" s="161" t="n"/>
      <x:c r="K117" s="161" t="n"/>
      <x:c r="L117" s="161" t="n"/>
      <x:c r="M117" s="161" t="n"/>
      <x:c r="N117" s="161" t="n"/>
      <x:c r="O117" s="161" t="n"/>
      <x:c r="P117" s="161" t="n"/>
      <x:c r="Q117" s="161" t="n"/>
      <x:c r="R117" s="161" t="n"/>
      <x:c r="S117" s="161" t="n"/>
      <x:c r="T117" s="161" t="n"/>
      <x:c r="U117" s="161" t="n"/>
      <x:c r="V117" s="161" t="n"/>
      <x:c r="W117" s="161" t="n"/>
      <x:c r="X117" s="161" t="n"/>
      <x:c r="Y117" s="161" t="n"/>
      <x:c r="Z117" s="161" t="n"/>
      <x:c r="AA117" s="161" t="n"/>
      <x:c r="AB117" s="161" t="n"/>
      <x:c r="AC117" s="161" t="n"/>
      <x:c r="AD117" s="161" t="n"/>
      <x:c r="AE117" s="161" t="n"/>
      <x:c r="AF117" s="161" t="n"/>
      <x:c r="AG117" s="161" t="n"/>
      <x:c r="AH117" s="161" t="n"/>
      <x:c r="AI117" s="161" t="n"/>
      <x:c r="AJ117" s="161" t="n"/>
      <x:c r="AK117" s="161" t="n"/>
      <x:c r="AL117" s="161" t="n"/>
      <x:c r="AM117" s="161" t="n"/>
      <x:c r="AN117" s="161" t="n"/>
      <x:c r="AO117" s="161" t="n"/>
      <x:c r="AP117" s="161" t="n"/>
      <x:c r="AQ117" s="161" t="n"/>
      <x:c r="AR117" s="161" t="n"/>
      <x:c r="AS117" s="161" t="n"/>
      <x:c r="AT117" s="161" t="n"/>
      <x:c r="AU117" s="161" t="n"/>
      <x:c r="AV117" s="161" t="n"/>
      <x:c r="AW117" s="161" t="n"/>
      <x:c r="AX117" s="161" t="n"/>
      <x:c r="AY117" s="161" t="n"/>
      <x:c r="AZ117" s="161" t="n"/>
    </x:row>
    <x:row r="118" ht="15" customHeight="1">
      <x:c r="A118" s="161" t="n"/>
      <x:c r="B118" s="161" t="n"/>
      <x:c r="C118" s="161" t="n"/>
      <x:c r="D118" s="161" t="n"/>
      <x:c r="E118" s="161" t="n"/>
      <x:c r="F118" s="161" t="n"/>
      <x:c r="G118" s="161" t="n"/>
      <x:c r="H118" s="161" t="n"/>
      <x:c r="I118" s="161" t="n"/>
      <x:c r="J118" s="161" t="n"/>
      <x:c r="K118" s="161" t="n"/>
      <x:c r="L118" s="161" t="n"/>
      <x:c r="M118" s="161" t="n"/>
      <x:c r="N118" s="161" t="n"/>
      <x:c r="O118" s="161" t="n"/>
      <x:c r="P118" s="161" t="n"/>
      <x:c r="Q118" s="161" t="n"/>
      <x:c r="R118" s="161" t="n"/>
      <x:c r="S118" s="161" t="n"/>
      <x:c r="T118" s="161" t="n"/>
      <x:c r="U118" s="161" t="n"/>
      <x:c r="V118" s="161" t="n"/>
      <x:c r="W118" s="161" t="n"/>
      <x:c r="X118" s="161" t="n"/>
      <x:c r="Y118" s="161" t="n"/>
      <x:c r="Z118" s="161" t="n"/>
      <x:c r="AA118" s="161" t="n"/>
      <x:c r="AB118" s="161" t="n"/>
      <x:c r="AC118" s="161" t="n"/>
      <x:c r="AD118" s="161" t="n"/>
      <x:c r="AE118" s="161" t="n"/>
      <x:c r="AF118" s="161" t="n"/>
      <x:c r="AG118" s="161" t="n"/>
      <x:c r="AH118" s="161" t="n"/>
      <x:c r="AI118" s="161" t="n"/>
      <x:c r="AJ118" s="161" t="n"/>
      <x:c r="AK118" s="161" t="n"/>
      <x:c r="AL118" s="161" t="n"/>
      <x:c r="AM118" s="161" t="n"/>
      <x:c r="AN118" s="161" t="n"/>
      <x:c r="AO118" s="161" t="n"/>
      <x:c r="AP118" s="161" t="n"/>
      <x:c r="AQ118" s="161" t="n"/>
      <x:c r="AR118" s="161" t="n"/>
      <x:c r="AS118" s="161" t="n"/>
      <x:c r="AT118" s="161" t="n"/>
      <x:c r="AU118" s="161" t="n"/>
      <x:c r="AV118" s="161" t="n"/>
      <x:c r="AW118" s="161" t="n"/>
      <x:c r="AX118" s="161" t="n"/>
      <x:c r="AY118" s="161" t="n"/>
      <x:c r="AZ118" s="161" t="n"/>
    </x:row>
    <x:row r="119" ht="15" customHeight="1">
      <x:c r="A119" s="161" t="n"/>
      <x:c r="B119" s="161" t="n"/>
      <x:c r="C119" s="161" t="n"/>
      <x:c r="D119" s="161" t="n"/>
      <x:c r="E119" s="161" t="n"/>
      <x:c r="F119" s="161" t="n"/>
      <x:c r="G119" s="161" t="n"/>
      <x:c r="H119" s="161" t="n"/>
      <x:c r="I119" s="161" t="n"/>
      <x:c r="J119" s="161" t="n"/>
      <x:c r="K119" s="161" t="n"/>
      <x:c r="L119" s="161" t="n"/>
      <x:c r="M119" s="161" t="n"/>
      <x:c r="N119" s="161" t="n"/>
      <x:c r="O119" s="161" t="n"/>
      <x:c r="P119" s="161" t="n"/>
      <x:c r="Q119" s="161" t="n"/>
      <x:c r="R119" s="161" t="n"/>
      <x:c r="S119" s="161" t="n"/>
      <x:c r="T119" s="161" t="n"/>
      <x:c r="U119" s="161" t="n"/>
      <x:c r="V119" s="161" t="n"/>
      <x:c r="W119" s="161" t="n"/>
      <x:c r="X119" s="161" t="n"/>
      <x:c r="Y119" s="161" t="n"/>
      <x:c r="Z119" s="161" t="n"/>
      <x:c r="AA119" s="161" t="n"/>
      <x:c r="AB119" s="161" t="n"/>
      <x:c r="AC119" s="161" t="n"/>
      <x:c r="AD119" s="161" t="n"/>
      <x:c r="AE119" s="161" t="n"/>
      <x:c r="AF119" s="161" t="n"/>
      <x:c r="AG119" s="161" t="n"/>
      <x:c r="AH119" s="161" t="n"/>
      <x:c r="AI119" s="161" t="n"/>
      <x:c r="AJ119" s="161" t="n"/>
      <x:c r="AK119" s="161" t="n"/>
      <x:c r="AL119" s="161" t="n"/>
      <x:c r="AM119" s="161" t="n"/>
      <x:c r="AN119" s="161" t="n"/>
      <x:c r="AO119" s="161" t="n"/>
      <x:c r="AP119" s="161" t="n"/>
      <x:c r="AQ119" s="161" t="n"/>
      <x:c r="AR119" s="161" t="n"/>
      <x:c r="AS119" s="161" t="n"/>
      <x:c r="AT119" s="161" t="n"/>
      <x:c r="AU119" s="161" t="n"/>
      <x:c r="AV119" s="161" t="n"/>
      <x:c r="AW119" s="161" t="n"/>
      <x:c r="AX119" s="161" t="n"/>
      <x:c r="AY119" s="161" t="n"/>
      <x:c r="AZ119" s="161" t="n"/>
    </x:row>
    <x:row r="120" ht="15" customHeight="1">
      <x:c r="A120" s="161" t="n"/>
      <x:c r="B120" s="161" t="n"/>
      <x:c r="C120" s="161" t="n"/>
      <x:c r="D120" s="161" t="n"/>
      <x:c r="E120" s="161" t="n"/>
      <x:c r="F120" s="161" t="n"/>
      <x:c r="G120" s="161" t="n"/>
      <x:c r="H120" s="161" t="n"/>
      <x:c r="I120" s="161" t="n"/>
      <x:c r="J120" s="161" t="n"/>
      <x:c r="K120" s="161" t="n"/>
      <x:c r="L120" s="161" t="n"/>
      <x:c r="M120" s="161" t="n"/>
      <x:c r="N120" s="161" t="n"/>
      <x:c r="O120" s="161" t="n"/>
      <x:c r="P120" s="161" t="n"/>
      <x:c r="Q120" s="161" t="n"/>
      <x:c r="R120" s="161" t="n"/>
      <x:c r="S120" s="161" t="n"/>
      <x:c r="T120" s="161" t="n"/>
      <x:c r="U120" s="161" t="n"/>
      <x:c r="V120" s="161" t="n"/>
      <x:c r="W120" s="161" t="n"/>
      <x:c r="X120" s="161" t="n"/>
      <x:c r="Y120" s="161" t="n"/>
      <x:c r="Z120" s="161" t="n"/>
      <x:c r="AA120" s="161" t="n"/>
      <x:c r="AB120" s="161" t="n"/>
      <x:c r="AC120" s="161" t="n"/>
      <x:c r="AD120" s="161" t="n"/>
      <x:c r="AE120" s="161" t="n"/>
      <x:c r="AF120" s="161" t="n"/>
      <x:c r="AG120" s="161" t="n"/>
      <x:c r="AH120" s="161" t="n"/>
      <x:c r="AI120" s="161" t="n"/>
      <x:c r="AJ120" s="161" t="n"/>
      <x:c r="AK120" s="161" t="n"/>
      <x:c r="AL120" s="161" t="n"/>
      <x:c r="AM120" s="161" t="n"/>
      <x:c r="AN120" s="161" t="n"/>
      <x:c r="AO120" s="161" t="n"/>
      <x:c r="AP120" s="161" t="n"/>
      <x:c r="AQ120" s="161" t="n"/>
      <x:c r="AR120" s="161" t="n"/>
      <x:c r="AS120" s="161" t="n"/>
      <x:c r="AT120" s="161" t="n"/>
      <x:c r="AU120" s="161" t="n"/>
      <x:c r="AV120" s="161" t="n"/>
      <x:c r="AW120" s="161" t="n"/>
      <x:c r="AX120" s="161" t="n"/>
      <x:c r="AY120" s="161" t="n"/>
      <x:c r="AZ120" s="161" t="n"/>
    </x:row>
    <x:row r="121" ht="15" customHeight="1">
      <x:c r="A121" s="161" t="n"/>
      <x:c r="B121" s="161" t="n"/>
      <x:c r="C121" s="161" t="n"/>
      <x:c r="D121" s="161" t="n"/>
      <x:c r="E121" s="161" t="n"/>
      <x:c r="F121" s="161" t="n"/>
      <x:c r="G121" s="161" t="n"/>
      <x:c r="H121" s="161" t="n"/>
      <x:c r="I121" s="161" t="n"/>
      <x:c r="J121" s="161" t="n"/>
      <x:c r="K121" s="161" t="n"/>
      <x:c r="L121" s="161" t="n"/>
      <x:c r="M121" s="161" t="n"/>
      <x:c r="N121" s="161" t="n"/>
      <x:c r="O121" s="161" t="n"/>
      <x:c r="P121" s="161" t="n"/>
      <x:c r="Q121" s="161" t="n"/>
      <x:c r="R121" s="161" t="n"/>
      <x:c r="S121" s="161" t="n"/>
      <x:c r="T121" s="161" t="n"/>
      <x:c r="U121" s="161" t="n"/>
      <x:c r="V121" s="161" t="n"/>
      <x:c r="W121" s="161" t="n"/>
      <x:c r="X121" s="161" t="n"/>
      <x:c r="Y121" s="161" t="n"/>
      <x:c r="Z121" s="161" t="n"/>
      <x:c r="AA121" s="161" t="n"/>
      <x:c r="AB121" s="161" t="n"/>
      <x:c r="AC121" s="161" t="n"/>
      <x:c r="AD121" s="161" t="n"/>
      <x:c r="AE121" s="161" t="n"/>
      <x:c r="AF121" s="161" t="n"/>
      <x:c r="AG121" s="161" t="n"/>
      <x:c r="AH121" s="161" t="n"/>
      <x:c r="AI121" s="161" t="n"/>
      <x:c r="AJ121" s="161" t="n"/>
      <x:c r="AK121" s="161" t="n"/>
      <x:c r="AL121" s="161" t="n"/>
      <x:c r="AM121" s="161" t="n"/>
      <x:c r="AN121" s="161" t="n"/>
      <x:c r="AO121" s="161" t="n"/>
      <x:c r="AP121" s="161" t="n"/>
      <x:c r="AQ121" s="161" t="n"/>
      <x:c r="AR121" s="161" t="n"/>
      <x:c r="AS121" s="161" t="n"/>
      <x:c r="AT121" s="161" t="n"/>
      <x:c r="AU121" s="161" t="n"/>
      <x:c r="AV121" s="161" t="n"/>
      <x:c r="AW121" s="161" t="n"/>
      <x:c r="AX121" s="161" t="n"/>
      <x:c r="AY121" s="161" t="n"/>
      <x:c r="AZ121" s="161" t="n"/>
    </x:row>
    <x:row r="122" ht="15" customHeight="1">
      <x:c r="A122" s="161" t="n"/>
      <x:c r="B122" s="161" t="n"/>
      <x:c r="C122" s="161" t="n"/>
      <x:c r="D122" s="161" t="n"/>
      <x:c r="E122" s="161" t="n"/>
      <x:c r="F122" s="161" t="n"/>
      <x:c r="G122" s="161" t="n"/>
      <x:c r="H122" s="161" t="n"/>
      <x:c r="I122" s="161" t="n"/>
      <x:c r="J122" s="161" t="n"/>
      <x:c r="K122" s="161" t="n"/>
      <x:c r="L122" s="161" t="n"/>
      <x:c r="M122" s="161" t="n"/>
      <x:c r="N122" s="161" t="n"/>
      <x:c r="O122" s="161" t="n"/>
      <x:c r="P122" s="161" t="n"/>
      <x:c r="Q122" s="161" t="n"/>
      <x:c r="R122" s="161" t="n"/>
      <x:c r="S122" s="161" t="n"/>
      <x:c r="T122" s="161" t="n"/>
      <x:c r="U122" s="161" t="n"/>
      <x:c r="V122" s="161" t="n"/>
      <x:c r="W122" s="161" t="n"/>
      <x:c r="X122" s="161" t="n"/>
      <x:c r="Y122" s="161" t="n"/>
      <x:c r="Z122" s="161" t="n"/>
      <x:c r="AA122" s="161" t="n"/>
      <x:c r="AB122" s="161" t="n"/>
      <x:c r="AC122" s="161" t="n"/>
      <x:c r="AD122" s="161" t="n"/>
      <x:c r="AE122" s="161" t="n"/>
      <x:c r="AF122" s="161" t="n"/>
      <x:c r="AG122" s="161" t="n"/>
      <x:c r="AH122" s="161" t="n"/>
      <x:c r="AI122" s="161" t="n"/>
      <x:c r="AJ122" s="161" t="n"/>
      <x:c r="AK122" s="161" t="n"/>
      <x:c r="AL122" s="161" t="n"/>
      <x:c r="AM122" s="161" t="n"/>
      <x:c r="AN122" s="161" t="n"/>
      <x:c r="AO122" s="161" t="n"/>
      <x:c r="AP122" s="161" t="n"/>
      <x:c r="AQ122" s="161" t="n"/>
      <x:c r="AR122" s="161" t="n"/>
      <x:c r="AS122" s="161" t="n"/>
      <x:c r="AT122" s="161" t="n"/>
      <x:c r="AU122" s="161" t="n"/>
      <x:c r="AV122" s="161" t="n"/>
      <x:c r="AW122" s="161" t="n"/>
      <x:c r="AX122" s="161" t="n"/>
      <x:c r="AY122" s="161" t="n"/>
      <x:c r="AZ122" s="161" t="n"/>
    </x:row>
    <x:row r="123" ht="15" customHeight="1">
      <x:c r="A123" s="161" t="n"/>
      <x:c r="B123" s="161" t="n"/>
      <x:c r="C123" s="161" t="n"/>
      <x:c r="D123" s="161" t="n"/>
      <x:c r="E123" s="161" t="n"/>
      <x:c r="F123" s="161" t="n"/>
      <x:c r="G123" s="161" t="n"/>
      <x:c r="H123" s="161" t="n"/>
      <x:c r="I123" s="161" t="n"/>
      <x:c r="J123" s="161" t="n"/>
      <x:c r="K123" s="161" t="n"/>
      <x:c r="L123" s="161" t="n"/>
      <x:c r="M123" s="161" t="n"/>
      <x:c r="N123" s="161" t="n"/>
      <x:c r="O123" s="161" t="n"/>
      <x:c r="P123" s="161" t="n"/>
      <x:c r="Q123" s="161" t="n"/>
      <x:c r="R123" s="161" t="n"/>
      <x:c r="S123" s="161" t="n"/>
      <x:c r="T123" s="161" t="n"/>
      <x:c r="U123" s="161" t="n"/>
      <x:c r="V123" s="161" t="n"/>
      <x:c r="W123" s="161" t="n"/>
      <x:c r="X123" s="161" t="n"/>
      <x:c r="Y123" s="161" t="n"/>
      <x:c r="Z123" s="161" t="n"/>
      <x:c r="AA123" s="161" t="n"/>
      <x:c r="AB123" s="161" t="n"/>
      <x:c r="AC123" s="161" t="n"/>
      <x:c r="AD123" s="161" t="n"/>
      <x:c r="AE123" s="161" t="n"/>
      <x:c r="AF123" s="161" t="n"/>
      <x:c r="AG123" s="161" t="n"/>
      <x:c r="AH123" s="161" t="n"/>
      <x:c r="AI123" s="161" t="n"/>
      <x:c r="AJ123" s="161" t="n"/>
      <x:c r="AK123" s="161" t="n"/>
      <x:c r="AL123" s="161" t="n"/>
      <x:c r="AM123" s="161" t="n"/>
      <x:c r="AN123" s="161" t="n"/>
      <x:c r="AO123" s="161" t="n"/>
      <x:c r="AP123" s="161" t="n"/>
      <x:c r="AQ123" s="161" t="n"/>
      <x:c r="AR123" s="161" t="n"/>
      <x:c r="AS123" s="161" t="n"/>
      <x:c r="AT123" s="161" t="n"/>
      <x:c r="AU123" s="161" t="n"/>
      <x:c r="AV123" s="161" t="n"/>
      <x:c r="AW123" s="161" t="n"/>
      <x:c r="AX123" s="161" t="n"/>
      <x:c r="AY123" s="161" t="n"/>
      <x:c r="AZ123" s="161" t="n"/>
    </x:row>
    <x:row r="124" ht="15" customHeight="1">
      <x:c r="A124" s="161" t="n"/>
      <x:c r="B124" s="161" t="n"/>
      <x:c r="C124" s="161" t="n"/>
      <x:c r="D124" s="161" t="n"/>
      <x:c r="E124" s="161" t="n"/>
      <x:c r="F124" s="161" t="n"/>
      <x:c r="G124" s="161" t="n"/>
      <x:c r="H124" s="161" t="n"/>
      <x:c r="I124" s="161" t="n"/>
      <x:c r="J124" s="161" t="n"/>
      <x:c r="K124" s="161" t="n"/>
      <x:c r="L124" s="161" t="n"/>
      <x:c r="M124" s="161" t="n"/>
      <x:c r="N124" s="161" t="n"/>
      <x:c r="O124" s="161" t="n"/>
      <x:c r="P124" s="161" t="n"/>
      <x:c r="Q124" s="161" t="n"/>
      <x:c r="R124" s="161" t="n"/>
      <x:c r="S124" s="161" t="n"/>
      <x:c r="T124" s="161" t="n"/>
      <x:c r="U124" s="161" t="n"/>
      <x:c r="V124" s="161" t="n"/>
      <x:c r="W124" s="161" t="n"/>
      <x:c r="X124" s="161" t="n"/>
      <x:c r="Y124" s="161" t="n"/>
      <x:c r="Z124" s="161" t="n"/>
      <x:c r="AA124" s="161" t="n"/>
      <x:c r="AB124" s="161" t="n"/>
      <x:c r="AC124" s="161" t="n"/>
      <x:c r="AD124" s="161" t="n"/>
      <x:c r="AE124" s="161" t="n"/>
      <x:c r="AF124" s="161" t="n"/>
      <x:c r="AG124" s="161" t="n"/>
      <x:c r="AH124" s="161" t="n"/>
      <x:c r="AI124" s="161" t="n"/>
      <x:c r="AJ124" s="161" t="n"/>
      <x:c r="AK124" s="161" t="n"/>
      <x:c r="AL124" s="161" t="n"/>
      <x:c r="AM124" s="161" t="n"/>
      <x:c r="AN124" s="161" t="n"/>
      <x:c r="AO124" s="161" t="n"/>
      <x:c r="AP124" s="161" t="n"/>
      <x:c r="AQ124" s="161" t="n"/>
      <x:c r="AR124" s="161" t="n"/>
      <x:c r="AS124" s="161" t="n"/>
      <x:c r="AT124" s="161" t="n"/>
      <x:c r="AU124" s="161" t="n"/>
      <x:c r="AV124" s="161" t="n"/>
      <x:c r="AW124" s="161" t="n"/>
      <x:c r="AX124" s="161" t="n"/>
      <x:c r="AY124" s="161" t="n"/>
      <x:c r="AZ124" s="161" t="n"/>
    </x:row>
    <x:row r="125" ht="15" customHeight="1">
      <x:c r="A125" s="161" t="n"/>
      <x:c r="B125" s="161" t="n"/>
      <x:c r="C125" s="161" t="n"/>
      <x:c r="D125" s="161" t="n"/>
      <x:c r="E125" s="161" t="n"/>
      <x:c r="F125" s="161" t="n"/>
      <x:c r="G125" s="161" t="n"/>
      <x:c r="H125" s="161" t="n"/>
      <x:c r="I125" s="161" t="n"/>
      <x:c r="J125" s="161" t="n"/>
      <x:c r="K125" s="161" t="n"/>
      <x:c r="L125" s="161" t="n"/>
      <x:c r="M125" s="161" t="n"/>
      <x:c r="N125" s="161" t="n"/>
      <x:c r="O125" s="161" t="n"/>
      <x:c r="P125" s="161" t="n"/>
      <x:c r="Q125" s="161" t="n"/>
      <x:c r="R125" s="161" t="n"/>
      <x:c r="S125" s="161" t="n"/>
      <x:c r="T125" s="161" t="n"/>
      <x:c r="U125" s="161" t="n"/>
      <x:c r="V125" s="161" t="n"/>
      <x:c r="W125" s="161" t="n"/>
      <x:c r="X125" s="161" t="n"/>
      <x:c r="Y125" s="161" t="n"/>
      <x:c r="Z125" s="161" t="n"/>
      <x:c r="AA125" s="161" t="n"/>
      <x:c r="AB125" s="161" t="n"/>
      <x:c r="AC125" s="161" t="n"/>
      <x:c r="AD125" s="161" t="n"/>
      <x:c r="AE125" s="161" t="n"/>
      <x:c r="AF125" s="161" t="n"/>
      <x:c r="AG125" s="161" t="n"/>
      <x:c r="AH125" s="161" t="n"/>
      <x:c r="AI125" s="161" t="n"/>
      <x:c r="AJ125" s="161" t="n"/>
      <x:c r="AK125" s="161" t="n"/>
      <x:c r="AL125" s="161" t="n"/>
      <x:c r="AM125" s="161" t="n"/>
      <x:c r="AN125" s="161" t="n"/>
      <x:c r="AO125" s="161" t="n"/>
      <x:c r="AP125" s="161" t="n"/>
      <x:c r="AQ125" s="161" t="n"/>
      <x:c r="AR125" s="161" t="n"/>
      <x:c r="AS125" s="161" t="n"/>
      <x:c r="AT125" s="161" t="n"/>
      <x:c r="AU125" s="161" t="n"/>
      <x:c r="AV125" s="161" t="n"/>
      <x:c r="AW125" s="161" t="n"/>
      <x:c r="AX125" s="161" t="n"/>
      <x:c r="AY125" s="161" t="n"/>
      <x:c r="AZ125" s="161" t="n"/>
    </x:row>
    <x:row r="126" ht="15" customHeight="1">
      <x:c r="A126" s="161" t="n"/>
      <x:c r="B126" s="161" t="n"/>
      <x:c r="C126" s="161" t="n"/>
      <x:c r="D126" s="161" t="n"/>
      <x:c r="E126" s="161" t="n"/>
      <x:c r="F126" s="161" t="n"/>
      <x:c r="G126" s="161" t="n"/>
      <x:c r="H126" s="161" t="n"/>
      <x:c r="I126" s="161" t="n"/>
      <x:c r="J126" s="161" t="n"/>
      <x:c r="K126" s="161" t="n"/>
      <x:c r="L126" s="161" t="n"/>
      <x:c r="M126" s="161" t="n"/>
      <x:c r="N126" s="161" t="n"/>
      <x:c r="O126" s="161" t="n"/>
      <x:c r="P126" s="161" t="n"/>
      <x:c r="Q126" s="161" t="n"/>
      <x:c r="R126" s="161" t="n"/>
      <x:c r="S126" s="161" t="n"/>
      <x:c r="T126" s="161" t="n"/>
      <x:c r="U126" s="161" t="n"/>
      <x:c r="V126" s="161" t="n"/>
      <x:c r="W126" s="161" t="n"/>
      <x:c r="X126" s="161" t="n"/>
      <x:c r="Y126" s="161" t="n"/>
      <x:c r="Z126" s="161" t="n"/>
      <x:c r="AA126" s="161" t="n"/>
      <x:c r="AB126" s="161" t="n"/>
      <x:c r="AC126" s="161" t="n"/>
      <x:c r="AD126" s="161" t="n"/>
      <x:c r="AE126" s="161" t="n"/>
      <x:c r="AF126" s="161" t="n"/>
      <x:c r="AG126" s="161" t="n"/>
      <x:c r="AH126" s="161" t="n"/>
      <x:c r="AI126" s="161" t="n"/>
      <x:c r="AJ126" s="161" t="n"/>
      <x:c r="AK126" s="161" t="n"/>
      <x:c r="AL126" s="161" t="n"/>
      <x:c r="AM126" s="161" t="n"/>
      <x:c r="AN126" s="161" t="n"/>
      <x:c r="AO126" s="161" t="n"/>
      <x:c r="AP126" s="161" t="n"/>
      <x:c r="AQ126" s="161" t="n"/>
      <x:c r="AR126" s="161" t="n"/>
      <x:c r="AS126" s="161" t="n"/>
      <x:c r="AT126" s="161" t="n"/>
      <x:c r="AU126" s="161" t="n"/>
      <x:c r="AV126" s="161" t="n"/>
      <x:c r="AW126" s="161" t="n"/>
      <x:c r="AX126" s="161" t="n"/>
      <x:c r="AY126" s="161" t="n"/>
      <x:c r="AZ126" s="161" t="n"/>
    </x:row>
    <x:row r="127" ht="15" customHeight="1">
      <x:c r="A127" s="161" t="n"/>
      <x:c r="B127" s="161" t="n"/>
      <x:c r="C127" s="161" t="n"/>
      <x:c r="D127" s="161" t="n"/>
      <x:c r="E127" s="161" t="n"/>
      <x:c r="F127" s="161" t="n"/>
      <x:c r="G127" s="161" t="n"/>
      <x:c r="H127" s="161" t="n"/>
      <x:c r="I127" s="161" t="n"/>
      <x:c r="J127" s="161" t="n"/>
      <x:c r="K127" s="161" t="n"/>
      <x:c r="L127" s="161" t="n"/>
      <x:c r="M127" s="161" t="n"/>
      <x:c r="N127" s="161" t="n"/>
      <x:c r="O127" s="161" t="n"/>
      <x:c r="P127" s="161" t="n"/>
      <x:c r="Q127" s="161" t="n"/>
      <x:c r="R127" s="161" t="n"/>
      <x:c r="S127" s="161" t="n"/>
      <x:c r="T127" s="161" t="n"/>
      <x:c r="U127" s="161" t="n"/>
      <x:c r="V127" s="161" t="n"/>
      <x:c r="W127" s="161" t="n"/>
      <x:c r="X127" s="161" t="n"/>
      <x:c r="Y127" s="161" t="n"/>
      <x:c r="Z127" s="161" t="n"/>
      <x:c r="AA127" s="161" t="n"/>
      <x:c r="AB127" s="161" t="n"/>
      <x:c r="AC127" s="161" t="n"/>
      <x:c r="AD127" s="161" t="n"/>
      <x:c r="AE127" s="161" t="n"/>
      <x:c r="AF127" s="161" t="n"/>
      <x:c r="AG127" s="161" t="n"/>
      <x:c r="AH127" s="161" t="n"/>
      <x:c r="AI127" s="161" t="n"/>
      <x:c r="AJ127" s="161" t="n"/>
      <x:c r="AK127" s="161" t="n"/>
      <x:c r="AL127" s="161" t="n"/>
      <x:c r="AM127" s="161" t="n"/>
      <x:c r="AN127" s="161" t="n"/>
      <x:c r="AO127" s="161" t="n"/>
      <x:c r="AP127" s="161" t="n"/>
      <x:c r="AQ127" s="161" t="n"/>
      <x:c r="AR127" s="161" t="n"/>
      <x:c r="AS127" s="161" t="n"/>
      <x:c r="AT127" s="161" t="n"/>
      <x:c r="AU127" s="161" t="n"/>
      <x:c r="AV127" s="161" t="n"/>
      <x:c r="AW127" s="161" t="n"/>
      <x:c r="AX127" s="161" t="n"/>
      <x:c r="AY127" s="161" t="n"/>
      <x:c r="AZ127" s="161" t="n"/>
    </x:row>
    <x:row r="128" ht="15" customHeight="1">
      <x:c r="A128" s="161" t="n"/>
      <x:c r="B128" s="161" t="n"/>
      <x:c r="C128" s="161" t="n"/>
      <x:c r="D128" s="161" t="n"/>
      <x:c r="E128" s="161" t="n"/>
      <x:c r="F128" s="161" t="n"/>
      <x:c r="G128" s="161" t="n"/>
      <x:c r="H128" s="161" t="n"/>
      <x:c r="I128" s="161" t="n"/>
      <x:c r="J128" s="161" t="n"/>
      <x:c r="K128" s="161" t="n"/>
      <x:c r="L128" s="161" t="n"/>
      <x:c r="M128" s="161" t="n"/>
      <x:c r="N128" s="161" t="n"/>
      <x:c r="O128" s="161" t="n"/>
      <x:c r="P128" s="161" t="n"/>
      <x:c r="Q128" s="161" t="n"/>
      <x:c r="R128" s="161" t="n"/>
      <x:c r="S128" s="161" t="n"/>
      <x:c r="T128" s="161" t="n"/>
      <x:c r="U128" s="161" t="n"/>
      <x:c r="V128" s="161" t="n"/>
      <x:c r="W128" s="161" t="n"/>
      <x:c r="X128" s="161" t="n"/>
      <x:c r="Y128" s="161" t="n"/>
      <x:c r="Z128" s="161" t="n"/>
      <x:c r="AA128" s="161" t="n"/>
      <x:c r="AB128" s="161" t="n"/>
      <x:c r="AC128" s="161" t="n"/>
      <x:c r="AD128" s="161" t="n"/>
      <x:c r="AE128" s="161" t="n"/>
      <x:c r="AF128" s="161" t="n"/>
      <x:c r="AG128" s="161" t="n"/>
      <x:c r="AH128" s="161" t="n"/>
      <x:c r="AI128" s="161" t="n"/>
      <x:c r="AJ128" s="161" t="n"/>
      <x:c r="AK128" s="161" t="n"/>
      <x:c r="AL128" s="161" t="n"/>
      <x:c r="AM128" s="161" t="n"/>
      <x:c r="AN128" s="161" t="n"/>
      <x:c r="AO128" s="161" t="n"/>
      <x:c r="AP128" s="161" t="n"/>
      <x:c r="AQ128" s="161" t="n"/>
      <x:c r="AR128" s="161" t="n"/>
      <x:c r="AS128" s="161" t="n"/>
      <x:c r="AT128" s="161" t="n"/>
      <x:c r="AU128" s="161" t="n"/>
      <x:c r="AV128" s="161" t="n"/>
      <x:c r="AW128" s="161" t="n"/>
      <x:c r="AX128" s="161" t="n"/>
      <x:c r="AY128" s="161" t="n"/>
      <x:c r="AZ128" s="161" t="n"/>
    </x:row>
    <x:row r="129" ht="15" customHeight="1">
      <x:c r="A129" s="161" t="n"/>
      <x:c r="B129" s="161" t="n"/>
      <x:c r="C129" s="161" t="n"/>
      <x:c r="D129" s="161" t="n"/>
      <x:c r="E129" s="161" t="n"/>
      <x:c r="F129" s="161" t="n"/>
      <x:c r="G129" s="161" t="n"/>
      <x:c r="H129" s="161" t="n"/>
      <x:c r="I129" s="161" t="n"/>
      <x:c r="J129" s="161" t="n"/>
      <x:c r="K129" s="161" t="n"/>
      <x:c r="L129" s="161" t="n"/>
      <x:c r="M129" s="161" t="n"/>
      <x:c r="N129" s="161" t="n"/>
      <x:c r="O129" s="161" t="n"/>
      <x:c r="P129" s="161" t="n"/>
      <x:c r="Q129" s="161" t="n"/>
      <x:c r="R129" s="161" t="n"/>
      <x:c r="S129" s="161" t="n"/>
      <x:c r="T129" s="161" t="n"/>
      <x:c r="U129" s="161" t="n"/>
      <x:c r="V129" s="161" t="n"/>
      <x:c r="W129" s="161" t="n"/>
      <x:c r="X129" s="161" t="n"/>
      <x:c r="Y129" s="161" t="n"/>
      <x:c r="Z129" s="161" t="n"/>
      <x:c r="AA129" s="161" t="n"/>
      <x:c r="AB129" s="161" t="n"/>
      <x:c r="AC129" s="161" t="n"/>
      <x:c r="AD129" s="161" t="n"/>
      <x:c r="AE129" s="161" t="n"/>
      <x:c r="AF129" s="161" t="n"/>
      <x:c r="AG129" s="161" t="n"/>
      <x:c r="AH129" s="161" t="n"/>
      <x:c r="AI129" s="161" t="n"/>
      <x:c r="AJ129" s="161" t="n"/>
      <x:c r="AK129" s="161" t="n"/>
      <x:c r="AL129" s="161" t="n"/>
      <x:c r="AM129" s="161" t="n"/>
      <x:c r="AN129" s="161" t="n"/>
      <x:c r="AO129" s="161" t="n"/>
      <x:c r="AP129" s="161" t="n"/>
      <x:c r="AQ129" s="161" t="n"/>
      <x:c r="AR129" s="161" t="n"/>
      <x:c r="AS129" s="161" t="n"/>
      <x:c r="AT129" s="161" t="n"/>
      <x:c r="AU129" s="161" t="n"/>
      <x:c r="AV129" s="161" t="n"/>
      <x:c r="AW129" s="161" t="n"/>
      <x:c r="AX129" s="161" t="n"/>
      <x:c r="AY129" s="161" t="n"/>
      <x:c r="AZ129" s="161" t="n"/>
    </x:row>
    <x:row r="130" ht="15" customHeight="1">
      <x:c r="A130" s="161" t="n"/>
      <x:c r="B130" s="161" t="n"/>
      <x:c r="C130" s="161" t="n"/>
      <x:c r="D130" s="161" t="n"/>
      <x:c r="E130" s="161" t="n"/>
      <x:c r="F130" s="161" t="n"/>
      <x:c r="G130" s="161" t="n"/>
      <x:c r="H130" s="161" t="n"/>
      <x:c r="I130" s="161" t="n"/>
      <x:c r="J130" s="161" t="n"/>
      <x:c r="K130" s="161" t="n"/>
      <x:c r="L130" s="161" t="n"/>
      <x:c r="M130" s="161" t="n"/>
      <x:c r="N130" s="161" t="n"/>
      <x:c r="O130" s="161" t="n"/>
      <x:c r="P130" s="161" t="n"/>
      <x:c r="Q130" s="161" t="n"/>
      <x:c r="R130" s="161" t="n"/>
      <x:c r="S130" s="161" t="n"/>
      <x:c r="T130" s="161" t="n"/>
      <x:c r="U130" s="161" t="n"/>
      <x:c r="V130" s="161" t="n"/>
      <x:c r="W130" s="161" t="n"/>
      <x:c r="X130" s="161" t="n"/>
      <x:c r="Y130" s="161" t="n"/>
      <x:c r="Z130" s="161" t="n"/>
      <x:c r="AA130" s="161" t="n"/>
      <x:c r="AB130" s="161" t="n"/>
      <x:c r="AC130" s="161" t="n"/>
      <x:c r="AD130" s="161" t="n"/>
      <x:c r="AE130" s="161" t="n"/>
      <x:c r="AF130" s="161" t="n"/>
      <x:c r="AG130" s="161" t="n"/>
      <x:c r="AH130" s="161" t="n"/>
      <x:c r="AI130" s="161" t="n"/>
      <x:c r="AJ130" s="161" t="n"/>
      <x:c r="AK130" s="161" t="n"/>
      <x:c r="AL130" s="161" t="n"/>
      <x:c r="AM130" s="161" t="n"/>
      <x:c r="AN130" s="161" t="n"/>
      <x:c r="AO130" s="161" t="n"/>
      <x:c r="AP130" s="161" t="n"/>
      <x:c r="AQ130" s="161" t="n"/>
      <x:c r="AR130" s="161" t="n"/>
      <x:c r="AS130" s="161" t="n"/>
      <x:c r="AT130" s="161" t="n"/>
      <x:c r="AU130" s="161" t="n"/>
      <x:c r="AV130" s="161" t="n"/>
      <x:c r="AW130" s="161" t="n"/>
      <x:c r="AX130" s="161" t="n"/>
      <x:c r="AY130" s="161" t="n"/>
      <x:c r="AZ130" s="161" t="n"/>
    </x:row>
    <x:row r="131" ht="15" customHeight="1">
      <x:c r="A131" s="161" t="n"/>
      <x:c r="B131" s="161" t="n"/>
      <x:c r="C131" s="161" t="n"/>
      <x:c r="D131" s="161" t="n"/>
      <x:c r="E131" s="161" t="n"/>
      <x:c r="F131" s="161" t="n"/>
      <x:c r="G131" s="161" t="n"/>
      <x:c r="H131" s="161" t="n"/>
      <x:c r="I131" s="161" t="n"/>
      <x:c r="J131" s="161" t="n"/>
      <x:c r="K131" s="161" t="n"/>
      <x:c r="L131" s="161" t="n"/>
      <x:c r="M131" s="161" t="n"/>
      <x:c r="N131" s="161" t="n"/>
      <x:c r="O131" s="161" t="n"/>
      <x:c r="P131" s="161" t="n"/>
      <x:c r="Q131" s="161" t="n"/>
      <x:c r="R131" s="161" t="n"/>
      <x:c r="S131" s="161" t="n"/>
      <x:c r="T131" s="161" t="n"/>
      <x:c r="U131" s="161" t="n"/>
      <x:c r="V131" s="161" t="n"/>
      <x:c r="W131" s="161" t="n"/>
      <x:c r="X131" s="161" t="n"/>
      <x:c r="Y131" s="161" t="n"/>
      <x:c r="Z131" s="161" t="n"/>
      <x:c r="AA131" s="161" t="n"/>
      <x:c r="AB131" s="161" t="n"/>
      <x:c r="AC131" s="161" t="n"/>
      <x:c r="AD131" s="161" t="n"/>
      <x:c r="AE131" s="161" t="n"/>
      <x:c r="AF131" s="161" t="n"/>
      <x:c r="AG131" s="161" t="n"/>
      <x:c r="AH131" s="161" t="n"/>
      <x:c r="AI131" s="161" t="n"/>
      <x:c r="AJ131" s="161" t="n"/>
      <x:c r="AK131" s="161" t="n"/>
      <x:c r="AL131" s="161" t="n"/>
      <x:c r="AM131" s="161" t="n"/>
      <x:c r="AN131" s="161" t="n"/>
      <x:c r="AO131" s="161" t="n"/>
      <x:c r="AP131" s="161" t="n"/>
      <x:c r="AQ131" s="161" t="n"/>
      <x:c r="AR131" s="161" t="n"/>
      <x:c r="AS131" s="161" t="n"/>
      <x:c r="AT131" s="161" t="n"/>
      <x:c r="AU131" s="161" t="n"/>
      <x:c r="AV131" s="161" t="n"/>
      <x:c r="AW131" s="161" t="n"/>
      <x:c r="AX131" s="161" t="n"/>
      <x:c r="AY131" s="161" t="n"/>
      <x:c r="AZ131" s="161" t="n"/>
    </x:row>
    <x:row r="132" ht="15" customHeight="1">
      <x:c r="A132" s="161" t="n"/>
      <x:c r="B132" s="161" t="n"/>
      <x:c r="C132" s="161" t="n"/>
      <x:c r="D132" s="161" t="n"/>
      <x:c r="E132" s="161" t="n"/>
      <x:c r="F132" s="161" t="n"/>
      <x:c r="G132" s="161" t="n"/>
      <x:c r="H132" s="161" t="n"/>
      <x:c r="I132" s="161" t="n"/>
      <x:c r="J132" s="161" t="n"/>
      <x:c r="K132" s="161" t="n"/>
      <x:c r="L132" s="161" t="n"/>
      <x:c r="M132" s="161" t="n"/>
      <x:c r="N132" s="161" t="n"/>
      <x:c r="O132" s="161" t="n"/>
      <x:c r="P132" s="161" t="n"/>
      <x:c r="Q132" s="161" t="n"/>
      <x:c r="R132" s="161" t="n"/>
      <x:c r="S132" s="161" t="n"/>
      <x:c r="T132" s="161" t="n"/>
      <x:c r="U132" s="161" t="n"/>
      <x:c r="V132" s="161" t="n"/>
      <x:c r="W132" s="161" t="n"/>
      <x:c r="X132" s="161" t="n"/>
      <x:c r="Y132" s="161" t="n"/>
      <x:c r="Z132" s="161" t="n"/>
      <x:c r="AA132" s="161" t="n"/>
      <x:c r="AB132" s="161" t="n"/>
      <x:c r="AC132" s="161" t="n"/>
      <x:c r="AD132" s="161" t="n"/>
      <x:c r="AE132" s="161" t="n"/>
      <x:c r="AF132" s="161" t="n"/>
      <x:c r="AG132" s="161" t="n"/>
      <x:c r="AH132" s="161" t="n"/>
      <x:c r="AI132" s="161" t="n"/>
      <x:c r="AJ132" s="161" t="n"/>
      <x:c r="AK132" s="161" t="n"/>
      <x:c r="AL132" s="161" t="n"/>
      <x:c r="AM132" s="161" t="n"/>
      <x:c r="AN132" s="161" t="n"/>
      <x:c r="AO132" s="161" t="n"/>
      <x:c r="AP132" s="161" t="n"/>
      <x:c r="AQ132" s="161" t="n"/>
      <x:c r="AR132" s="161" t="n"/>
      <x:c r="AS132" s="161" t="n"/>
      <x:c r="AT132" s="161" t="n"/>
      <x:c r="AU132" s="161" t="n"/>
      <x:c r="AV132" s="161" t="n"/>
      <x:c r="AW132" s="161" t="n"/>
      <x:c r="AX132" s="161" t="n"/>
      <x:c r="AY132" s="161" t="n"/>
      <x:c r="AZ132" s="161" t="n"/>
    </x:row>
    <x:row r="133" ht="15" customHeight="1">
      <x:c r="A133" s="161" t="n"/>
      <x:c r="B133" s="161" t="n"/>
      <x:c r="C133" s="161" t="n"/>
      <x:c r="D133" s="161" t="n"/>
      <x:c r="E133" s="161" t="n"/>
      <x:c r="F133" s="161" t="n"/>
      <x:c r="G133" s="161" t="n"/>
      <x:c r="H133" s="161" t="n"/>
      <x:c r="I133" s="161" t="n"/>
      <x:c r="J133" s="161" t="n"/>
      <x:c r="K133" s="161" t="n"/>
      <x:c r="L133" s="161" t="n"/>
      <x:c r="M133" s="161" t="n"/>
      <x:c r="N133" s="161" t="n"/>
      <x:c r="O133" s="161" t="n"/>
      <x:c r="P133" s="161" t="n"/>
      <x:c r="Q133" s="161" t="n"/>
      <x:c r="R133" s="161" t="n"/>
      <x:c r="S133" s="161" t="n"/>
      <x:c r="T133" s="161" t="n"/>
      <x:c r="U133" s="161" t="n"/>
      <x:c r="V133" s="161" t="n"/>
      <x:c r="W133" s="161" t="n"/>
      <x:c r="X133" s="161" t="n"/>
      <x:c r="Y133" s="161" t="n"/>
      <x:c r="Z133" s="161" t="n"/>
      <x:c r="AA133" s="161" t="n"/>
      <x:c r="AB133" s="161" t="n"/>
      <x:c r="AC133" s="161" t="n"/>
      <x:c r="AD133" s="161" t="n"/>
      <x:c r="AE133" s="161" t="n"/>
      <x:c r="AF133" s="161" t="n"/>
      <x:c r="AG133" s="161" t="n"/>
      <x:c r="AH133" s="161" t="n"/>
      <x:c r="AI133" s="161" t="n"/>
      <x:c r="AJ133" s="161" t="n"/>
      <x:c r="AK133" s="161" t="n"/>
      <x:c r="AL133" s="161" t="n"/>
      <x:c r="AM133" s="161" t="n"/>
      <x:c r="AN133" s="161" t="n"/>
      <x:c r="AO133" s="161" t="n"/>
      <x:c r="AP133" s="161" t="n"/>
      <x:c r="AQ133" s="161" t="n"/>
      <x:c r="AR133" s="161" t="n"/>
      <x:c r="AS133" s="161" t="n"/>
      <x:c r="AT133" s="161" t="n"/>
      <x:c r="AU133" s="161" t="n"/>
      <x:c r="AV133" s="161" t="n"/>
      <x:c r="AW133" s="161" t="n"/>
      <x:c r="AX133" s="161" t="n"/>
      <x:c r="AY133" s="161" t="n"/>
      <x:c r="AZ133" s="161" t="n"/>
    </x:row>
    <x:row r="134" ht="15" customHeight="1">
      <x:c r="A134" s="161" t="n"/>
      <x:c r="B134" s="161" t="n"/>
      <x:c r="C134" s="161" t="n"/>
      <x:c r="D134" s="161" t="n"/>
      <x:c r="E134" s="161" t="n"/>
      <x:c r="F134" s="161" t="n"/>
      <x:c r="G134" s="161" t="n"/>
      <x:c r="H134" s="161" t="n"/>
      <x:c r="I134" s="161" t="n"/>
      <x:c r="J134" s="161" t="n"/>
      <x:c r="K134" s="161" t="n"/>
      <x:c r="L134" s="161" t="n"/>
      <x:c r="M134" s="161" t="n"/>
      <x:c r="N134" s="161" t="n"/>
      <x:c r="O134" s="161" t="n"/>
      <x:c r="P134" s="161" t="n"/>
      <x:c r="Q134" s="161" t="n"/>
      <x:c r="R134" s="161" t="n"/>
      <x:c r="S134" s="161" t="n"/>
      <x:c r="T134" s="161" t="n"/>
      <x:c r="U134" s="161" t="n"/>
      <x:c r="V134" s="161" t="n"/>
      <x:c r="W134" s="161" t="n"/>
      <x:c r="X134" s="161" t="n"/>
      <x:c r="Y134" s="161" t="n"/>
      <x:c r="Z134" s="161" t="n"/>
      <x:c r="AA134" s="161" t="n"/>
      <x:c r="AB134" s="161" t="n"/>
      <x:c r="AC134" s="161" t="n"/>
      <x:c r="AD134" s="161" t="n"/>
      <x:c r="AE134" s="161" t="n"/>
      <x:c r="AF134" s="161" t="n"/>
      <x:c r="AG134" s="161" t="n"/>
      <x:c r="AH134" s="161" t="n"/>
      <x:c r="AI134" s="161" t="n"/>
      <x:c r="AJ134" s="161" t="n"/>
      <x:c r="AK134" s="161" t="n"/>
      <x:c r="AL134" s="161" t="n"/>
      <x:c r="AM134" s="161" t="n"/>
      <x:c r="AN134" s="161" t="n"/>
      <x:c r="AO134" s="161" t="n"/>
      <x:c r="AP134" s="161" t="n"/>
      <x:c r="AQ134" s="161" t="n"/>
      <x:c r="AR134" s="161" t="n"/>
      <x:c r="AS134" s="161" t="n"/>
      <x:c r="AT134" s="161" t="n"/>
      <x:c r="AU134" s="161" t="n"/>
      <x:c r="AV134" s="161" t="n"/>
      <x:c r="AW134" s="161" t="n"/>
      <x:c r="AX134" s="161" t="n"/>
      <x:c r="AY134" s="161" t="n"/>
      <x:c r="AZ134" s="161" t="n"/>
    </x:row>
    <x:row r="135" ht="15" customHeight="1">
      <x:c r="A135" s="161" t="n"/>
      <x:c r="B135" s="161" t="n"/>
      <x:c r="C135" s="161" t="n"/>
      <x:c r="D135" s="161" t="n"/>
      <x:c r="E135" s="161" t="n"/>
      <x:c r="F135" s="161" t="n"/>
      <x:c r="G135" s="161" t="n"/>
      <x:c r="H135" s="161" t="n"/>
      <x:c r="I135" s="161" t="n"/>
      <x:c r="J135" s="161" t="n"/>
      <x:c r="K135" s="161" t="n"/>
      <x:c r="L135" s="161" t="n"/>
      <x:c r="M135" s="161" t="n"/>
      <x:c r="N135" s="161" t="n"/>
      <x:c r="O135" s="161" t="n"/>
      <x:c r="P135" s="161" t="n"/>
      <x:c r="Q135" s="161" t="n"/>
      <x:c r="R135" s="161" t="n"/>
      <x:c r="S135" s="161" t="n"/>
      <x:c r="T135" s="161" t="n"/>
      <x:c r="U135" s="161" t="n"/>
      <x:c r="V135" s="161" t="n"/>
      <x:c r="W135" s="161" t="n"/>
      <x:c r="X135" s="161" t="n"/>
      <x:c r="Y135" s="161" t="n"/>
      <x:c r="Z135" s="161" t="n"/>
      <x:c r="AA135" s="161" t="n"/>
      <x:c r="AB135" s="161" t="n"/>
      <x:c r="AC135" s="161" t="n"/>
      <x:c r="AD135" s="161" t="n"/>
      <x:c r="AE135" s="161" t="n"/>
      <x:c r="AF135" s="161" t="n"/>
      <x:c r="AG135" s="161" t="n"/>
      <x:c r="AH135" s="161" t="n"/>
      <x:c r="AI135" s="161" t="n"/>
      <x:c r="AJ135" s="161" t="n"/>
      <x:c r="AK135" s="161" t="n"/>
      <x:c r="AL135" s="161" t="n"/>
      <x:c r="AM135" s="161" t="n"/>
      <x:c r="AN135" s="161" t="n"/>
      <x:c r="AO135" s="161" t="n"/>
      <x:c r="AP135" s="161" t="n"/>
      <x:c r="AQ135" s="161" t="n"/>
      <x:c r="AR135" s="161" t="n"/>
      <x:c r="AS135" s="161" t="n"/>
      <x:c r="AT135" s="161" t="n"/>
      <x:c r="AU135" s="161" t="n"/>
      <x:c r="AV135" s="161" t="n"/>
      <x:c r="AW135" s="161" t="n"/>
      <x:c r="AX135" s="161" t="n"/>
      <x:c r="AY135" s="161" t="n"/>
      <x:c r="AZ135" s="161" t="n"/>
    </x:row>
    <x:row r="136" ht="15" customHeight="1">
      <x:c r="A136" s="161" t="n"/>
      <x:c r="B136" s="161" t="n"/>
      <x:c r="C136" s="161" t="n"/>
      <x:c r="D136" s="161" t="n"/>
      <x:c r="E136" s="161" t="n"/>
      <x:c r="F136" s="161" t="n"/>
      <x:c r="G136" s="161" t="n"/>
      <x:c r="H136" s="161" t="n"/>
      <x:c r="I136" s="161" t="n"/>
      <x:c r="J136" s="161" t="n"/>
      <x:c r="K136" s="161" t="n"/>
      <x:c r="L136" s="161" t="n"/>
      <x:c r="M136" s="161" t="n"/>
      <x:c r="N136" s="161" t="n"/>
      <x:c r="O136" s="161" t="n"/>
      <x:c r="P136" s="161" t="n"/>
      <x:c r="Q136" s="161" t="n"/>
      <x:c r="R136" s="161" t="n"/>
      <x:c r="S136" s="161" t="n"/>
      <x:c r="T136" s="161" t="n"/>
      <x:c r="U136" s="161" t="n"/>
      <x:c r="V136" s="161" t="n"/>
      <x:c r="W136" s="161" t="n"/>
      <x:c r="X136" s="161" t="n"/>
      <x:c r="Y136" s="161" t="n"/>
      <x:c r="Z136" s="161" t="n"/>
      <x:c r="AA136" s="161" t="n"/>
      <x:c r="AB136" s="161" t="n"/>
      <x:c r="AC136" s="161" t="n"/>
      <x:c r="AD136" s="161" t="n"/>
      <x:c r="AE136" s="161" t="n"/>
      <x:c r="AF136" s="161" t="n"/>
      <x:c r="AG136" s="161" t="n"/>
      <x:c r="AH136" s="161" t="n"/>
      <x:c r="AI136" s="161" t="n"/>
      <x:c r="AJ136" s="161" t="n"/>
      <x:c r="AK136" s="161" t="n"/>
      <x:c r="AL136" s="161" t="n"/>
      <x:c r="AM136" s="161" t="n"/>
      <x:c r="AN136" s="161" t="n"/>
      <x:c r="AO136" s="161" t="n"/>
      <x:c r="AP136" s="161" t="n"/>
      <x:c r="AQ136" s="161" t="n"/>
      <x:c r="AR136" s="161" t="n"/>
      <x:c r="AS136" s="161" t="n"/>
      <x:c r="AT136" s="161" t="n"/>
      <x:c r="AU136" s="161" t="n"/>
      <x:c r="AV136" s="161" t="n"/>
      <x:c r="AW136" s="161" t="n"/>
      <x:c r="AX136" s="161" t="n"/>
      <x:c r="AY136" s="161" t="n"/>
      <x:c r="AZ136" s="161" t="n"/>
    </x:row>
    <x:row r="137" ht="15" customHeight="1">
      <x:c r="A137" s="161" t="n"/>
      <x:c r="B137" s="161" t="n"/>
      <x:c r="C137" s="161" t="n"/>
      <x:c r="D137" s="161" t="n"/>
      <x:c r="E137" s="161" t="n"/>
      <x:c r="F137" s="161" t="n"/>
      <x:c r="G137" s="161" t="n"/>
      <x:c r="H137" s="161" t="n"/>
      <x:c r="I137" s="161" t="n"/>
      <x:c r="J137" s="161" t="n"/>
      <x:c r="K137" s="161" t="n"/>
      <x:c r="L137" s="161" t="n"/>
      <x:c r="M137" s="161" t="n"/>
      <x:c r="N137" s="161" t="n"/>
      <x:c r="O137" s="161" t="n"/>
      <x:c r="P137" s="161" t="n"/>
      <x:c r="Q137" s="161" t="n"/>
      <x:c r="R137" s="161" t="n"/>
      <x:c r="S137" s="161" t="n"/>
      <x:c r="T137" s="161" t="n"/>
      <x:c r="U137" s="161" t="n"/>
      <x:c r="V137" s="161" t="n"/>
      <x:c r="W137" s="161" t="n"/>
      <x:c r="X137" s="161" t="n"/>
      <x:c r="Y137" s="161" t="n"/>
      <x:c r="Z137" s="161" t="n"/>
      <x:c r="AA137" s="161" t="n"/>
      <x:c r="AB137" s="161" t="n"/>
      <x:c r="AC137" s="161" t="n"/>
      <x:c r="AD137" s="161" t="n"/>
      <x:c r="AE137" s="161" t="n"/>
      <x:c r="AF137" s="161" t="n"/>
      <x:c r="AG137" s="161" t="n"/>
      <x:c r="AH137" s="161" t="n"/>
      <x:c r="AI137" s="161" t="n"/>
      <x:c r="AJ137" s="161" t="n"/>
      <x:c r="AK137" s="161" t="n"/>
      <x:c r="AL137" s="161" t="n"/>
      <x:c r="AM137" s="161" t="n"/>
      <x:c r="AN137" s="161" t="n"/>
      <x:c r="AO137" s="161" t="n"/>
      <x:c r="AP137" s="161" t="n"/>
      <x:c r="AQ137" s="161" t="n"/>
      <x:c r="AR137" s="161" t="n"/>
      <x:c r="AS137" s="161" t="n"/>
      <x:c r="AT137" s="161" t="n"/>
      <x:c r="AU137" s="161" t="n"/>
      <x:c r="AV137" s="161" t="n"/>
      <x:c r="AW137" s="161" t="n"/>
      <x:c r="AX137" s="161" t="n"/>
      <x:c r="AY137" s="161" t="n"/>
      <x:c r="AZ137" s="161" t="n"/>
    </x:row>
    <x:row r="138" ht="15" customHeight="1">
      <x:c r="A138" s="161" t="n"/>
      <x:c r="B138" s="161" t="n"/>
      <x:c r="C138" s="161" t="n"/>
      <x:c r="D138" s="161" t="n"/>
      <x:c r="E138" s="161" t="n"/>
      <x:c r="F138" s="161" t="n"/>
      <x:c r="G138" s="161" t="n"/>
      <x:c r="H138" s="161" t="n"/>
      <x:c r="I138" s="161" t="n"/>
      <x:c r="J138" s="161" t="n"/>
      <x:c r="K138" s="161" t="n"/>
      <x:c r="L138" s="161" t="n"/>
      <x:c r="M138" s="161" t="n"/>
      <x:c r="N138" s="161" t="n"/>
      <x:c r="O138" s="161" t="n"/>
      <x:c r="P138" s="161" t="n"/>
      <x:c r="Q138" s="161" t="n"/>
      <x:c r="R138" s="161" t="n"/>
      <x:c r="S138" s="161" t="n"/>
      <x:c r="T138" s="161" t="n"/>
      <x:c r="U138" s="161" t="n"/>
      <x:c r="V138" s="161" t="n"/>
      <x:c r="W138" s="161" t="n"/>
      <x:c r="X138" s="161" t="n"/>
      <x:c r="Y138" s="161" t="n"/>
      <x:c r="Z138" s="161" t="n"/>
      <x:c r="AA138" s="161" t="n"/>
      <x:c r="AB138" s="161" t="n"/>
      <x:c r="AC138" s="161" t="n"/>
      <x:c r="AD138" s="161" t="n"/>
      <x:c r="AE138" s="161" t="n"/>
      <x:c r="AF138" s="161" t="n"/>
      <x:c r="AG138" s="161" t="n"/>
      <x:c r="AH138" s="161" t="n"/>
      <x:c r="AI138" s="161" t="n"/>
      <x:c r="AJ138" s="161" t="n"/>
      <x:c r="AK138" s="161" t="n"/>
      <x:c r="AL138" s="161" t="n"/>
      <x:c r="AM138" s="161" t="n"/>
      <x:c r="AN138" s="161" t="n"/>
      <x:c r="AO138" s="161" t="n"/>
      <x:c r="AP138" s="161" t="n"/>
      <x:c r="AQ138" s="161" t="n"/>
      <x:c r="AR138" s="161" t="n"/>
      <x:c r="AS138" s="161" t="n"/>
      <x:c r="AT138" s="161" t="n"/>
      <x:c r="AU138" s="161" t="n"/>
      <x:c r="AV138" s="161" t="n"/>
      <x:c r="AW138" s="161" t="n"/>
      <x:c r="AX138" s="161" t="n"/>
      <x:c r="AY138" s="161" t="n"/>
      <x:c r="AZ138" s="161" t="n"/>
    </x:row>
    <x:row r="139" ht="15" customHeight="1">
      <x:c r="A139" s="161" t="n"/>
      <x:c r="B139" s="161" t="n"/>
      <x:c r="C139" s="161" t="n"/>
      <x:c r="D139" s="161" t="n"/>
      <x:c r="E139" s="161" t="n"/>
      <x:c r="F139" s="161" t="n"/>
      <x:c r="G139" s="161" t="n"/>
      <x:c r="H139" s="161" t="n"/>
      <x:c r="I139" s="161" t="n"/>
      <x:c r="J139" s="161" t="n"/>
      <x:c r="K139" s="161" t="n"/>
      <x:c r="L139" s="161" t="n"/>
      <x:c r="M139" s="161" t="n"/>
      <x:c r="N139" s="161" t="n"/>
      <x:c r="O139" s="161" t="n"/>
      <x:c r="P139" s="161" t="n"/>
      <x:c r="Q139" s="161" t="n"/>
      <x:c r="R139" s="161" t="n"/>
      <x:c r="S139" s="161" t="n"/>
      <x:c r="T139" s="161" t="n"/>
      <x:c r="U139" s="161" t="n"/>
      <x:c r="V139" s="161" t="n"/>
      <x:c r="W139" s="161" t="n"/>
      <x:c r="X139" s="161" t="n"/>
      <x:c r="Y139" s="161" t="n"/>
      <x:c r="Z139" s="161" t="n"/>
      <x:c r="AA139" s="161" t="n"/>
      <x:c r="AB139" s="161" t="n"/>
      <x:c r="AC139" s="161" t="n"/>
      <x:c r="AD139" s="161" t="n"/>
      <x:c r="AE139" s="161" t="n"/>
      <x:c r="AF139" s="161" t="n"/>
      <x:c r="AG139" s="161" t="n"/>
      <x:c r="AH139" s="161" t="n"/>
      <x:c r="AI139" s="161" t="n"/>
      <x:c r="AJ139" s="161" t="n"/>
      <x:c r="AK139" s="161" t="n"/>
      <x:c r="AL139" s="161" t="n"/>
      <x:c r="AM139" s="161" t="n"/>
      <x:c r="AN139" s="161" t="n"/>
      <x:c r="AO139" s="161" t="n"/>
      <x:c r="AP139" s="161" t="n"/>
      <x:c r="AQ139" s="161" t="n"/>
      <x:c r="AR139" s="161" t="n"/>
      <x:c r="AS139" s="161" t="n"/>
      <x:c r="AT139" s="161" t="n"/>
      <x:c r="AU139" s="161" t="n"/>
      <x:c r="AV139" s="161" t="n"/>
      <x:c r="AW139" s="161" t="n"/>
      <x:c r="AX139" s="161" t="n"/>
      <x:c r="AY139" s="161" t="n"/>
      <x:c r="AZ139" s="161" t="n"/>
    </x:row>
    <x:row r="140" ht="15" customHeight="1">
      <x:c r="A140" s="161" t="n"/>
      <x:c r="B140" s="161" t="n"/>
      <x:c r="C140" s="161" t="n"/>
      <x:c r="D140" s="161" t="n"/>
      <x:c r="E140" s="161" t="n"/>
      <x:c r="F140" s="161" t="n"/>
      <x:c r="G140" s="161" t="n"/>
      <x:c r="H140" s="161" t="n"/>
      <x:c r="I140" s="161" t="n"/>
      <x:c r="J140" s="161" t="n"/>
      <x:c r="K140" s="161" t="n"/>
      <x:c r="L140" s="161" t="n"/>
      <x:c r="M140" s="161" t="n"/>
      <x:c r="N140" s="161" t="n"/>
      <x:c r="O140" s="161" t="n"/>
      <x:c r="P140" s="161" t="n"/>
      <x:c r="Q140" s="161" t="n"/>
      <x:c r="R140" s="161" t="n"/>
      <x:c r="S140" s="161" t="n"/>
      <x:c r="T140" s="161" t="n"/>
      <x:c r="U140" s="161" t="n"/>
      <x:c r="V140" s="161" t="n"/>
      <x:c r="W140" s="161" t="n"/>
      <x:c r="X140" s="161" t="n"/>
      <x:c r="Y140" s="161" t="n"/>
      <x:c r="Z140" s="161" t="n"/>
      <x:c r="AA140" s="161" t="n"/>
      <x:c r="AB140" s="161" t="n"/>
      <x:c r="AC140" s="161" t="n"/>
      <x:c r="AD140" s="161" t="n"/>
      <x:c r="AE140" s="161" t="n"/>
      <x:c r="AF140" s="161" t="n"/>
      <x:c r="AG140" s="161" t="n"/>
      <x:c r="AH140" s="161" t="n"/>
      <x:c r="AI140" s="161" t="n"/>
      <x:c r="AJ140" s="161" t="n"/>
      <x:c r="AK140" s="161" t="n"/>
      <x:c r="AL140" s="161" t="n"/>
      <x:c r="AM140" s="161" t="n"/>
      <x:c r="AN140" s="161" t="n"/>
      <x:c r="AO140" s="161" t="n"/>
      <x:c r="AP140" s="161" t="n"/>
      <x:c r="AQ140" s="161" t="n"/>
      <x:c r="AR140" s="161" t="n"/>
      <x:c r="AS140" s="161" t="n"/>
      <x:c r="AT140" s="161" t="n"/>
      <x:c r="AU140" s="161" t="n"/>
      <x:c r="AV140" s="161" t="n"/>
      <x:c r="AW140" s="161" t="n"/>
      <x:c r="AX140" s="161" t="n"/>
      <x:c r="AY140" s="161" t="n"/>
      <x:c r="AZ140" s="161" t="n"/>
    </x:row>
    <x:row r="141" ht="15" customHeight="1">
      <x:c r="A141" s="161" t="n"/>
      <x:c r="B141" s="161" t="n"/>
      <x:c r="C141" s="161" t="n"/>
      <x:c r="D141" s="161" t="n"/>
      <x:c r="E141" s="161" t="n"/>
      <x:c r="F141" s="161" t="n"/>
      <x:c r="G141" s="161" t="n"/>
      <x:c r="H141" s="161" t="n"/>
      <x:c r="I141" s="161" t="n"/>
      <x:c r="J141" s="161" t="n"/>
      <x:c r="K141" s="161" t="n"/>
      <x:c r="L141" s="161" t="n"/>
      <x:c r="M141" s="161" t="n"/>
      <x:c r="N141" s="161" t="n"/>
      <x:c r="O141" s="161" t="n"/>
      <x:c r="P141" s="161" t="n"/>
      <x:c r="Q141" s="161" t="n"/>
      <x:c r="R141" s="161" t="n"/>
      <x:c r="S141" s="161" t="n"/>
      <x:c r="T141" s="161" t="n"/>
      <x:c r="U141" s="161" t="n"/>
      <x:c r="V141" s="161" t="n"/>
      <x:c r="W141" s="161" t="n"/>
      <x:c r="X141" s="161" t="n"/>
      <x:c r="Y141" s="161" t="n"/>
      <x:c r="Z141" s="161" t="n"/>
      <x:c r="AA141" s="161" t="n"/>
      <x:c r="AB141" s="161" t="n"/>
      <x:c r="AC141" s="161" t="n"/>
      <x:c r="AD141" s="161" t="n"/>
      <x:c r="AE141" s="161" t="n"/>
      <x:c r="AF141" s="161" t="n"/>
      <x:c r="AG141" s="161" t="n"/>
      <x:c r="AH141" s="161" t="n"/>
      <x:c r="AI141" s="161" t="n"/>
      <x:c r="AJ141" s="161" t="n"/>
      <x:c r="AK141" s="161" t="n"/>
      <x:c r="AL141" s="161" t="n"/>
      <x:c r="AM141" s="161" t="n"/>
      <x:c r="AN141" s="161" t="n"/>
      <x:c r="AO141" s="161" t="n"/>
      <x:c r="AP141" s="161" t="n"/>
      <x:c r="AQ141" s="161" t="n"/>
      <x:c r="AR141" s="161" t="n"/>
      <x:c r="AS141" s="161" t="n"/>
      <x:c r="AT141" s="161" t="n"/>
      <x:c r="AU141" s="161" t="n"/>
      <x:c r="AV141" s="161" t="n"/>
      <x:c r="AW141" s="161" t="n"/>
      <x:c r="AX141" s="161" t="n"/>
      <x:c r="AY141" s="161" t="n"/>
      <x:c r="AZ141" s="161" t="n"/>
    </x:row>
    <x:row r="142" ht="15" customHeight="1">
      <x:c r="A142" s="161" t="n"/>
      <x:c r="B142" s="161" t="n"/>
      <x:c r="C142" s="161" t="n"/>
      <x:c r="D142" s="161" t="n"/>
      <x:c r="E142" s="161" t="n"/>
      <x:c r="F142" s="161" t="n"/>
      <x:c r="G142" s="161" t="n"/>
      <x:c r="H142" s="161" t="n"/>
      <x:c r="I142" s="161" t="n"/>
      <x:c r="J142" s="161" t="n"/>
      <x:c r="K142" s="161" t="n"/>
      <x:c r="L142" s="161" t="n"/>
      <x:c r="M142" s="161" t="n"/>
      <x:c r="N142" s="161" t="n"/>
      <x:c r="O142" s="161" t="n"/>
      <x:c r="P142" s="161" t="n"/>
      <x:c r="Q142" s="161" t="n"/>
      <x:c r="R142" s="161" t="n"/>
      <x:c r="S142" s="161" t="n"/>
      <x:c r="T142" s="161" t="n"/>
      <x:c r="U142" s="161" t="n"/>
      <x:c r="V142" s="161" t="n"/>
      <x:c r="W142" s="161" t="n"/>
      <x:c r="X142" s="161" t="n"/>
      <x:c r="Y142" s="161" t="n"/>
      <x:c r="Z142" s="161" t="n"/>
      <x:c r="AA142" s="161" t="n"/>
      <x:c r="AB142" s="161" t="n"/>
      <x:c r="AC142" s="161" t="n"/>
      <x:c r="AD142" s="161" t="n"/>
      <x:c r="AE142" s="161" t="n"/>
      <x:c r="AF142" s="161" t="n"/>
      <x:c r="AG142" s="161" t="n"/>
      <x:c r="AH142" s="161" t="n"/>
      <x:c r="AI142" s="161" t="n"/>
      <x:c r="AJ142" s="161" t="n"/>
      <x:c r="AK142" s="161" t="n"/>
      <x:c r="AL142" s="161" t="n"/>
      <x:c r="AM142" s="161" t="n"/>
      <x:c r="AN142" s="161" t="n"/>
      <x:c r="AO142" s="161" t="n"/>
      <x:c r="AP142" s="161" t="n"/>
      <x:c r="AQ142" s="161" t="n"/>
      <x:c r="AR142" s="161" t="n"/>
      <x:c r="AS142" s="161" t="n"/>
      <x:c r="AT142" s="161" t="n"/>
      <x:c r="AU142" s="161" t="n"/>
      <x:c r="AV142" s="161" t="n"/>
      <x:c r="AW142" s="161" t="n"/>
      <x:c r="AX142" s="161" t="n"/>
      <x:c r="AY142" s="161" t="n"/>
      <x:c r="AZ142" s="161" t="n"/>
    </x:row>
    <x:row r="143" ht="15" customHeight="1">
      <x:c r="A143" s="161" t="n"/>
      <x:c r="B143" s="161" t="n"/>
      <x:c r="C143" s="161" t="n"/>
      <x:c r="D143" s="161" t="n"/>
      <x:c r="E143" s="161" t="n"/>
      <x:c r="F143" s="161" t="n"/>
      <x:c r="G143" s="161" t="n"/>
      <x:c r="H143" s="161" t="n"/>
      <x:c r="I143" s="161" t="n"/>
      <x:c r="J143" s="161" t="n"/>
      <x:c r="K143" s="161" t="n"/>
      <x:c r="L143" s="161" t="n"/>
      <x:c r="M143" s="161" t="n"/>
      <x:c r="N143" s="161" t="n"/>
      <x:c r="O143" s="161" t="n"/>
      <x:c r="P143" s="161" t="n"/>
      <x:c r="Q143" s="161" t="n"/>
      <x:c r="R143" s="161" t="n"/>
      <x:c r="S143" s="161" t="n"/>
      <x:c r="T143" s="161" t="n"/>
      <x:c r="U143" s="161" t="n"/>
      <x:c r="V143" s="161" t="n"/>
      <x:c r="W143" s="161" t="n"/>
      <x:c r="X143" s="161" t="n"/>
      <x:c r="Y143" s="161" t="n"/>
      <x:c r="Z143" s="161" t="n"/>
      <x:c r="AA143" s="161" t="n"/>
      <x:c r="AB143" s="161" t="n"/>
      <x:c r="AC143" s="161" t="n"/>
      <x:c r="AD143" s="161" t="n"/>
      <x:c r="AE143" s="161" t="n"/>
      <x:c r="AF143" s="161" t="n"/>
      <x:c r="AG143" s="161" t="n"/>
      <x:c r="AH143" s="161" t="n"/>
      <x:c r="AI143" s="161" t="n"/>
      <x:c r="AJ143" s="161" t="n"/>
      <x:c r="AK143" s="161" t="n"/>
      <x:c r="AL143" s="161" t="n"/>
      <x:c r="AM143" s="161" t="n"/>
      <x:c r="AN143" s="161" t="n"/>
      <x:c r="AO143" s="161" t="n"/>
      <x:c r="AP143" s="161" t="n"/>
      <x:c r="AQ143" s="161" t="n"/>
      <x:c r="AR143" s="161" t="n"/>
      <x:c r="AS143" s="161" t="n"/>
      <x:c r="AT143" s="161" t="n"/>
      <x:c r="AU143" s="161" t="n"/>
      <x:c r="AV143" s="161" t="n"/>
      <x:c r="AW143" s="161" t="n"/>
      <x:c r="AX143" s="161" t="n"/>
      <x:c r="AY143" s="161" t="n"/>
      <x:c r="AZ143" s="161" t="n"/>
    </x:row>
    <x:row r="144" ht="15" customHeight="1">
      <x:c r="A144" s="161" t="n"/>
      <x:c r="B144" s="161" t="n"/>
      <x:c r="C144" s="161" t="n"/>
      <x:c r="D144" s="161" t="n"/>
      <x:c r="E144" s="161" t="n"/>
      <x:c r="F144" s="161" t="n"/>
      <x:c r="G144" s="161" t="n"/>
      <x:c r="H144" s="161" t="n"/>
      <x:c r="I144" s="161" t="n"/>
      <x:c r="J144" s="161" t="n"/>
      <x:c r="K144" s="161" t="n"/>
      <x:c r="L144" s="161" t="n"/>
      <x:c r="M144" s="161" t="n"/>
      <x:c r="N144" s="161" t="n"/>
      <x:c r="O144" s="161" t="n"/>
      <x:c r="P144" s="161" t="n"/>
      <x:c r="Q144" s="161" t="n"/>
      <x:c r="R144" s="161" t="n"/>
      <x:c r="S144" s="161" t="n"/>
      <x:c r="T144" s="161" t="n"/>
      <x:c r="U144" s="161" t="n"/>
      <x:c r="V144" s="161" t="n"/>
      <x:c r="W144" s="161" t="n"/>
      <x:c r="X144" s="161" t="n"/>
      <x:c r="Y144" s="161" t="n"/>
      <x:c r="Z144" s="161" t="n"/>
      <x:c r="AA144" s="161" t="n"/>
      <x:c r="AB144" s="161" t="n"/>
      <x:c r="AC144" s="161" t="n"/>
      <x:c r="AD144" s="161" t="n"/>
      <x:c r="AE144" s="161" t="n"/>
      <x:c r="AF144" s="161" t="n"/>
      <x:c r="AG144" s="161" t="n"/>
      <x:c r="AH144" s="161" t="n"/>
      <x:c r="AI144" s="161" t="n"/>
      <x:c r="AJ144" s="161" t="n"/>
      <x:c r="AK144" s="161" t="n"/>
      <x:c r="AL144" s="161" t="n"/>
      <x:c r="AM144" s="161" t="n"/>
      <x:c r="AN144" s="161" t="n"/>
      <x:c r="AO144" s="161" t="n"/>
      <x:c r="AP144" s="161" t="n"/>
      <x:c r="AQ144" s="161" t="n"/>
      <x:c r="AR144" s="161" t="n"/>
      <x:c r="AS144" s="161" t="n"/>
      <x:c r="AT144" s="161" t="n"/>
      <x:c r="AU144" s="161" t="n"/>
      <x:c r="AV144" s="161" t="n"/>
      <x:c r="AW144" s="161" t="n"/>
      <x:c r="AX144" s="161" t="n"/>
      <x:c r="AY144" s="161" t="n"/>
      <x:c r="AZ144" s="161" t="n"/>
    </x:row>
    <x:row r="145" ht="15" customHeight="1">
      <x:c r="A145" s="161" t="n"/>
      <x:c r="B145" s="161" t="n"/>
      <x:c r="C145" s="161" t="n"/>
      <x:c r="D145" s="161" t="n"/>
      <x:c r="E145" s="161" t="n"/>
      <x:c r="F145" s="161" t="n"/>
      <x:c r="G145" s="161" t="n"/>
      <x:c r="H145" s="161" t="n"/>
      <x:c r="I145" s="161" t="n"/>
      <x:c r="J145" s="161" t="n"/>
      <x:c r="K145" s="161" t="n"/>
      <x:c r="L145" s="161" t="n"/>
      <x:c r="M145" s="161" t="n"/>
      <x:c r="N145" s="161" t="n"/>
      <x:c r="O145" s="161" t="n"/>
      <x:c r="P145" s="161" t="n"/>
      <x:c r="Q145" s="161" t="n"/>
      <x:c r="R145" s="161" t="n"/>
      <x:c r="S145" s="161" t="n"/>
      <x:c r="T145" s="161" t="n"/>
      <x:c r="U145" s="161" t="n"/>
      <x:c r="V145" s="161" t="n"/>
      <x:c r="W145" s="161" t="n"/>
      <x:c r="X145" s="161" t="n"/>
      <x:c r="Y145" s="161" t="n"/>
      <x:c r="Z145" s="161" t="n"/>
      <x:c r="AA145" s="161" t="n"/>
      <x:c r="AB145" s="161" t="n"/>
      <x:c r="AC145" s="161" t="n"/>
      <x:c r="AD145" s="161" t="n"/>
      <x:c r="AE145" s="161" t="n"/>
      <x:c r="AF145" s="161" t="n"/>
      <x:c r="AG145" s="161" t="n"/>
      <x:c r="AH145" s="161" t="n"/>
      <x:c r="AI145" s="161" t="n"/>
      <x:c r="AJ145" s="161" t="n"/>
      <x:c r="AK145" s="161" t="n"/>
      <x:c r="AL145" s="161" t="n"/>
      <x:c r="AM145" s="161" t="n"/>
      <x:c r="AN145" s="161" t="n"/>
      <x:c r="AO145" s="161" t="n"/>
      <x:c r="AP145" s="161" t="n"/>
      <x:c r="AQ145" s="161" t="n"/>
      <x:c r="AR145" s="161" t="n"/>
      <x:c r="AS145" s="161" t="n"/>
      <x:c r="AT145" s="161" t="n"/>
      <x:c r="AU145" s="161" t="n"/>
      <x:c r="AV145" s="161" t="n"/>
      <x:c r="AW145" s="161" t="n"/>
      <x:c r="AX145" s="161" t="n"/>
      <x:c r="AY145" s="161" t="n"/>
      <x:c r="AZ145" s="161" t="n"/>
    </x:row>
    <x:row r="146" ht="15" customHeight="1">
      <x:c r="A146" s="161" t="n"/>
      <x:c r="B146" s="161" t="n"/>
      <x:c r="C146" s="161" t="n"/>
      <x:c r="D146" s="161" t="n"/>
      <x:c r="E146" s="161" t="n"/>
      <x:c r="F146" s="161" t="n"/>
      <x:c r="G146" s="161" t="n"/>
      <x:c r="H146" s="161" t="n"/>
      <x:c r="I146" s="161" t="n"/>
      <x:c r="J146" s="161" t="n"/>
      <x:c r="K146" s="161" t="n"/>
      <x:c r="L146" s="161" t="n"/>
      <x:c r="M146" s="161" t="n"/>
      <x:c r="N146" s="161" t="n"/>
      <x:c r="O146" s="161" t="n"/>
      <x:c r="P146" s="161" t="n"/>
      <x:c r="Q146" s="161" t="n"/>
      <x:c r="R146" s="161" t="n"/>
      <x:c r="S146" s="161" t="n"/>
      <x:c r="T146" s="161" t="n"/>
      <x:c r="U146" s="161" t="n"/>
      <x:c r="V146" s="161" t="n"/>
      <x:c r="W146" s="161" t="n"/>
      <x:c r="X146" s="161" t="n"/>
      <x:c r="Y146" s="161" t="n"/>
      <x:c r="Z146" s="161" t="n"/>
      <x:c r="AA146" s="161" t="n"/>
      <x:c r="AB146" s="161" t="n"/>
      <x:c r="AC146" s="161" t="n"/>
      <x:c r="AD146" s="161" t="n"/>
      <x:c r="AE146" s="161" t="n"/>
      <x:c r="AF146" s="161" t="n"/>
      <x:c r="AG146" s="161" t="n"/>
      <x:c r="AH146" s="161" t="n"/>
      <x:c r="AI146" s="161" t="n"/>
      <x:c r="AJ146" s="161" t="n"/>
      <x:c r="AK146" s="161" t="n"/>
      <x:c r="AL146" s="161" t="n"/>
      <x:c r="AM146" s="161" t="n"/>
      <x:c r="AN146" s="161" t="n"/>
      <x:c r="AO146" s="161" t="n"/>
      <x:c r="AP146" s="161" t="n"/>
      <x:c r="AQ146" s="161" t="n"/>
      <x:c r="AR146" s="161" t="n"/>
      <x:c r="AS146" s="161" t="n"/>
      <x:c r="AT146" s="161" t="n"/>
      <x:c r="AU146" s="161" t="n"/>
      <x:c r="AV146" s="161" t="n"/>
      <x:c r="AW146" s="161" t="n"/>
      <x:c r="AX146" s="161" t="n"/>
      <x:c r="AY146" s="161" t="n"/>
      <x:c r="AZ146" s="161" t="n"/>
    </x:row>
    <x:row r="147" ht="15" customHeight="1">
      <x:c r="A147" s="161" t="n"/>
      <x:c r="B147" s="161" t="n"/>
      <x:c r="C147" s="161" t="n"/>
      <x:c r="D147" s="161" t="n"/>
      <x:c r="E147" s="161" t="n"/>
      <x:c r="F147" s="161" t="n"/>
      <x:c r="G147" s="161" t="n"/>
      <x:c r="H147" s="161" t="n"/>
      <x:c r="I147" s="161" t="n"/>
      <x:c r="J147" s="161" t="n"/>
      <x:c r="K147" s="161" t="n"/>
      <x:c r="L147" s="161" t="n"/>
      <x:c r="M147" s="161" t="n"/>
      <x:c r="N147" s="161" t="n"/>
      <x:c r="O147" s="161" t="n"/>
      <x:c r="P147" s="161" t="n"/>
      <x:c r="Q147" s="161" t="n"/>
      <x:c r="R147" s="161" t="n"/>
      <x:c r="S147" s="161" t="n"/>
      <x:c r="T147" s="161" t="n"/>
      <x:c r="U147" s="161" t="n"/>
      <x:c r="V147" s="161" t="n"/>
      <x:c r="W147" s="161" t="n"/>
      <x:c r="X147" s="161" t="n"/>
      <x:c r="Y147" s="161" t="n"/>
      <x:c r="Z147" s="161" t="n"/>
      <x:c r="AA147" s="161" t="n"/>
      <x:c r="AB147" s="161" t="n"/>
      <x:c r="AC147" s="161" t="n"/>
      <x:c r="AD147" s="161" t="n"/>
      <x:c r="AE147" s="161" t="n"/>
      <x:c r="AF147" s="161" t="n"/>
      <x:c r="AG147" s="161" t="n"/>
      <x:c r="AH147" s="161" t="n"/>
      <x:c r="AI147" s="161" t="n"/>
      <x:c r="AJ147" s="161" t="n"/>
      <x:c r="AK147" s="161" t="n"/>
      <x:c r="AL147" s="161" t="n"/>
      <x:c r="AM147" s="161" t="n"/>
      <x:c r="AN147" s="161" t="n"/>
      <x:c r="AO147" s="161" t="n"/>
      <x:c r="AP147" s="161" t="n"/>
      <x:c r="AQ147" s="161" t="n"/>
      <x:c r="AR147" s="161" t="n"/>
      <x:c r="AS147" s="161" t="n"/>
      <x:c r="AT147" s="161" t="n"/>
      <x:c r="AU147" s="161" t="n"/>
      <x:c r="AV147" s="161" t="n"/>
      <x:c r="AW147" s="161" t="n"/>
      <x:c r="AX147" s="161" t="n"/>
      <x:c r="AY147" s="161" t="n"/>
      <x:c r="AZ147" s="161" t="n"/>
    </x:row>
    <x:row r="148" ht="15" customHeight="1">
      <x:c r="A148" s="161" t="n"/>
      <x:c r="B148" s="161" t="n"/>
      <x:c r="C148" s="161" t="n"/>
      <x:c r="D148" s="161" t="n"/>
      <x:c r="E148" s="161" t="n"/>
      <x:c r="F148" s="161" t="n"/>
      <x:c r="G148" s="161" t="n"/>
      <x:c r="H148" s="161" t="n"/>
      <x:c r="I148" s="161" t="n"/>
      <x:c r="J148" s="161" t="n"/>
      <x:c r="K148" s="161" t="n"/>
      <x:c r="L148" s="161" t="n"/>
      <x:c r="M148" s="161" t="n"/>
      <x:c r="N148" s="161" t="n"/>
      <x:c r="O148" s="161" t="n"/>
      <x:c r="P148" s="161" t="n"/>
      <x:c r="Q148" s="161" t="n"/>
      <x:c r="R148" s="161" t="n"/>
      <x:c r="S148" s="161" t="n"/>
      <x:c r="T148" s="161" t="n"/>
      <x:c r="U148" s="161" t="n"/>
      <x:c r="V148" s="161" t="n"/>
      <x:c r="W148" s="161" t="n"/>
      <x:c r="X148" s="161" t="n"/>
      <x:c r="Y148" s="161" t="n"/>
      <x:c r="Z148" s="161" t="n"/>
      <x:c r="AA148" s="161" t="n"/>
      <x:c r="AB148" s="161" t="n"/>
      <x:c r="AC148" s="161" t="n"/>
      <x:c r="AD148" s="161" t="n"/>
      <x:c r="AE148" s="161" t="n"/>
      <x:c r="AF148" s="161" t="n"/>
      <x:c r="AG148" s="161" t="n"/>
      <x:c r="AH148" s="161" t="n"/>
      <x:c r="AI148" s="161" t="n"/>
      <x:c r="AJ148" s="161" t="n"/>
      <x:c r="AK148" s="161" t="n"/>
      <x:c r="AL148" s="161" t="n"/>
      <x:c r="AM148" s="161" t="n"/>
      <x:c r="AN148" s="161" t="n"/>
      <x:c r="AO148" s="161" t="n"/>
      <x:c r="AP148" s="161" t="n"/>
      <x:c r="AQ148" s="161" t="n"/>
      <x:c r="AR148" s="161" t="n"/>
      <x:c r="AS148" s="161" t="n"/>
      <x:c r="AT148" s="161" t="n"/>
      <x:c r="AU148" s="161" t="n"/>
      <x:c r="AV148" s="161" t="n"/>
      <x:c r="AW148" s="161" t="n"/>
      <x:c r="AX148" s="161" t="n"/>
      <x:c r="AY148" s="161" t="n"/>
      <x:c r="AZ148" s="161" t="n"/>
    </x:row>
    <x:row r="149" ht="15" customHeight="1">
      <x:c r="A149" s="161" t="n"/>
      <x:c r="B149" s="161" t="n"/>
      <x:c r="C149" s="161" t="n"/>
      <x:c r="D149" s="161" t="n"/>
      <x:c r="E149" s="161" t="n"/>
      <x:c r="F149" s="161" t="n"/>
      <x:c r="G149" s="161" t="n"/>
      <x:c r="H149" s="161" t="n"/>
      <x:c r="I149" s="161" t="n"/>
      <x:c r="J149" s="161" t="n"/>
      <x:c r="K149" s="161" t="n"/>
      <x:c r="L149" s="161" t="n"/>
      <x:c r="M149" s="161" t="n"/>
      <x:c r="N149" s="161" t="n"/>
      <x:c r="O149" s="161" t="n"/>
      <x:c r="P149" s="161" t="n"/>
      <x:c r="Q149" s="161" t="n"/>
      <x:c r="R149" s="161" t="n"/>
      <x:c r="S149" s="161" t="n"/>
      <x:c r="T149" s="161" t="n"/>
      <x:c r="U149" s="161" t="n"/>
      <x:c r="V149" s="161" t="n"/>
      <x:c r="W149" s="161" t="n"/>
      <x:c r="X149" s="161" t="n"/>
      <x:c r="Y149" s="161" t="n"/>
      <x:c r="Z149" s="161" t="n"/>
      <x:c r="AA149" s="161" t="n"/>
      <x:c r="AB149" s="161" t="n"/>
      <x:c r="AC149" s="161" t="n"/>
      <x:c r="AD149" s="161" t="n"/>
      <x:c r="AE149" s="161" t="n"/>
      <x:c r="AF149" s="161" t="n"/>
      <x:c r="AG149" s="161" t="n"/>
      <x:c r="AH149" s="161" t="n"/>
      <x:c r="AI149" s="161" t="n"/>
      <x:c r="AJ149" s="161" t="n"/>
      <x:c r="AK149" s="161" t="n"/>
      <x:c r="AL149" s="161" t="n"/>
      <x:c r="AM149" s="161" t="n"/>
      <x:c r="AN149" s="161" t="n"/>
      <x:c r="AO149" s="161" t="n"/>
      <x:c r="AP149" s="161" t="n"/>
      <x:c r="AQ149" s="161" t="n"/>
      <x:c r="AR149" s="161" t="n"/>
      <x:c r="AS149" s="161" t="n"/>
      <x:c r="AT149" s="161" t="n"/>
      <x:c r="AU149" s="161" t="n"/>
      <x:c r="AV149" s="161" t="n"/>
      <x:c r="AW149" s="161" t="n"/>
      <x:c r="AX149" s="161" t="n"/>
      <x:c r="AY149" s="161" t="n"/>
      <x:c r="AZ149" s="161" t="n"/>
    </x:row>
    <x:row r="150" ht="15" customHeight="1">
      <x:c r="A150" s="161" t="n"/>
      <x:c r="B150" s="161" t="n"/>
      <x:c r="C150" s="161" t="n"/>
      <x:c r="D150" s="161" t="n"/>
      <x:c r="E150" s="161" t="n"/>
      <x:c r="F150" s="161" t="n"/>
      <x:c r="G150" s="161" t="n"/>
      <x:c r="H150" s="161" t="n"/>
      <x:c r="I150" s="161" t="n"/>
      <x:c r="J150" s="161" t="n"/>
      <x:c r="K150" s="161" t="n"/>
      <x:c r="L150" s="161" t="n"/>
      <x:c r="M150" s="161" t="n"/>
      <x:c r="N150" s="161" t="n"/>
      <x:c r="O150" s="161" t="n"/>
      <x:c r="P150" s="161" t="n"/>
      <x:c r="Q150" s="161" t="n"/>
      <x:c r="R150" s="161" t="n"/>
      <x:c r="S150" s="161" t="n"/>
      <x:c r="T150" s="161" t="n"/>
      <x:c r="U150" s="161" t="n"/>
      <x:c r="V150" s="161" t="n"/>
      <x:c r="W150" s="161" t="n"/>
      <x:c r="X150" s="161" t="n"/>
      <x:c r="Y150" s="161" t="n"/>
      <x:c r="Z150" s="161" t="n"/>
      <x:c r="AA150" s="161" t="n"/>
      <x:c r="AB150" s="161" t="n"/>
      <x:c r="AC150" s="161" t="n"/>
      <x:c r="AD150" s="161" t="n"/>
      <x:c r="AE150" s="161" t="n"/>
      <x:c r="AF150" s="161" t="n"/>
      <x:c r="AG150" s="161" t="n"/>
      <x:c r="AH150" s="161" t="n"/>
      <x:c r="AI150" s="161" t="n"/>
      <x:c r="AJ150" s="161" t="n"/>
      <x:c r="AK150" s="161" t="n"/>
      <x:c r="AL150" s="161" t="n"/>
      <x:c r="AM150" s="161" t="n"/>
      <x:c r="AN150" s="161" t="n"/>
      <x:c r="AO150" s="161" t="n"/>
      <x:c r="AP150" s="161" t="n"/>
      <x:c r="AQ150" s="161" t="n"/>
      <x:c r="AR150" s="161" t="n"/>
      <x:c r="AS150" s="161" t="n"/>
      <x:c r="AT150" s="161" t="n"/>
      <x:c r="AU150" s="161" t="n"/>
      <x:c r="AV150" s="161" t="n"/>
      <x:c r="AW150" s="161" t="n"/>
      <x:c r="AX150" s="161" t="n"/>
      <x:c r="AY150" s="161" t="n"/>
      <x:c r="AZ150" s="161" t="n"/>
    </x:row>
    <x:row r="151" ht="15" customHeight="1">
      <x:c r="A151" s="161" t="n"/>
      <x:c r="B151" s="161" t="n"/>
      <x:c r="C151" s="161" t="n"/>
      <x:c r="D151" s="161" t="n"/>
      <x:c r="E151" s="161" t="n"/>
      <x:c r="F151" s="161" t="n"/>
      <x:c r="G151" s="161" t="n"/>
      <x:c r="H151" s="161" t="n"/>
      <x:c r="I151" s="161" t="n"/>
      <x:c r="J151" s="161" t="n"/>
      <x:c r="K151" s="161" t="n"/>
      <x:c r="L151" s="161" t="n"/>
      <x:c r="M151" s="161" t="n"/>
      <x:c r="N151" s="161" t="n"/>
      <x:c r="O151" s="161" t="n"/>
      <x:c r="P151" s="161" t="n"/>
      <x:c r="Q151" s="161" t="n"/>
      <x:c r="R151" s="161" t="n"/>
      <x:c r="S151" s="161" t="n"/>
      <x:c r="T151" s="161" t="n"/>
      <x:c r="U151" s="161" t="n"/>
      <x:c r="V151" s="161" t="n"/>
      <x:c r="W151" s="161" t="n"/>
      <x:c r="X151" s="161" t="n"/>
      <x:c r="Y151" s="161" t="n"/>
      <x:c r="Z151" s="161" t="n"/>
      <x:c r="AA151" s="161" t="n"/>
      <x:c r="AB151" s="161" t="n"/>
      <x:c r="AC151" s="161" t="n"/>
      <x:c r="AD151" s="161" t="n"/>
      <x:c r="AE151" s="161" t="n"/>
      <x:c r="AF151" s="161" t="n"/>
      <x:c r="AG151" s="161" t="n"/>
      <x:c r="AH151" s="161" t="n"/>
      <x:c r="AI151" s="161" t="n"/>
      <x:c r="AJ151" s="161" t="n"/>
      <x:c r="AK151" s="161" t="n"/>
      <x:c r="AL151" s="161" t="n"/>
      <x:c r="AM151" s="161" t="n"/>
      <x:c r="AN151" s="161" t="n"/>
      <x:c r="AO151" s="161" t="n"/>
      <x:c r="AP151" s="161" t="n"/>
      <x:c r="AQ151" s="161" t="n"/>
      <x:c r="AR151" s="161" t="n"/>
      <x:c r="AS151" s="161" t="n"/>
      <x:c r="AT151" s="161" t="n"/>
      <x:c r="AU151" s="161" t="n"/>
      <x:c r="AV151" s="161" t="n"/>
      <x:c r="AW151" s="161" t="n"/>
      <x:c r="AX151" s="161" t="n"/>
      <x:c r="AY151" s="161" t="n"/>
      <x:c r="AZ151" s="161" t="n"/>
    </x:row>
    <x:row r="152" ht="15" customHeight="1">
      <x:c r="A152" s="161" t="n"/>
      <x:c r="B152" s="161" t="n"/>
      <x:c r="C152" s="161" t="n"/>
      <x:c r="D152" s="161" t="n"/>
      <x:c r="E152" s="161" t="n"/>
      <x:c r="F152" s="161" t="n"/>
      <x:c r="G152" s="161" t="n"/>
      <x:c r="H152" s="161" t="n"/>
      <x:c r="I152" s="161" t="n"/>
      <x:c r="J152" s="161" t="n"/>
      <x:c r="K152" s="161" t="n"/>
      <x:c r="L152" s="161" t="n"/>
      <x:c r="M152" s="161" t="n"/>
      <x:c r="N152" s="161" t="n"/>
      <x:c r="O152" s="161" t="n"/>
      <x:c r="P152" s="161" t="n"/>
      <x:c r="Q152" s="161" t="n"/>
      <x:c r="R152" s="161" t="n"/>
      <x:c r="S152" s="161" t="n"/>
      <x:c r="T152" s="161" t="n"/>
      <x:c r="U152" s="161" t="n"/>
      <x:c r="V152" s="161" t="n"/>
      <x:c r="W152" s="161" t="n"/>
      <x:c r="X152" s="161" t="n"/>
      <x:c r="Y152" s="161" t="n"/>
      <x:c r="Z152" s="161" t="n"/>
      <x:c r="AA152" s="161" t="n"/>
      <x:c r="AB152" s="161" t="n"/>
      <x:c r="AC152" s="161" t="n"/>
      <x:c r="AD152" s="161" t="n"/>
      <x:c r="AE152" s="161" t="n"/>
      <x:c r="AF152" s="161" t="n"/>
      <x:c r="AG152" s="161" t="n"/>
      <x:c r="AH152" s="161" t="n"/>
      <x:c r="AI152" s="161" t="n"/>
      <x:c r="AJ152" s="161" t="n"/>
      <x:c r="AK152" s="161" t="n"/>
      <x:c r="AL152" s="161" t="n"/>
      <x:c r="AM152" s="161" t="n"/>
      <x:c r="AN152" s="161" t="n"/>
      <x:c r="AO152" s="161" t="n"/>
      <x:c r="AP152" s="161" t="n"/>
      <x:c r="AQ152" s="161" t="n"/>
      <x:c r="AR152" s="161" t="n"/>
      <x:c r="AS152" s="161" t="n"/>
      <x:c r="AT152" s="161" t="n"/>
      <x:c r="AU152" s="161" t="n"/>
      <x:c r="AV152" s="161" t="n"/>
      <x:c r="AW152" s="161" t="n"/>
      <x:c r="AX152" s="161" t="n"/>
      <x:c r="AY152" s="161" t="n"/>
      <x:c r="AZ152" s="161" t="n"/>
    </x:row>
    <x:row r="153" ht="15" customHeight="1">
      <x:c r="A153" s="161" t="n"/>
      <x:c r="B153" s="161" t="n"/>
      <x:c r="C153" s="161" t="n"/>
      <x:c r="D153" s="161" t="n"/>
      <x:c r="E153" s="161" t="n"/>
      <x:c r="F153" s="161" t="n"/>
      <x:c r="G153" s="161" t="n"/>
      <x:c r="H153" s="161" t="n"/>
      <x:c r="I153" s="161" t="n"/>
      <x:c r="J153" s="161" t="n"/>
      <x:c r="K153" s="161" t="n"/>
      <x:c r="L153" s="161" t="n"/>
      <x:c r="M153" s="161" t="n"/>
      <x:c r="N153" s="161" t="n"/>
      <x:c r="O153" s="161" t="n"/>
      <x:c r="P153" s="161" t="n"/>
      <x:c r="Q153" s="161" t="n"/>
      <x:c r="R153" s="161" t="n"/>
      <x:c r="S153" s="161" t="n"/>
      <x:c r="T153" s="161" t="n"/>
      <x:c r="U153" s="161" t="n"/>
      <x:c r="V153" s="161" t="n"/>
      <x:c r="W153" s="161" t="n"/>
      <x:c r="X153" s="161" t="n"/>
      <x:c r="Y153" s="161" t="n"/>
      <x:c r="Z153" s="161" t="n"/>
      <x:c r="AA153" s="161" t="n"/>
      <x:c r="AB153" s="161" t="n"/>
      <x:c r="AC153" s="161" t="n"/>
      <x:c r="AD153" s="161" t="n"/>
      <x:c r="AE153" s="161" t="n"/>
      <x:c r="AF153" s="161" t="n"/>
      <x:c r="AG153" s="161" t="n"/>
      <x:c r="AH153" s="161" t="n"/>
      <x:c r="AI153" s="161" t="n"/>
      <x:c r="AJ153" s="161" t="n"/>
      <x:c r="AK153" s="161" t="n"/>
      <x:c r="AL153" s="161" t="n"/>
      <x:c r="AM153" s="161" t="n"/>
      <x:c r="AN153" s="161" t="n"/>
      <x:c r="AO153" s="161" t="n"/>
      <x:c r="AP153" s="161" t="n"/>
      <x:c r="AQ153" s="161" t="n"/>
      <x:c r="AR153" s="161" t="n"/>
      <x:c r="AS153" s="161" t="n"/>
      <x:c r="AT153" s="161" t="n"/>
      <x:c r="AU153" s="161" t="n"/>
      <x:c r="AV153" s="161" t="n"/>
      <x:c r="AW153" s="161" t="n"/>
      <x:c r="AX153" s="161" t="n"/>
      <x:c r="AY153" s="161" t="n"/>
      <x:c r="AZ153" s="161" t="n"/>
    </x:row>
    <x:row r="154" ht="15" customHeight="1">
      <x:c r="A154" s="161" t="n"/>
      <x:c r="B154" s="161" t="n"/>
      <x:c r="C154" s="161" t="n"/>
      <x:c r="D154" s="161" t="n"/>
      <x:c r="E154" s="161" t="n"/>
      <x:c r="F154" s="161" t="n"/>
      <x:c r="G154" s="161" t="n"/>
      <x:c r="H154" s="161" t="n"/>
      <x:c r="I154" s="161" t="n"/>
      <x:c r="J154" s="161" t="n"/>
      <x:c r="K154" s="161" t="n"/>
      <x:c r="L154" s="161" t="n"/>
      <x:c r="M154" s="161" t="n"/>
      <x:c r="N154" s="161" t="n"/>
      <x:c r="O154" s="161" t="n"/>
      <x:c r="P154" s="161" t="n"/>
      <x:c r="Q154" s="161" t="n"/>
      <x:c r="R154" s="161" t="n"/>
      <x:c r="S154" s="161" t="n"/>
      <x:c r="T154" s="161" t="n"/>
      <x:c r="U154" s="161" t="n"/>
      <x:c r="V154" s="161" t="n"/>
      <x:c r="W154" s="161" t="n"/>
      <x:c r="X154" s="161" t="n"/>
      <x:c r="Y154" s="161" t="n"/>
      <x:c r="Z154" s="161" t="n"/>
      <x:c r="AA154" s="161" t="n"/>
      <x:c r="AB154" s="161" t="n"/>
      <x:c r="AC154" s="161" t="n"/>
      <x:c r="AD154" s="161" t="n"/>
      <x:c r="AE154" s="161" t="n"/>
      <x:c r="AF154" s="161" t="n"/>
      <x:c r="AG154" s="161" t="n"/>
      <x:c r="AH154" s="161" t="n"/>
      <x:c r="AI154" s="161" t="n"/>
      <x:c r="AJ154" s="161" t="n"/>
      <x:c r="AK154" s="161" t="n"/>
      <x:c r="AL154" s="161" t="n"/>
      <x:c r="AM154" s="161" t="n"/>
      <x:c r="AN154" s="161" t="n"/>
      <x:c r="AO154" s="161" t="n"/>
      <x:c r="AP154" s="161" t="n"/>
      <x:c r="AQ154" s="161" t="n"/>
      <x:c r="AR154" s="161" t="n"/>
      <x:c r="AS154" s="161" t="n"/>
      <x:c r="AT154" s="161" t="n"/>
      <x:c r="AU154" s="161" t="n"/>
      <x:c r="AV154" s="161" t="n"/>
      <x:c r="AW154" s="161" t="n"/>
      <x:c r="AX154" s="161" t="n"/>
      <x:c r="AY154" s="161" t="n"/>
      <x:c r="AZ154" s="161" t="n"/>
    </x:row>
    <x:row r="155" ht="15" customHeight="1">
      <x:c r="A155" s="161" t="n"/>
      <x:c r="B155" s="161" t="n"/>
      <x:c r="C155" s="161" t="n"/>
      <x:c r="D155" s="161" t="n"/>
      <x:c r="E155" s="161" t="n"/>
      <x:c r="F155" s="161" t="n"/>
      <x:c r="G155" s="161" t="n"/>
      <x:c r="H155" s="161" t="n"/>
      <x:c r="I155" s="161" t="n"/>
      <x:c r="J155" s="161" t="n"/>
      <x:c r="K155" s="161" t="n"/>
      <x:c r="L155" s="161" t="n"/>
      <x:c r="M155" s="161" t="n"/>
      <x:c r="N155" s="161" t="n"/>
      <x:c r="O155" s="161" t="n"/>
      <x:c r="P155" s="161" t="n"/>
      <x:c r="Q155" s="161" t="n"/>
      <x:c r="R155" s="161" t="n"/>
      <x:c r="S155" s="161" t="n"/>
      <x:c r="T155" s="161" t="n"/>
      <x:c r="U155" s="161" t="n"/>
      <x:c r="V155" s="161" t="n"/>
      <x:c r="W155" s="161" t="n"/>
      <x:c r="X155" s="161" t="n"/>
      <x:c r="Y155" s="161" t="n"/>
      <x:c r="Z155" s="161" t="n"/>
      <x:c r="AA155" s="161" t="n"/>
      <x:c r="AB155" s="161" t="n"/>
      <x:c r="AC155" s="161" t="n"/>
      <x:c r="AD155" s="161" t="n"/>
      <x:c r="AE155" s="161" t="n"/>
      <x:c r="AF155" s="161" t="n"/>
      <x:c r="AG155" s="161" t="n"/>
      <x:c r="AH155" s="161" t="n"/>
      <x:c r="AI155" s="161" t="n"/>
      <x:c r="AJ155" s="161" t="n"/>
      <x:c r="AK155" s="161" t="n"/>
      <x:c r="AL155" s="161" t="n"/>
      <x:c r="AM155" s="161" t="n"/>
      <x:c r="AN155" s="161" t="n"/>
      <x:c r="AO155" s="161" t="n"/>
      <x:c r="AP155" s="161" t="n"/>
      <x:c r="AQ155" s="161" t="n"/>
      <x:c r="AR155" s="161" t="n"/>
      <x:c r="AS155" s="161" t="n"/>
      <x:c r="AT155" s="161" t="n"/>
      <x:c r="AU155" s="161" t="n"/>
      <x:c r="AV155" s="161" t="n"/>
      <x:c r="AW155" s="161" t="n"/>
      <x:c r="AX155" s="161" t="n"/>
      <x:c r="AY155" s="161" t="n"/>
      <x:c r="AZ155" s="161" t="n"/>
    </x:row>
    <x:row r="156" ht="15" customHeight="1">
      <x:c r="A156" s="161" t="n"/>
      <x:c r="B156" s="161" t="n"/>
      <x:c r="C156" s="161" t="n"/>
      <x:c r="D156" s="161" t="n"/>
      <x:c r="E156" s="161" t="n"/>
      <x:c r="F156" s="161" t="n"/>
      <x:c r="G156" s="161" t="n"/>
      <x:c r="H156" s="161" t="n"/>
      <x:c r="I156" s="161" t="n"/>
      <x:c r="J156" s="161" t="n"/>
      <x:c r="K156" s="161" t="n"/>
      <x:c r="L156" s="161" t="n"/>
      <x:c r="M156" s="161" t="n"/>
      <x:c r="N156" s="161" t="n"/>
      <x:c r="O156" s="161" t="n"/>
      <x:c r="P156" s="161" t="n"/>
      <x:c r="Q156" s="161" t="n"/>
      <x:c r="R156" s="161" t="n"/>
      <x:c r="S156" s="161" t="n"/>
      <x:c r="T156" s="161" t="n"/>
      <x:c r="U156" s="161" t="n"/>
      <x:c r="V156" s="161" t="n"/>
      <x:c r="W156" s="161" t="n"/>
      <x:c r="X156" s="161" t="n"/>
      <x:c r="Y156" s="161" t="n"/>
      <x:c r="Z156" s="161" t="n"/>
      <x:c r="AA156" s="161" t="n"/>
      <x:c r="AB156" s="161" t="n"/>
      <x:c r="AC156" s="161" t="n"/>
      <x:c r="AD156" s="161" t="n"/>
      <x:c r="AE156" s="161" t="n"/>
      <x:c r="AF156" s="161" t="n"/>
      <x:c r="AG156" s="161" t="n"/>
      <x:c r="AH156" s="161" t="n"/>
      <x:c r="AI156" s="161" t="n"/>
      <x:c r="AJ156" s="161" t="n"/>
      <x:c r="AK156" s="161" t="n"/>
      <x:c r="AL156" s="161" t="n"/>
      <x:c r="AM156" s="161" t="n"/>
      <x:c r="AN156" s="161" t="n"/>
      <x:c r="AO156" s="161" t="n"/>
      <x:c r="AP156" s="161" t="n"/>
      <x:c r="AQ156" s="161" t="n"/>
      <x:c r="AR156" s="161" t="n"/>
      <x:c r="AS156" s="161" t="n"/>
      <x:c r="AT156" s="161" t="n"/>
      <x:c r="AU156" s="161" t="n"/>
      <x:c r="AV156" s="161" t="n"/>
      <x:c r="AW156" s="161" t="n"/>
      <x:c r="AX156" s="161" t="n"/>
      <x:c r="AY156" s="161" t="n"/>
      <x:c r="AZ156" s="161" t="n"/>
    </x:row>
    <x:row r="157" ht="15" customHeight="1">
      <x:c r="A157" s="161" t="n"/>
      <x:c r="B157" s="161" t="n"/>
      <x:c r="C157" s="161" t="n"/>
      <x:c r="D157" s="161" t="n"/>
      <x:c r="E157" s="161" t="n"/>
      <x:c r="F157" s="161" t="n"/>
      <x:c r="G157" s="161" t="n"/>
      <x:c r="H157" s="161" t="n"/>
      <x:c r="I157" s="161" t="n"/>
      <x:c r="J157" s="161" t="n"/>
      <x:c r="K157" s="161" t="n"/>
      <x:c r="L157" s="161" t="n"/>
      <x:c r="M157" s="161" t="n"/>
      <x:c r="N157" s="161" t="n"/>
      <x:c r="O157" s="161" t="n"/>
      <x:c r="P157" s="161" t="n"/>
      <x:c r="Q157" s="161" t="n"/>
      <x:c r="R157" s="161" t="n"/>
      <x:c r="S157" s="161" t="n"/>
      <x:c r="T157" s="161" t="n"/>
      <x:c r="U157" s="161" t="n"/>
      <x:c r="V157" s="161" t="n"/>
      <x:c r="W157" s="161" t="n"/>
      <x:c r="X157" s="161" t="n"/>
      <x:c r="Y157" s="161" t="n"/>
      <x:c r="Z157" s="161" t="n"/>
      <x:c r="AA157" s="161" t="n"/>
      <x:c r="AB157" s="161" t="n"/>
      <x:c r="AC157" s="161" t="n"/>
      <x:c r="AD157" s="161" t="n"/>
      <x:c r="AE157" s="161" t="n"/>
      <x:c r="AF157" s="161" t="n"/>
      <x:c r="AG157" s="161" t="n"/>
      <x:c r="AH157" s="161" t="n"/>
      <x:c r="AI157" s="161" t="n"/>
      <x:c r="AJ157" s="161" t="n"/>
      <x:c r="AK157" s="161" t="n"/>
      <x:c r="AL157" s="161" t="n"/>
      <x:c r="AM157" s="161" t="n"/>
      <x:c r="AN157" s="161" t="n"/>
      <x:c r="AO157" s="161" t="n"/>
      <x:c r="AP157" s="161" t="n"/>
      <x:c r="AQ157" s="161" t="n"/>
      <x:c r="AR157" s="161" t="n"/>
      <x:c r="AS157" s="161" t="n"/>
      <x:c r="AT157" s="161" t="n"/>
      <x:c r="AU157" s="161" t="n"/>
      <x:c r="AV157" s="161" t="n"/>
      <x:c r="AW157" s="161" t="n"/>
      <x:c r="AX157" s="161" t="n"/>
      <x:c r="AY157" s="161" t="n"/>
      <x:c r="AZ157" s="161" t="n"/>
    </x:row>
    <x:row r="158" ht="15" customHeight="1">
      <x:c r="A158" s="161" t="n"/>
      <x:c r="B158" s="161" t="n"/>
      <x:c r="C158" s="161" t="n"/>
      <x:c r="D158" s="161" t="n"/>
      <x:c r="E158" s="161" t="n"/>
      <x:c r="F158" s="161" t="n"/>
      <x:c r="G158" s="161" t="n"/>
      <x:c r="H158" s="161" t="n"/>
      <x:c r="I158" s="161" t="n"/>
      <x:c r="J158" s="161" t="n"/>
      <x:c r="K158" s="161" t="n"/>
      <x:c r="L158" s="161" t="n"/>
      <x:c r="M158" s="161" t="n"/>
      <x:c r="N158" s="161" t="n"/>
      <x:c r="O158" s="161" t="n"/>
      <x:c r="P158" s="161" t="n"/>
      <x:c r="Q158" s="161" t="n"/>
      <x:c r="R158" s="161" t="n"/>
      <x:c r="S158" s="161" t="n"/>
      <x:c r="T158" s="161" t="n"/>
      <x:c r="U158" s="161" t="n"/>
      <x:c r="V158" s="161" t="n"/>
      <x:c r="W158" s="161" t="n"/>
      <x:c r="X158" s="161" t="n"/>
      <x:c r="Y158" s="161" t="n"/>
      <x:c r="Z158" s="161" t="n"/>
      <x:c r="AA158" s="161" t="n"/>
      <x:c r="AB158" s="161" t="n"/>
      <x:c r="AC158" s="161" t="n"/>
      <x:c r="AD158" s="161" t="n"/>
      <x:c r="AE158" s="161" t="n"/>
      <x:c r="AF158" s="161" t="n"/>
      <x:c r="AG158" s="161" t="n"/>
      <x:c r="AH158" s="161" t="n"/>
      <x:c r="AI158" s="161" t="n"/>
      <x:c r="AJ158" s="161" t="n"/>
      <x:c r="AK158" s="161" t="n"/>
      <x:c r="AL158" s="161" t="n"/>
      <x:c r="AM158" s="161" t="n"/>
      <x:c r="AN158" s="161" t="n"/>
      <x:c r="AO158" s="161" t="n"/>
      <x:c r="AP158" s="161" t="n"/>
      <x:c r="AQ158" s="161" t="n"/>
      <x:c r="AR158" s="161" t="n"/>
      <x:c r="AS158" s="161" t="n"/>
      <x:c r="AT158" s="161" t="n"/>
      <x:c r="AU158" s="161" t="n"/>
      <x:c r="AV158" s="161" t="n"/>
      <x:c r="AW158" s="161" t="n"/>
      <x:c r="AX158" s="161" t="n"/>
      <x:c r="AY158" s="161" t="n"/>
      <x:c r="AZ158" s="161" t="n"/>
    </x:row>
    <x:row r="159" ht="15" customHeight="1">
      <x:c r="A159" s="161" t="n"/>
      <x:c r="B159" s="161" t="n"/>
      <x:c r="C159" s="161" t="n"/>
      <x:c r="D159" s="161" t="n"/>
      <x:c r="E159" s="161" t="n"/>
      <x:c r="F159" s="161" t="n"/>
      <x:c r="G159" s="161" t="n"/>
      <x:c r="H159" s="161" t="n"/>
      <x:c r="I159" s="161" t="n"/>
      <x:c r="J159" s="161" t="n"/>
      <x:c r="K159" s="161" t="n"/>
      <x:c r="L159" s="161" t="n"/>
      <x:c r="M159" s="161" t="n"/>
      <x:c r="N159" s="161" t="n"/>
      <x:c r="O159" s="161" t="n"/>
      <x:c r="P159" s="161" t="n"/>
      <x:c r="Q159" s="161" t="n"/>
      <x:c r="R159" s="161" t="n"/>
      <x:c r="S159" s="161" t="n"/>
      <x:c r="T159" s="161" t="n"/>
      <x:c r="U159" s="161" t="n"/>
      <x:c r="V159" s="161" t="n"/>
      <x:c r="W159" s="161" t="n"/>
      <x:c r="X159" s="161" t="n"/>
      <x:c r="Y159" s="161" t="n"/>
      <x:c r="Z159" s="161" t="n"/>
      <x:c r="AA159" s="161" t="n"/>
      <x:c r="AB159" s="161" t="n"/>
      <x:c r="AC159" s="161" t="n"/>
      <x:c r="AD159" s="161" t="n"/>
      <x:c r="AE159" s="161" t="n"/>
      <x:c r="AF159" s="161" t="n"/>
      <x:c r="AG159" s="161" t="n"/>
      <x:c r="AH159" s="161" t="n"/>
      <x:c r="AI159" s="161" t="n"/>
      <x:c r="AJ159" s="161" t="n"/>
      <x:c r="AK159" s="161" t="n"/>
      <x:c r="AL159" s="161" t="n"/>
      <x:c r="AM159" s="161" t="n"/>
      <x:c r="AN159" s="161" t="n"/>
      <x:c r="AO159" s="161" t="n"/>
      <x:c r="AP159" s="161" t="n"/>
      <x:c r="AQ159" s="161" t="n"/>
      <x:c r="AR159" s="161" t="n"/>
      <x:c r="AS159" s="161" t="n"/>
      <x:c r="AT159" s="161" t="n"/>
      <x:c r="AU159" s="161" t="n"/>
      <x:c r="AV159" s="161" t="n"/>
      <x:c r="AW159" s="161" t="n"/>
      <x:c r="AX159" s="161" t="n"/>
      <x:c r="AY159" s="161" t="n"/>
      <x:c r="AZ159" s="161" t="n"/>
    </x:row>
    <x:row r="160" ht="15" customHeight="1">
      <x:c r="A160" s="161" t="n"/>
      <x:c r="B160" s="161" t="n"/>
      <x:c r="C160" s="161" t="n"/>
      <x:c r="D160" s="161" t="n"/>
      <x:c r="E160" s="161" t="n"/>
      <x:c r="F160" s="161" t="n"/>
      <x:c r="G160" s="161" t="n"/>
      <x:c r="H160" s="161" t="n"/>
      <x:c r="I160" s="161" t="n"/>
      <x:c r="J160" s="161" t="n"/>
      <x:c r="K160" s="161" t="n"/>
      <x:c r="L160" s="161" t="n"/>
      <x:c r="M160" s="161" t="n"/>
      <x:c r="N160" s="161" t="n"/>
      <x:c r="O160" s="161" t="n"/>
      <x:c r="P160" s="161" t="n"/>
      <x:c r="Q160" s="161" t="n"/>
      <x:c r="R160" s="161" t="n"/>
      <x:c r="S160" s="161" t="n"/>
      <x:c r="T160" s="161" t="n"/>
      <x:c r="U160" s="161" t="n"/>
      <x:c r="V160" s="161" t="n"/>
      <x:c r="W160" s="161" t="n"/>
      <x:c r="X160" s="161" t="n"/>
      <x:c r="Y160" s="161" t="n"/>
      <x:c r="Z160" s="161" t="n"/>
      <x:c r="AA160" s="161" t="n"/>
      <x:c r="AB160" s="161" t="n"/>
      <x:c r="AC160" s="161" t="n"/>
      <x:c r="AD160" s="161" t="n"/>
      <x:c r="AE160" s="161" t="n"/>
      <x:c r="AF160" s="161" t="n"/>
      <x:c r="AG160" s="161" t="n"/>
      <x:c r="AH160" s="161" t="n"/>
      <x:c r="AI160" s="161" t="n"/>
      <x:c r="AJ160" s="161" t="n"/>
      <x:c r="AK160" s="161" t="n"/>
      <x:c r="AL160" s="161" t="n"/>
      <x:c r="AM160" s="161" t="n"/>
      <x:c r="AN160" s="161" t="n"/>
      <x:c r="AO160" s="161" t="n"/>
      <x:c r="AP160" s="161" t="n"/>
      <x:c r="AQ160" s="161" t="n"/>
      <x:c r="AR160" s="161" t="n"/>
      <x:c r="AS160" s="161" t="n"/>
      <x:c r="AT160" s="161" t="n"/>
      <x:c r="AU160" s="161" t="n"/>
      <x:c r="AV160" s="161" t="n"/>
      <x:c r="AW160" s="161" t="n"/>
      <x:c r="AX160" s="161" t="n"/>
      <x:c r="AY160" s="161" t="n"/>
      <x:c r="AZ160" s="161" t="n"/>
    </x:row>
    <x:row r="161" ht="15" customHeight="1">
      <x:c r="A161" s="161" t="n"/>
      <x:c r="B161" s="161" t="n"/>
      <x:c r="C161" s="161" t="n"/>
      <x:c r="D161" s="161" t="n"/>
      <x:c r="E161" s="161" t="n"/>
      <x:c r="F161" s="161" t="n"/>
      <x:c r="G161" s="161" t="n"/>
      <x:c r="H161" s="161" t="n"/>
      <x:c r="I161" s="161" t="n"/>
      <x:c r="J161" s="161" t="n"/>
      <x:c r="K161" s="161" t="n"/>
      <x:c r="L161" s="161" t="n"/>
      <x:c r="M161" s="161" t="n"/>
      <x:c r="N161" s="161" t="n"/>
      <x:c r="O161" s="161" t="n"/>
      <x:c r="P161" s="161" t="n"/>
      <x:c r="Q161" s="161" t="n"/>
      <x:c r="R161" s="161" t="n"/>
      <x:c r="S161" s="161" t="n"/>
      <x:c r="T161" s="161" t="n"/>
      <x:c r="U161" s="161" t="n"/>
      <x:c r="V161" s="161" t="n"/>
      <x:c r="W161" s="161" t="n"/>
      <x:c r="X161" s="161" t="n"/>
      <x:c r="Y161" s="161" t="n"/>
      <x:c r="Z161" s="161" t="n"/>
      <x:c r="AA161" s="161" t="n"/>
      <x:c r="AB161" s="161" t="n"/>
      <x:c r="AC161" s="161" t="n"/>
      <x:c r="AD161" s="161" t="n"/>
      <x:c r="AE161" s="161" t="n"/>
      <x:c r="AF161" s="161" t="n"/>
      <x:c r="AG161" s="161" t="n"/>
      <x:c r="AH161" s="161" t="n"/>
      <x:c r="AI161" s="161" t="n"/>
      <x:c r="AJ161" s="161" t="n"/>
      <x:c r="AK161" s="161" t="n"/>
      <x:c r="AL161" s="161" t="n"/>
      <x:c r="AM161" s="161" t="n"/>
      <x:c r="AN161" s="161" t="n"/>
      <x:c r="AO161" s="161" t="n"/>
      <x:c r="AP161" s="161" t="n"/>
      <x:c r="AQ161" s="161" t="n"/>
      <x:c r="AR161" s="161" t="n"/>
      <x:c r="AS161" s="161" t="n"/>
      <x:c r="AT161" s="161" t="n"/>
      <x:c r="AU161" s="161" t="n"/>
      <x:c r="AV161" s="161" t="n"/>
      <x:c r="AW161" s="161" t="n"/>
      <x:c r="AX161" s="161" t="n"/>
      <x:c r="AY161" s="161" t="n"/>
      <x:c r="AZ161" s="161" t="n"/>
    </x:row>
    <x:row r="162" ht="15" customHeight="1">
      <x:c r="A162" s="161" t="n"/>
      <x:c r="B162" s="161" t="n"/>
      <x:c r="C162" s="161" t="n"/>
      <x:c r="D162" s="161" t="n"/>
      <x:c r="E162" s="161" t="n"/>
      <x:c r="F162" s="161" t="n"/>
      <x:c r="G162" s="161" t="n"/>
      <x:c r="H162" s="161" t="n"/>
      <x:c r="I162" s="161" t="n"/>
      <x:c r="J162" s="161" t="n"/>
      <x:c r="K162" s="161" t="n"/>
      <x:c r="L162" s="161" t="n"/>
      <x:c r="M162" s="161" t="n"/>
      <x:c r="N162" s="161" t="n"/>
      <x:c r="O162" s="161" t="n"/>
      <x:c r="P162" s="161" t="n"/>
      <x:c r="Q162" s="161" t="n"/>
      <x:c r="R162" s="161" t="n"/>
      <x:c r="S162" s="161" t="n"/>
      <x:c r="T162" s="161" t="n"/>
      <x:c r="U162" s="161" t="n"/>
      <x:c r="V162" s="161" t="n"/>
      <x:c r="W162" s="161" t="n"/>
      <x:c r="X162" s="161" t="n"/>
      <x:c r="Y162" s="161" t="n"/>
      <x:c r="Z162" s="161" t="n"/>
      <x:c r="AA162" s="161" t="n"/>
      <x:c r="AB162" s="161" t="n"/>
      <x:c r="AC162" s="161" t="n"/>
      <x:c r="AD162" s="161" t="n"/>
      <x:c r="AE162" s="161" t="n"/>
      <x:c r="AF162" s="161" t="n"/>
      <x:c r="AG162" s="161" t="n"/>
      <x:c r="AH162" s="161" t="n"/>
      <x:c r="AI162" s="161" t="n"/>
      <x:c r="AJ162" s="161" t="n"/>
      <x:c r="AK162" s="161" t="n"/>
      <x:c r="AL162" s="161" t="n"/>
      <x:c r="AM162" s="161" t="n"/>
      <x:c r="AN162" s="161" t="n"/>
      <x:c r="AO162" s="161" t="n"/>
      <x:c r="AP162" s="161" t="n"/>
      <x:c r="AQ162" s="161" t="n"/>
      <x:c r="AR162" s="161" t="n"/>
      <x:c r="AS162" s="161" t="n"/>
      <x:c r="AT162" s="161" t="n"/>
      <x:c r="AU162" s="161" t="n"/>
      <x:c r="AV162" s="161" t="n"/>
      <x:c r="AW162" s="161" t="n"/>
      <x:c r="AX162" s="161" t="n"/>
      <x:c r="AY162" s="161" t="n"/>
      <x:c r="AZ162" s="161" t="n"/>
    </x:row>
    <x:row r="163" ht="15" customHeight="1">
      <x:c r="A163" s="161" t="n"/>
      <x:c r="B163" s="161" t="n"/>
      <x:c r="C163" s="161" t="n"/>
      <x:c r="D163" s="161" t="n"/>
      <x:c r="E163" s="161" t="n"/>
      <x:c r="F163" s="161" t="n"/>
      <x:c r="G163" s="161" t="n"/>
      <x:c r="H163" s="161" t="n"/>
      <x:c r="I163" s="161" t="n"/>
      <x:c r="J163" s="161" t="n"/>
      <x:c r="K163" s="161" t="n"/>
      <x:c r="L163" s="161" t="n"/>
      <x:c r="M163" s="161" t="n"/>
      <x:c r="N163" s="161" t="n"/>
      <x:c r="O163" s="161" t="n"/>
      <x:c r="P163" s="161" t="n"/>
      <x:c r="Q163" s="161" t="n"/>
      <x:c r="R163" s="161" t="n"/>
      <x:c r="S163" s="161" t="n"/>
      <x:c r="T163" s="161" t="n"/>
      <x:c r="U163" s="161" t="n"/>
      <x:c r="V163" s="161" t="n"/>
      <x:c r="W163" s="161" t="n"/>
      <x:c r="X163" s="161" t="n"/>
      <x:c r="Y163" s="161" t="n"/>
      <x:c r="Z163" s="161" t="n"/>
      <x:c r="AA163" s="161" t="n"/>
      <x:c r="AB163" s="161" t="n"/>
      <x:c r="AC163" s="161" t="n"/>
      <x:c r="AD163" s="161" t="n"/>
      <x:c r="AE163" s="161" t="n"/>
      <x:c r="AF163" s="161" t="n"/>
      <x:c r="AG163" s="161" t="n"/>
      <x:c r="AH163" s="161" t="n"/>
      <x:c r="AI163" s="161" t="n"/>
      <x:c r="AJ163" s="161" t="n"/>
      <x:c r="AK163" s="161" t="n"/>
      <x:c r="AL163" s="161" t="n"/>
      <x:c r="AM163" s="161" t="n"/>
      <x:c r="AN163" s="161" t="n"/>
      <x:c r="AO163" s="161" t="n"/>
      <x:c r="AP163" s="161" t="n"/>
      <x:c r="AQ163" s="161" t="n"/>
      <x:c r="AR163" s="161" t="n"/>
      <x:c r="AS163" s="161" t="n"/>
      <x:c r="AT163" s="161" t="n"/>
      <x:c r="AU163" s="161" t="n"/>
      <x:c r="AV163" s="161" t="n"/>
      <x:c r="AW163" s="161" t="n"/>
      <x:c r="AX163" s="161" t="n"/>
      <x:c r="AY163" s="161" t="n"/>
      <x:c r="AZ163" s="161" t="n"/>
    </x:row>
    <x:row r="164" ht="15" customHeight="1">
      <x:c r="A164" s="161" t="n"/>
      <x:c r="B164" s="161" t="n"/>
      <x:c r="C164" s="161" t="n"/>
      <x:c r="D164" s="161" t="n"/>
      <x:c r="E164" s="161" t="n"/>
      <x:c r="F164" s="161" t="n"/>
      <x:c r="G164" s="161" t="n"/>
      <x:c r="H164" s="161" t="n"/>
      <x:c r="I164" s="161" t="n"/>
      <x:c r="J164" s="161" t="n"/>
      <x:c r="K164" s="161" t="n"/>
      <x:c r="L164" s="161" t="n"/>
      <x:c r="M164" s="161" t="n"/>
      <x:c r="N164" s="161" t="n"/>
      <x:c r="O164" s="161" t="n"/>
      <x:c r="P164" s="161" t="n"/>
      <x:c r="Q164" s="161" t="n"/>
      <x:c r="R164" s="161" t="n"/>
      <x:c r="S164" s="161" t="n"/>
      <x:c r="T164" s="161" t="n"/>
      <x:c r="U164" s="161" t="n"/>
      <x:c r="V164" s="161" t="n"/>
      <x:c r="W164" s="161" t="n"/>
      <x:c r="X164" s="161" t="n"/>
      <x:c r="Y164" s="161" t="n"/>
      <x:c r="Z164" s="161" t="n"/>
      <x:c r="AA164" s="161" t="n"/>
      <x:c r="AB164" s="161" t="n"/>
      <x:c r="AC164" s="161" t="n"/>
      <x:c r="AD164" s="161" t="n"/>
      <x:c r="AE164" s="161" t="n"/>
      <x:c r="AF164" s="161" t="n"/>
      <x:c r="AG164" s="161" t="n"/>
      <x:c r="AH164" s="161" t="n"/>
      <x:c r="AI164" s="161" t="n"/>
      <x:c r="AJ164" s="161" t="n"/>
      <x:c r="AK164" s="161" t="n"/>
      <x:c r="AL164" s="161" t="n"/>
      <x:c r="AM164" s="161" t="n"/>
      <x:c r="AN164" s="161" t="n"/>
      <x:c r="AO164" s="161" t="n"/>
      <x:c r="AP164" s="161" t="n"/>
      <x:c r="AQ164" s="161" t="n"/>
      <x:c r="AR164" s="161" t="n"/>
      <x:c r="AS164" s="161" t="n"/>
      <x:c r="AT164" s="161" t="n"/>
      <x:c r="AU164" s="161" t="n"/>
      <x:c r="AV164" s="161" t="n"/>
      <x:c r="AW164" s="161" t="n"/>
      <x:c r="AX164" s="161" t="n"/>
      <x:c r="AY164" s="161" t="n"/>
      <x:c r="AZ164" s="161" t="n"/>
    </x:row>
    <x:row r="165" ht="15" customHeight="1">
      <x:c r="A165" s="161" t="n"/>
      <x:c r="B165" s="161" t="n"/>
      <x:c r="C165" s="161" t="n"/>
      <x:c r="D165" s="161" t="n"/>
      <x:c r="E165" s="161" t="n"/>
      <x:c r="F165" s="161" t="n"/>
      <x:c r="G165" s="161" t="n"/>
      <x:c r="H165" s="161" t="n"/>
      <x:c r="I165" s="161" t="n"/>
      <x:c r="J165" s="161" t="n"/>
      <x:c r="K165" s="161" t="n"/>
      <x:c r="L165" s="161" t="n"/>
      <x:c r="M165" s="161" t="n"/>
      <x:c r="N165" s="161" t="n"/>
      <x:c r="O165" s="161" t="n"/>
      <x:c r="P165" s="161" t="n"/>
      <x:c r="Q165" s="161" t="n"/>
      <x:c r="R165" s="161" t="n"/>
      <x:c r="S165" s="161" t="n"/>
      <x:c r="T165" s="161" t="n"/>
      <x:c r="U165" s="161" t="n"/>
      <x:c r="V165" s="161" t="n"/>
      <x:c r="W165" s="161" t="n"/>
      <x:c r="X165" s="161" t="n"/>
      <x:c r="Y165" s="161" t="n"/>
      <x:c r="Z165" s="161" t="n"/>
      <x:c r="AA165" s="161" t="n"/>
      <x:c r="AB165" s="161" t="n"/>
      <x:c r="AC165" s="161" t="n"/>
      <x:c r="AD165" s="161" t="n"/>
      <x:c r="AE165" s="161" t="n"/>
      <x:c r="AF165" s="161" t="n"/>
      <x:c r="AG165" s="161" t="n"/>
      <x:c r="AH165" s="161" t="n"/>
      <x:c r="AI165" s="161" t="n"/>
      <x:c r="AJ165" s="161" t="n"/>
      <x:c r="AK165" s="161" t="n"/>
      <x:c r="AL165" s="161" t="n"/>
      <x:c r="AM165" s="161" t="n"/>
      <x:c r="AN165" s="161" t="n"/>
      <x:c r="AO165" s="161" t="n"/>
      <x:c r="AP165" s="161" t="n"/>
      <x:c r="AQ165" s="161" t="n"/>
      <x:c r="AR165" s="161" t="n"/>
      <x:c r="AS165" s="161" t="n"/>
      <x:c r="AT165" s="161" t="n"/>
      <x:c r="AU165" s="161" t="n"/>
      <x:c r="AV165" s="161" t="n"/>
      <x:c r="AW165" s="161" t="n"/>
      <x:c r="AX165" s="161" t="n"/>
      <x:c r="AY165" s="161" t="n"/>
      <x:c r="AZ165" s="161" t="n"/>
    </x:row>
    <x:row r="166" ht="15" customHeight="1">
      <x:c r="A166" s="161" t="n"/>
      <x:c r="B166" s="161" t="n"/>
      <x:c r="C166" s="161" t="n"/>
      <x:c r="D166" s="161" t="n"/>
      <x:c r="E166" s="161" t="n"/>
      <x:c r="F166" s="161" t="n"/>
      <x:c r="G166" s="161" t="n"/>
      <x:c r="H166" s="161" t="n"/>
      <x:c r="I166" s="161" t="n"/>
      <x:c r="J166" s="161" t="n"/>
      <x:c r="K166" s="161" t="n"/>
      <x:c r="L166" s="161" t="n"/>
      <x:c r="M166" s="161" t="n"/>
      <x:c r="N166" s="161" t="n"/>
      <x:c r="O166" s="161" t="n"/>
      <x:c r="P166" s="161" t="n"/>
      <x:c r="Q166" s="161" t="n"/>
      <x:c r="R166" s="161" t="n"/>
      <x:c r="S166" s="161" t="n"/>
      <x:c r="T166" s="161" t="n"/>
      <x:c r="U166" s="161" t="n"/>
      <x:c r="V166" s="161" t="n"/>
      <x:c r="W166" s="161" t="n"/>
      <x:c r="X166" s="161" t="n"/>
      <x:c r="Y166" s="161" t="n"/>
      <x:c r="Z166" s="161" t="n"/>
      <x:c r="AA166" s="161" t="n"/>
      <x:c r="AB166" s="161" t="n"/>
      <x:c r="AC166" s="161" t="n"/>
      <x:c r="AD166" s="161" t="n"/>
      <x:c r="AE166" s="161" t="n"/>
      <x:c r="AF166" s="161" t="n"/>
      <x:c r="AG166" s="161" t="n"/>
      <x:c r="AH166" s="161" t="n"/>
      <x:c r="AI166" s="161" t="n"/>
      <x:c r="AJ166" s="161" t="n"/>
      <x:c r="AK166" s="161" t="n"/>
      <x:c r="AL166" s="161" t="n"/>
      <x:c r="AM166" s="161" t="n"/>
      <x:c r="AN166" s="161" t="n"/>
      <x:c r="AO166" s="161" t="n"/>
      <x:c r="AP166" s="161" t="n"/>
      <x:c r="AQ166" s="161" t="n"/>
      <x:c r="AR166" s="161" t="n"/>
      <x:c r="AS166" s="161" t="n"/>
      <x:c r="AT166" s="161" t="n"/>
      <x:c r="AU166" s="161" t="n"/>
      <x:c r="AV166" s="161" t="n"/>
      <x:c r="AW166" s="161" t="n"/>
      <x:c r="AX166" s="161" t="n"/>
      <x:c r="AY166" s="161" t="n"/>
      <x:c r="AZ166" s="161" t="n"/>
    </x:row>
    <x:row r="167" ht="15" customHeight="1">
      <x:c r="A167" s="161" t="n"/>
      <x:c r="B167" s="161" t="n"/>
      <x:c r="C167" s="161" t="n"/>
      <x:c r="D167" s="161" t="n"/>
      <x:c r="E167" s="161" t="n"/>
      <x:c r="F167" s="161" t="n"/>
      <x:c r="G167" s="161" t="n"/>
      <x:c r="H167" s="161" t="n"/>
      <x:c r="I167" s="161" t="n"/>
      <x:c r="J167" s="161" t="n"/>
      <x:c r="K167" s="161" t="n"/>
      <x:c r="L167" s="161" t="n"/>
      <x:c r="M167" s="161" t="n"/>
      <x:c r="N167" s="161" t="n"/>
      <x:c r="O167" s="161" t="n"/>
      <x:c r="P167" s="161" t="n"/>
      <x:c r="Q167" s="161" t="n"/>
      <x:c r="R167" s="161" t="n"/>
      <x:c r="S167" s="161" t="n"/>
      <x:c r="T167" s="161" t="n"/>
      <x:c r="U167" s="161" t="n"/>
      <x:c r="V167" s="161" t="n"/>
      <x:c r="W167" s="161" t="n"/>
      <x:c r="X167" s="161" t="n"/>
      <x:c r="Y167" s="161" t="n"/>
      <x:c r="Z167" s="161" t="n"/>
      <x:c r="AA167" s="161" t="n"/>
      <x:c r="AB167" s="161" t="n"/>
      <x:c r="AC167" s="161" t="n"/>
      <x:c r="AD167" s="161" t="n"/>
      <x:c r="AE167" s="161" t="n"/>
      <x:c r="AF167" s="161" t="n"/>
      <x:c r="AG167" s="161" t="n"/>
      <x:c r="AH167" s="161" t="n"/>
      <x:c r="AI167" s="161" t="n"/>
      <x:c r="AJ167" s="161" t="n"/>
      <x:c r="AK167" s="161" t="n"/>
      <x:c r="AL167" s="161" t="n"/>
      <x:c r="AM167" s="161" t="n"/>
      <x:c r="AN167" s="161" t="n"/>
      <x:c r="AO167" s="161" t="n"/>
      <x:c r="AP167" s="161" t="n"/>
      <x:c r="AQ167" s="161" t="n"/>
      <x:c r="AR167" s="161" t="n"/>
      <x:c r="AS167" s="161" t="n"/>
      <x:c r="AT167" s="161" t="n"/>
      <x:c r="AU167" s="161" t="n"/>
      <x:c r="AV167" s="161" t="n"/>
      <x:c r="AW167" s="161" t="n"/>
      <x:c r="AX167" s="161" t="n"/>
      <x:c r="AY167" s="161" t="n"/>
      <x:c r="AZ167" s="161" t="n"/>
    </x:row>
    <x:row r="168" ht="15" customHeight="1">
      <x:c r="A168" s="161" t="n"/>
      <x:c r="B168" s="161" t="n"/>
      <x:c r="C168" s="161" t="n"/>
      <x:c r="D168" s="161" t="n"/>
      <x:c r="E168" s="161" t="n"/>
      <x:c r="F168" s="161" t="n"/>
      <x:c r="G168" s="161" t="n"/>
      <x:c r="H168" s="161" t="n"/>
      <x:c r="I168" s="161" t="n"/>
      <x:c r="J168" s="161" t="n"/>
      <x:c r="K168" s="161" t="n"/>
      <x:c r="L168" s="161" t="n"/>
      <x:c r="M168" s="161" t="n"/>
      <x:c r="N168" s="161" t="n"/>
      <x:c r="O168" s="161" t="n"/>
      <x:c r="P168" s="161" t="n"/>
      <x:c r="Q168" s="161" t="n"/>
      <x:c r="R168" s="161" t="n"/>
      <x:c r="S168" s="161" t="n"/>
      <x:c r="T168" s="161" t="n"/>
      <x:c r="U168" s="161" t="n"/>
      <x:c r="V168" s="161" t="n"/>
      <x:c r="W168" s="161" t="n"/>
      <x:c r="X168" s="161" t="n"/>
      <x:c r="Y168" s="161" t="n"/>
      <x:c r="Z168" s="161" t="n"/>
      <x:c r="AA168" s="161" t="n"/>
      <x:c r="AB168" s="161" t="n"/>
      <x:c r="AC168" s="161" t="n"/>
      <x:c r="AD168" s="161" t="n"/>
      <x:c r="AE168" s="161" t="n"/>
      <x:c r="AF168" s="161" t="n"/>
      <x:c r="AG168" s="161" t="n"/>
      <x:c r="AH168" s="161" t="n"/>
      <x:c r="AI168" s="161" t="n"/>
      <x:c r="AJ168" s="161" t="n"/>
      <x:c r="AK168" s="161" t="n"/>
      <x:c r="AL168" s="161" t="n"/>
      <x:c r="AM168" s="161" t="n"/>
      <x:c r="AN168" s="161" t="n"/>
      <x:c r="AO168" s="161" t="n"/>
      <x:c r="AP168" s="161" t="n"/>
      <x:c r="AQ168" s="161" t="n"/>
      <x:c r="AR168" s="161" t="n"/>
      <x:c r="AS168" s="161" t="n"/>
      <x:c r="AT168" s="161" t="n"/>
      <x:c r="AU168" s="161" t="n"/>
      <x:c r="AV168" s="161" t="n"/>
      <x:c r="AW168" s="161" t="n"/>
      <x:c r="AX168" s="161" t="n"/>
      <x:c r="AY168" s="161" t="n"/>
      <x:c r="AZ168" s="161" t="n"/>
    </x:row>
    <x:row r="169" ht="15" customHeight="1">
      <x:c r="A169" s="161" t="n"/>
      <x:c r="B169" s="161" t="n"/>
      <x:c r="C169" s="161" t="n"/>
      <x:c r="D169" s="161" t="n"/>
      <x:c r="E169" s="161" t="n"/>
      <x:c r="F169" s="161" t="n"/>
      <x:c r="G169" s="161" t="n"/>
      <x:c r="H169" s="161" t="n"/>
      <x:c r="I169" s="161" t="n"/>
      <x:c r="J169" s="161" t="n"/>
      <x:c r="K169" s="161" t="n"/>
      <x:c r="L169" s="161" t="n"/>
      <x:c r="M169" s="161" t="n"/>
      <x:c r="N169" s="161" t="n"/>
      <x:c r="O169" s="161" t="n"/>
      <x:c r="P169" s="161" t="n"/>
      <x:c r="Q169" s="161" t="n"/>
      <x:c r="R169" s="161" t="n"/>
      <x:c r="S169" s="161" t="n"/>
      <x:c r="T169" s="161" t="n"/>
      <x:c r="U169" s="161" t="n"/>
      <x:c r="V169" s="161" t="n"/>
      <x:c r="W169" s="161" t="n"/>
      <x:c r="X169" s="161" t="n"/>
      <x:c r="Y169" s="161" t="n"/>
      <x:c r="Z169" s="161" t="n"/>
      <x:c r="AA169" s="161" t="n"/>
      <x:c r="AB169" s="161" t="n"/>
      <x:c r="AC169" s="161" t="n"/>
      <x:c r="AD169" s="161" t="n"/>
      <x:c r="AE169" s="161" t="n"/>
      <x:c r="AF169" s="161" t="n"/>
      <x:c r="AG169" s="161" t="n"/>
      <x:c r="AH169" s="161" t="n"/>
      <x:c r="AI169" s="161" t="n"/>
      <x:c r="AJ169" s="161" t="n"/>
      <x:c r="AK169" s="161" t="n"/>
      <x:c r="AL169" s="161" t="n"/>
      <x:c r="AM169" s="161" t="n"/>
      <x:c r="AN169" s="161" t="n"/>
      <x:c r="AO169" s="161" t="n"/>
      <x:c r="AP169" s="161" t="n"/>
      <x:c r="AQ169" s="161" t="n"/>
      <x:c r="AR169" s="161" t="n"/>
      <x:c r="AS169" s="161" t="n"/>
      <x:c r="AT169" s="161" t="n"/>
      <x:c r="AU169" s="161" t="n"/>
      <x:c r="AV169" s="161" t="n"/>
      <x:c r="AW169" s="161" t="n"/>
      <x:c r="AX169" s="161" t="n"/>
      <x:c r="AY169" s="161" t="n"/>
      <x:c r="AZ169" s="161" t="n"/>
    </x:row>
    <x:row r="170" ht="15" customHeight="1">
      <x:c r="A170" s="161" t="n"/>
      <x:c r="B170" s="161" t="n"/>
      <x:c r="C170" s="161" t="n"/>
      <x:c r="D170" s="161" t="n"/>
      <x:c r="E170" s="161" t="n"/>
      <x:c r="F170" s="161" t="n"/>
      <x:c r="G170" s="161" t="n"/>
      <x:c r="H170" s="161" t="n"/>
      <x:c r="I170" s="161" t="n"/>
      <x:c r="J170" s="161" t="n"/>
      <x:c r="K170" s="161" t="n"/>
      <x:c r="L170" s="161" t="n"/>
      <x:c r="M170" s="161" t="n"/>
      <x:c r="N170" s="161" t="n"/>
      <x:c r="O170" s="161" t="n"/>
      <x:c r="P170" s="161" t="n"/>
      <x:c r="Q170" s="161" t="n"/>
      <x:c r="R170" s="161" t="n"/>
      <x:c r="S170" s="161" t="n"/>
      <x:c r="T170" s="161" t="n"/>
      <x:c r="U170" s="161" t="n"/>
      <x:c r="V170" s="161" t="n"/>
      <x:c r="W170" s="161" t="n"/>
      <x:c r="X170" s="161" t="n"/>
      <x:c r="Y170" s="161" t="n"/>
      <x:c r="Z170" s="161" t="n"/>
      <x:c r="AA170" s="161" t="n"/>
      <x:c r="AB170" s="161" t="n"/>
      <x:c r="AC170" s="161" t="n"/>
      <x:c r="AD170" s="161" t="n"/>
      <x:c r="AE170" s="161" t="n"/>
      <x:c r="AF170" s="161" t="n"/>
      <x:c r="AG170" s="161" t="n"/>
      <x:c r="AH170" s="161" t="n"/>
      <x:c r="AI170" s="161" t="n"/>
      <x:c r="AJ170" s="161" t="n"/>
      <x:c r="AK170" s="161" t="n"/>
      <x:c r="AL170" s="161" t="n"/>
      <x:c r="AM170" s="161" t="n"/>
      <x:c r="AN170" s="161" t="n"/>
      <x:c r="AO170" s="161" t="n"/>
      <x:c r="AP170" s="161" t="n"/>
      <x:c r="AQ170" s="161" t="n"/>
      <x:c r="AR170" s="161" t="n"/>
      <x:c r="AS170" s="161" t="n"/>
      <x:c r="AT170" s="161" t="n"/>
      <x:c r="AU170" s="161" t="n"/>
      <x:c r="AV170" s="161" t="n"/>
      <x:c r="AW170" s="161" t="n"/>
      <x:c r="AX170" s="161" t="n"/>
      <x:c r="AY170" s="161" t="n"/>
      <x:c r="AZ170" s="161" t="n"/>
    </x:row>
    <x:row r="171" ht="15" customHeight="1">
      <x:c r="A171" s="161" t="n"/>
      <x:c r="B171" s="161" t="n"/>
      <x:c r="C171" s="161" t="n"/>
      <x:c r="D171" s="161" t="n"/>
      <x:c r="E171" s="161" t="n"/>
      <x:c r="F171" s="161" t="n"/>
      <x:c r="G171" s="161" t="n"/>
      <x:c r="H171" s="161" t="n"/>
      <x:c r="I171" s="161" t="n"/>
      <x:c r="J171" s="161" t="n"/>
      <x:c r="K171" s="161" t="n"/>
      <x:c r="L171" s="161" t="n"/>
      <x:c r="M171" s="161" t="n"/>
      <x:c r="N171" s="161" t="n"/>
      <x:c r="O171" s="161" t="n"/>
      <x:c r="P171" s="161" t="n"/>
      <x:c r="Q171" s="161" t="n"/>
      <x:c r="R171" s="161" t="n"/>
      <x:c r="S171" s="161" t="n"/>
      <x:c r="T171" s="161" t="n"/>
      <x:c r="U171" s="161" t="n"/>
      <x:c r="V171" s="161" t="n"/>
      <x:c r="W171" s="161" t="n"/>
      <x:c r="X171" s="161" t="n"/>
      <x:c r="Y171" s="161" t="n"/>
      <x:c r="Z171" s="161" t="n"/>
      <x:c r="AA171" s="161" t="n"/>
      <x:c r="AB171" s="161" t="n"/>
      <x:c r="AC171" s="161" t="n"/>
      <x:c r="AD171" s="161" t="n"/>
      <x:c r="AE171" s="161" t="n"/>
      <x:c r="AF171" s="161" t="n"/>
      <x:c r="AG171" s="161" t="n"/>
      <x:c r="AH171" s="161" t="n"/>
      <x:c r="AI171" s="161" t="n"/>
      <x:c r="AJ171" s="161" t="n"/>
      <x:c r="AK171" s="161" t="n"/>
      <x:c r="AL171" s="161" t="n"/>
      <x:c r="AM171" s="161" t="n"/>
      <x:c r="AN171" s="161" t="n"/>
      <x:c r="AO171" s="161" t="n"/>
      <x:c r="AP171" s="161" t="n"/>
      <x:c r="AQ171" s="161" t="n"/>
      <x:c r="AR171" s="161" t="n"/>
      <x:c r="AS171" s="161" t="n"/>
      <x:c r="AT171" s="161" t="n"/>
      <x:c r="AU171" s="161" t="n"/>
      <x:c r="AV171" s="161" t="n"/>
      <x:c r="AW171" s="161" t="n"/>
      <x:c r="AX171" s="161" t="n"/>
      <x:c r="AY171" s="161" t="n"/>
      <x:c r="AZ171" s="161" t="n"/>
    </x:row>
    <x:row r="172" ht="15" customHeight="1">
      <x:c r="A172" s="161" t="n"/>
      <x:c r="B172" s="161" t="n"/>
      <x:c r="C172" s="161" t="n"/>
      <x:c r="D172" s="161" t="n"/>
      <x:c r="E172" s="161" t="n"/>
      <x:c r="F172" s="161" t="n"/>
      <x:c r="G172" s="161" t="n"/>
      <x:c r="H172" s="161" t="n"/>
      <x:c r="I172" s="161" t="n"/>
      <x:c r="J172" s="161" t="n"/>
      <x:c r="K172" s="161" t="n"/>
      <x:c r="L172" s="161" t="n"/>
      <x:c r="M172" s="161" t="n"/>
      <x:c r="N172" s="161" t="n"/>
      <x:c r="O172" s="161" t="n"/>
      <x:c r="P172" s="161" t="n"/>
      <x:c r="Q172" s="161" t="n"/>
      <x:c r="R172" s="161" t="n"/>
      <x:c r="S172" s="161" t="n"/>
      <x:c r="T172" s="161" t="n"/>
      <x:c r="U172" s="161" t="n"/>
      <x:c r="V172" s="161" t="n"/>
      <x:c r="W172" s="161" t="n"/>
      <x:c r="X172" s="161" t="n"/>
      <x:c r="Y172" s="161" t="n"/>
      <x:c r="Z172" s="161" t="n"/>
      <x:c r="AA172" s="161" t="n"/>
      <x:c r="AB172" s="161" t="n"/>
      <x:c r="AC172" s="161" t="n"/>
      <x:c r="AD172" s="161" t="n"/>
      <x:c r="AE172" s="161" t="n"/>
      <x:c r="AF172" s="161" t="n"/>
      <x:c r="AG172" s="161" t="n"/>
      <x:c r="AH172" s="161" t="n"/>
      <x:c r="AI172" s="161" t="n"/>
      <x:c r="AJ172" s="161" t="n"/>
      <x:c r="AK172" s="161" t="n"/>
      <x:c r="AL172" s="161" t="n"/>
      <x:c r="AM172" s="161" t="n"/>
      <x:c r="AN172" s="161" t="n"/>
      <x:c r="AO172" s="161" t="n"/>
      <x:c r="AP172" s="161" t="n"/>
      <x:c r="AQ172" s="161" t="n"/>
      <x:c r="AR172" s="161" t="n"/>
      <x:c r="AS172" s="161" t="n"/>
      <x:c r="AT172" s="161" t="n"/>
      <x:c r="AU172" s="161" t="n"/>
      <x:c r="AV172" s="161" t="n"/>
      <x:c r="AW172" s="161" t="n"/>
      <x:c r="AX172" s="161" t="n"/>
      <x:c r="AY172" s="161" t="n"/>
      <x:c r="AZ172" s="161" t="n"/>
    </x:row>
    <x:row r="173" ht="15" customHeight="1">
      <x:c r="A173" s="161" t="n"/>
      <x:c r="B173" s="161" t="n"/>
      <x:c r="C173" s="161" t="n"/>
      <x:c r="D173" s="161" t="n"/>
      <x:c r="E173" s="161" t="n"/>
      <x:c r="F173" s="161" t="n"/>
      <x:c r="G173" s="161" t="n"/>
      <x:c r="H173" s="161" t="n"/>
      <x:c r="I173" s="161" t="n"/>
      <x:c r="J173" s="161" t="n"/>
      <x:c r="K173" s="161" t="n"/>
      <x:c r="L173" s="161" t="n"/>
      <x:c r="M173" s="161" t="n"/>
      <x:c r="N173" s="161" t="n"/>
      <x:c r="O173" s="161" t="n"/>
      <x:c r="P173" s="161" t="n"/>
      <x:c r="Q173" s="161" t="n"/>
      <x:c r="R173" s="161" t="n"/>
      <x:c r="S173" s="161" t="n"/>
      <x:c r="T173" s="161" t="n"/>
      <x:c r="U173" s="161" t="n"/>
      <x:c r="V173" s="161" t="n"/>
      <x:c r="W173" s="161" t="n"/>
      <x:c r="X173" s="161" t="n"/>
      <x:c r="Y173" s="161" t="n"/>
      <x:c r="Z173" s="161" t="n"/>
      <x:c r="AA173" s="161" t="n"/>
      <x:c r="AB173" s="161" t="n"/>
      <x:c r="AC173" s="161" t="n"/>
      <x:c r="AD173" s="161" t="n"/>
      <x:c r="AE173" s="161" t="n"/>
      <x:c r="AF173" s="161" t="n"/>
      <x:c r="AG173" s="161" t="n"/>
      <x:c r="AH173" s="161" t="n"/>
      <x:c r="AI173" s="161" t="n"/>
      <x:c r="AJ173" s="161" t="n"/>
      <x:c r="AK173" s="161" t="n"/>
      <x:c r="AL173" s="161" t="n"/>
      <x:c r="AM173" s="161" t="n"/>
      <x:c r="AN173" s="161" t="n"/>
      <x:c r="AO173" s="161" t="n"/>
      <x:c r="AP173" s="161" t="n"/>
      <x:c r="AQ173" s="161" t="n"/>
      <x:c r="AR173" s="161" t="n"/>
      <x:c r="AS173" s="161" t="n"/>
      <x:c r="AT173" s="161" t="n"/>
      <x:c r="AU173" s="161" t="n"/>
      <x:c r="AV173" s="161" t="n"/>
      <x:c r="AW173" s="161" t="n"/>
      <x:c r="AX173" s="161" t="n"/>
      <x:c r="AY173" s="161" t="n"/>
      <x:c r="AZ173" s="161" t="n"/>
    </x:row>
    <x:row r="174" ht="15" customHeight="1">
      <x:c r="A174" s="161" t="n"/>
      <x:c r="B174" s="161" t="n"/>
      <x:c r="C174" s="161" t="n"/>
      <x:c r="D174" s="161" t="n"/>
      <x:c r="E174" s="161" t="n"/>
      <x:c r="F174" s="161" t="n"/>
      <x:c r="G174" s="161" t="n"/>
      <x:c r="H174" s="161" t="n"/>
      <x:c r="I174" s="161" t="n"/>
      <x:c r="J174" s="161" t="n"/>
      <x:c r="K174" s="161" t="n"/>
      <x:c r="L174" s="161" t="n"/>
      <x:c r="M174" s="161" t="n"/>
      <x:c r="N174" s="161" t="n"/>
      <x:c r="O174" s="161" t="n"/>
      <x:c r="P174" s="161" t="n"/>
      <x:c r="Q174" s="161" t="n"/>
      <x:c r="R174" s="161" t="n"/>
      <x:c r="S174" s="161" t="n"/>
      <x:c r="T174" s="161" t="n"/>
      <x:c r="U174" s="161" t="n"/>
      <x:c r="V174" s="161" t="n"/>
      <x:c r="W174" s="161" t="n"/>
      <x:c r="X174" s="161" t="n"/>
      <x:c r="Y174" s="161" t="n"/>
      <x:c r="Z174" s="161" t="n"/>
      <x:c r="AA174" s="161" t="n"/>
      <x:c r="AB174" s="161" t="n"/>
      <x:c r="AC174" s="161" t="n"/>
      <x:c r="AD174" s="161" t="n"/>
      <x:c r="AE174" s="161" t="n"/>
      <x:c r="AF174" s="161" t="n"/>
      <x:c r="AG174" s="161" t="n"/>
      <x:c r="AH174" s="161" t="n"/>
      <x:c r="AI174" s="161" t="n"/>
      <x:c r="AJ174" s="161" t="n"/>
      <x:c r="AK174" s="161" t="n"/>
      <x:c r="AL174" s="161" t="n"/>
      <x:c r="AM174" s="161" t="n"/>
      <x:c r="AN174" s="161" t="n"/>
      <x:c r="AO174" s="161" t="n"/>
      <x:c r="AP174" s="161" t="n"/>
      <x:c r="AQ174" s="161" t="n"/>
      <x:c r="AR174" s="161" t="n"/>
      <x:c r="AS174" s="161" t="n"/>
      <x:c r="AT174" s="161" t="n"/>
      <x:c r="AU174" s="161" t="n"/>
      <x:c r="AV174" s="161" t="n"/>
      <x:c r="AW174" s="161" t="n"/>
      <x:c r="AX174" s="161" t="n"/>
      <x:c r="AY174" s="161" t="n"/>
      <x:c r="AZ174" s="161" t="n"/>
    </x:row>
    <x:row r="175" ht="15" customHeight="1">
      <x:c r="A175" s="161" t="n"/>
      <x:c r="B175" s="161" t="n"/>
      <x:c r="C175" s="161" t="n"/>
      <x:c r="D175" s="161" t="n"/>
      <x:c r="E175" s="161" t="n"/>
      <x:c r="F175" s="161" t="n"/>
      <x:c r="G175" s="161" t="n"/>
      <x:c r="H175" s="161" t="n"/>
      <x:c r="I175" s="161" t="n"/>
      <x:c r="J175" s="161" t="n"/>
      <x:c r="K175" s="161" t="n"/>
      <x:c r="L175" s="161" t="n"/>
      <x:c r="M175" s="161" t="n"/>
      <x:c r="N175" s="161" t="n"/>
      <x:c r="O175" s="161" t="n"/>
      <x:c r="P175" s="161" t="n"/>
      <x:c r="Q175" s="161" t="n"/>
      <x:c r="R175" s="161" t="n"/>
      <x:c r="S175" s="161" t="n"/>
      <x:c r="T175" s="161" t="n"/>
      <x:c r="U175" s="161" t="n"/>
      <x:c r="V175" s="161" t="n"/>
      <x:c r="W175" s="161" t="n"/>
      <x:c r="X175" s="161" t="n"/>
      <x:c r="Y175" s="161" t="n"/>
      <x:c r="Z175" s="161" t="n"/>
      <x:c r="AA175" s="161" t="n"/>
      <x:c r="AB175" s="161" t="n"/>
      <x:c r="AC175" s="161" t="n"/>
      <x:c r="AD175" s="161" t="n"/>
      <x:c r="AE175" s="161" t="n"/>
      <x:c r="AF175" s="161" t="n"/>
      <x:c r="AG175" s="161" t="n"/>
      <x:c r="AH175" s="161" t="n"/>
      <x:c r="AI175" s="161" t="n"/>
      <x:c r="AJ175" s="161" t="n"/>
      <x:c r="AK175" s="161" t="n"/>
      <x:c r="AL175" s="161" t="n"/>
      <x:c r="AM175" s="161" t="n"/>
      <x:c r="AN175" s="161" t="n"/>
      <x:c r="AO175" s="161" t="n"/>
      <x:c r="AP175" s="161" t="n"/>
      <x:c r="AQ175" s="161" t="n"/>
      <x:c r="AR175" s="161" t="n"/>
      <x:c r="AS175" s="161" t="n"/>
      <x:c r="AT175" s="161" t="n"/>
      <x:c r="AU175" s="161" t="n"/>
      <x:c r="AV175" s="161" t="n"/>
      <x:c r="AW175" s="161" t="n"/>
      <x:c r="AX175" s="161" t="n"/>
      <x:c r="AY175" s="161" t="n"/>
      <x:c r="AZ175" s="161" t="n"/>
    </x:row>
    <x:row r="176" ht="15" customHeight="1">
      <x:c r="A176" s="161" t="n"/>
      <x:c r="B176" s="161" t="n"/>
      <x:c r="C176" s="161" t="n"/>
      <x:c r="D176" s="161" t="n"/>
      <x:c r="E176" s="161" t="n"/>
      <x:c r="F176" s="161" t="n"/>
      <x:c r="G176" s="161" t="n"/>
      <x:c r="H176" s="161" t="n"/>
      <x:c r="I176" s="161" t="n"/>
      <x:c r="J176" s="161" t="n"/>
      <x:c r="K176" s="161" t="n"/>
      <x:c r="L176" s="161" t="n"/>
      <x:c r="M176" s="161" t="n"/>
      <x:c r="N176" s="161" t="n"/>
      <x:c r="O176" s="161" t="n"/>
      <x:c r="P176" s="161" t="n"/>
      <x:c r="Q176" s="161" t="n"/>
      <x:c r="R176" s="161" t="n"/>
      <x:c r="S176" s="161" t="n"/>
      <x:c r="T176" s="161" t="n"/>
      <x:c r="U176" s="161" t="n"/>
      <x:c r="V176" s="161" t="n"/>
      <x:c r="W176" s="161" t="n"/>
      <x:c r="X176" s="161" t="n"/>
      <x:c r="Y176" s="161" t="n"/>
      <x:c r="Z176" s="161" t="n"/>
      <x:c r="AA176" s="161" t="n"/>
      <x:c r="AB176" s="161" t="n"/>
      <x:c r="AC176" s="161" t="n"/>
      <x:c r="AD176" s="161" t="n"/>
      <x:c r="AE176" s="161" t="n"/>
      <x:c r="AF176" s="161" t="n"/>
      <x:c r="AG176" s="161" t="n"/>
      <x:c r="AH176" s="161" t="n"/>
      <x:c r="AI176" s="161" t="n"/>
      <x:c r="AJ176" s="161" t="n"/>
      <x:c r="AK176" s="161" t="n"/>
      <x:c r="AL176" s="161" t="n"/>
      <x:c r="AM176" s="161" t="n"/>
      <x:c r="AN176" s="161" t="n"/>
      <x:c r="AO176" s="161" t="n"/>
      <x:c r="AP176" s="161" t="n"/>
      <x:c r="AQ176" s="161" t="n"/>
      <x:c r="AR176" s="161" t="n"/>
      <x:c r="AS176" s="161" t="n"/>
      <x:c r="AT176" s="161" t="n"/>
      <x:c r="AU176" s="161" t="n"/>
      <x:c r="AV176" s="161" t="n"/>
      <x:c r="AW176" s="161" t="n"/>
      <x:c r="AX176" s="161" t="n"/>
      <x:c r="AY176" s="161" t="n"/>
      <x:c r="AZ176" s="161" t="n"/>
    </x:row>
    <x:row r="177" ht="15" customHeight="1">
      <x:c r="A177" s="161" t="n"/>
      <x:c r="B177" s="161" t="n"/>
      <x:c r="C177" s="161" t="n"/>
      <x:c r="D177" s="161" t="n"/>
      <x:c r="E177" s="161" t="n"/>
      <x:c r="F177" s="161" t="n"/>
      <x:c r="G177" s="161" t="n"/>
      <x:c r="H177" s="161" t="n"/>
      <x:c r="I177" s="161" t="n"/>
      <x:c r="J177" s="161" t="n"/>
      <x:c r="K177" s="161" t="n"/>
      <x:c r="L177" s="161" t="n"/>
      <x:c r="M177" s="161" t="n"/>
      <x:c r="N177" s="161" t="n"/>
      <x:c r="O177" s="161" t="n"/>
      <x:c r="P177" s="161" t="n"/>
      <x:c r="Q177" s="161" t="n"/>
      <x:c r="R177" s="161" t="n"/>
      <x:c r="S177" s="161" t="n"/>
      <x:c r="T177" s="161" t="n"/>
      <x:c r="U177" s="161" t="n"/>
      <x:c r="V177" s="161" t="n"/>
      <x:c r="W177" s="161" t="n"/>
      <x:c r="X177" s="161" t="n"/>
      <x:c r="Y177" s="161" t="n"/>
      <x:c r="Z177" s="161" t="n"/>
      <x:c r="AA177" s="161" t="n"/>
      <x:c r="AB177" s="161" t="n"/>
      <x:c r="AC177" s="161" t="n"/>
      <x:c r="AD177" s="161" t="n"/>
      <x:c r="AE177" s="161" t="n"/>
      <x:c r="AF177" s="161" t="n"/>
      <x:c r="AG177" s="161" t="n"/>
      <x:c r="AH177" s="161" t="n"/>
      <x:c r="AI177" s="161" t="n"/>
      <x:c r="AJ177" s="161" t="n"/>
      <x:c r="AK177" s="161" t="n"/>
      <x:c r="AL177" s="161" t="n"/>
      <x:c r="AM177" s="161" t="n"/>
      <x:c r="AN177" s="161" t="n"/>
      <x:c r="AO177" s="161" t="n"/>
      <x:c r="AP177" s="161" t="n"/>
      <x:c r="AQ177" s="161" t="n"/>
      <x:c r="AR177" s="161" t="n"/>
      <x:c r="AS177" s="161" t="n"/>
      <x:c r="AT177" s="161" t="n"/>
      <x:c r="AU177" s="161" t="n"/>
      <x:c r="AV177" s="161" t="n"/>
      <x:c r="AW177" s="161" t="n"/>
      <x:c r="AX177" s="161" t="n"/>
      <x:c r="AY177" s="161" t="n"/>
      <x:c r="AZ177" s="161" t="n"/>
    </x:row>
    <x:row r="178" ht="15" customHeight="1">
      <x:c r="A178" s="161" t="n"/>
      <x:c r="B178" s="161" t="n"/>
      <x:c r="C178" s="161" t="n"/>
      <x:c r="D178" s="161" t="n"/>
      <x:c r="E178" s="161" t="n"/>
      <x:c r="F178" s="161" t="n"/>
      <x:c r="G178" s="161" t="n"/>
      <x:c r="H178" s="161" t="n"/>
      <x:c r="I178" s="161" t="n"/>
      <x:c r="J178" s="161" t="n"/>
      <x:c r="K178" s="161" t="n"/>
      <x:c r="L178" s="161" t="n"/>
      <x:c r="M178" s="161" t="n"/>
      <x:c r="N178" s="161" t="n"/>
      <x:c r="O178" s="161" t="n"/>
      <x:c r="P178" s="161" t="n"/>
      <x:c r="Q178" s="161" t="n"/>
      <x:c r="R178" s="161" t="n"/>
      <x:c r="S178" s="161" t="n"/>
      <x:c r="T178" s="161" t="n"/>
      <x:c r="U178" s="161" t="n"/>
      <x:c r="V178" s="161" t="n"/>
      <x:c r="W178" s="161" t="n"/>
      <x:c r="X178" s="161" t="n"/>
      <x:c r="Y178" s="161" t="n"/>
      <x:c r="Z178" s="161" t="n"/>
      <x:c r="AA178" s="161" t="n"/>
      <x:c r="AB178" s="161" t="n"/>
      <x:c r="AC178" s="161" t="n"/>
      <x:c r="AD178" s="161" t="n"/>
      <x:c r="AE178" s="161" t="n"/>
      <x:c r="AF178" s="161" t="n"/>
      <x:c r="AG178" s="161" t="n"/>
      <x:c r="AH178" s="161" t="n"/>
      <x:c r="AI178" s="161" t="n"/>
      <x:c r="AJ178" s="161" t="n"/>
      <x:c r="AK178" s="161" t="n"/>
      <x:c r="AL178" s="161" t="n"/>
      <x:c r="AM178" s="161" t="n"/>
      <x:c r="AN178" s="161" t="n"/>
      <x:c r="AO178" s="161" t="n"/>
      <x:c r="AP178" s="161" t="n"/>
      <x:c r="AQ178" s="161" t="n"/>
      <x:c r="AR178" s="161" t="n"/>
      <x:c r="AS178" s="161" t="n"/>
      <x:c r="AT178" s="161" t="n"/>
      <x:c r="AU178" s="161" t="n"/>
      <x:c r="AV178" s="161" t="n"/>
      <x:c r="AW178" s="161" t="n"/>
      <x:c r="AX178" s="161" t="n"/>
      <x:c r="AY178" s="161" t="n"/>
      <x:c r="AZ178" s="161" t="n"/>
    </x:row>
    <x:row r="179" ht="15" customHeight="1">
      <x:c r="A179" s="161" t="n"/>
      <x:c r="B179" s="161" t="n"/>
      <x:c r="C179" s="161" t="n"/>
      <x:c r="D179" s="161" t="n"/>
      <x:c r="E179" s="161" t="n"/>
      <x:c r="F179" s="161" t="n"/>
      <x:c r="G179" s="161" t="n"/>
      <x:c r="H179" s="161" t="n"/>
      <x:c r="I179" s="161" t="n"/>
      <x:c r="J179" s="161" t="n"/>
      <x:c r="K179" s="161" t="n"/>
      <x:c r="L179" s="161" t="n"/>
      <x:c r="M179" s="161" t="n"/>
      <x:c r="N179" s="161" t="n"/>
      <x:c r="O179" s="161" t="n"/>
      <x:c r="P179" s="161" t="n"/>
      <x:c r="Q179" s="161" t="n"/>
      <x:c r="R179" s="161" t="n"/>
      <x:c r="S179" s="161" t="n"/>
      <x:c r="T179" s="161" t="n"/>
      <x:c r="U179" s="161" t="n"/>
      <x:c r="V179" s="161" t="n"/>
      <x:c r="W179" s="161" t="n"/>
      <x:c r="X179" s="161" t="n"/>
      <x:c r="Y179" s="161" t="n"/>
      <x:c r="Z179" s="161" t="n"/>
      <x:c r="AA179" s="161" t="n"/>
      <x:c r="AB179" s="161" t="n"/>
      <x:c r="AC179" s="161" t="n"/>
      <x:c r="AD179" s="161" t="n"/>
      <x:c r="AE179" s="161" t="n"/>
      <x:c r="AF179" s="161" t="n"/>
      <x:c r="AG179" s="161" t="n"/>
      <x:c r="AH179" s="161" t="n"/>
      <x:c r="AI179" s="161" t="n"/>
      <x:c r="AJ179" s="161" t="n"/>
      <x:c r="AK179" s="161" t="n"/>
      <x:c r="AL179" s="161" t="n"/>
      <x:c r="AM179" s="161" t="n"/>
      <x:c r="AN179" s="161" t="n"/>
      <x:c r="AO179" s="161" t="n"/>
      <x:c r="AP179" s="161" t="n"/>
      <x:c r="AQ179" s="161" t="n"/>
      <x:c r="AR179" s="161" t="n"/>
      <x:c r="AS179" s="161" t="n"/>
      <x:c r="AT179" s="161" t="n"/>
      <x:c r="AU179" s="161" t="n"/>
      <x:c r="AV179" s="161" t="n"/>
      <x:c r="AW179" s="161" t="n"/>
      <x:c r="AX179" s="161" t="n"/>
      <x:c r="AY179" s="161" t="n"/>
      <x:c r="AZ179" s="161" t="n"/>
    </x:row>
    <x:row r="180" ht="15" customHeight="1">
      <x:c r="A180" s="161" t="n"/>
      <x:c r="B180" s="161" t="n"/>
      <x:c r="C180" s="161" t="n"/>
      <x:c r="D180" s="161" t="n"/>
      <x:c r="E180" s="161" t="n"/>
      <x:c r="F180" s="161" t="n"/>
      <x:c r="G180" s="161" t="n"/>
      <x:c r="H180" s="161" t="n"/>
      <x:c r="I180" s="161" t="n"/>
      <x:c r="J180" s="161" t="n"/>
      <x:c r="K180" s="161" t="n"/>
      <x:c r="L180" s="161" t="n"/>
      <x:c r="M180" s="161" t="n"/>
      <x:c r="N180" s="161" t="n"/>
      <x:c r="O180" s="161" t="n"/>
      <x:c r="P180" s="161" t="n"/>
      <x:c r="Q180" s="161" t="n"/>
      <x:c r="R180" s="161" t="n"/>
      <x:c r="S180" s="161" t="n"/>
      <x:c r="T180" s="161" t="n"/>
      <x:c r="U180" s="161" t="n"/>
      <x:c r="V180" s="161" t="n"/>
      <x:c r="W180" s="161" t="n"/>
      <x:c r="X180" s="161" t="n"/>
      <x:c r="Y180" s="161" t="n"/>
      <x:c r="Z180" s="161" t="n"/>
      <x:c r="AA180" s="161" t="n"/>
      <x:c r="AB180" s="161" t="n"/>
      <x:c r="AC180" s="161" t="n"/>
      <x:c r="AD180" s="161" t="n"/>
      <x:c r="AE180" s="161" t="n"/>
      <x:c r="AF180" s="161" t="n"/>
      <x:c r="AG180" s="161" t="n"/>
      <x:c r="AH180" s="161" t="n"/>
      <x:c r="AI180" s="161" t="n"/>
      <x:c r="AJ180" s="161" t="n"/>
      <x:c r="AK180" s="161" t="n"/>
      <x:c r="AL180" s="161" t="n"/>
      <x:c r="AM180" s="161" t="n"/>
      <x:c r="AN180" s="161" t="n"/>
      <x:c r="AO180" s="161" t="n"/>
      <x:c r="AP180" s="161" t="n"/>
      <x:c r="AQ180" s="161" t="n"/>
      <x:c r="AR180" s="161" t="n"/>
      <x:c r="AS180" s="161" t="n"/>
      <x:c r="AT180" s="161" t="n"/>
      <x:c r="AU180" s="161" t="n"/>
      <x:c r="AV180" s="161" t="n"/>
      <x:c r="AW180" s="161" t="n"/>
      <x:c r="AX180" s="161" t="n"/>
      <x:c r="AY180" s="161" t="n"/>
      <x:c r="AZ180" s="161" t="n"/>
    </x:row>
    <x:row r="181" ht="15" customHeight="1">
      <x:c r="A181" s="161" t="n"/>
      <x:c r="B181" s="161" t="n"/>
      <x:c r="C181" s="161" t="n"/>
      <x:c r="D181" s="161" t="n"/>
      <x:c r="E181" s="161" t="n"/>
      <x:c r="F181" s="161" t="n"/>
      <x:c r="G181" s="161" t="n"/>
      <x:c r="H181" s="161" t="n"/>
      <x:c r="I181" s="161" t="n"/>
      <x:c r="J181" s="161" t="n"/>
      <x:c r="K181" s="161" t="n"/>
      <x:c r="L181" s="161" t="n"/>
      <x:c r="M181" s="161" t="n"/>
      <x:c r="N181" s="161" t="n"/>
      <x:c r="O181" s="161" t="n"/>
      <x:c r="P181" s="161" t="n"/>
      <x:c r="Q181" s="161" t="n"/>
      <x:c r="R181" s="161" t="n"/>
      <x:c r="S181" s="161" t="n"/>
      <x:c r="T181" s="161" t="n"/>
      <x:c r="U181" s="161" t="n"/>
      <x:c r="V181" s="161" t="n"/>
      <x:c r="W181" s="161" t="n"/>
      <x:c r="X181" s="161" t="n"/>
      <x:c r="Y181" s="161" t="n"/>
      <x:c r="Z181" s="161" t="n"/>
      <x:c r="AA181" s="161" t="n"/>
      <x:c r="AB181" s="161" t="n"/>
      <x:c r="AC181" s="161" t="n"/>
      <x:c r="AD181" s="161" t="n"/>
      <x:c r="AE181" s="161" t="n"/>
      <x:c r="AF181" s="161" t="n"/>
      <x:c r="AG181" s="161" t="n"/>
      <x:c r="AH181" s="161" t="n"/>
      <x:c r="AI181" s="161" t="n"/>
      <x:c r="AJ181" s="161" t="n"/>
      <x:c r="AK181" s="161" t="n"/>
      <x:c r="AL181" s="161" t="n"/>
      <x:c r="AM181" s="161" t="n"/>
      <x:c r="AN181" s="161" t="n"/>
      <x:c r="AO181" s="161" t="n"/>
      <x:c r="AP181" s="161" t="n"/>
      <x:c r="AQ181" s="161" t="n"/>
      <x:c r="AR181" s="161" t="n"/>
      <x:c r="AS181" s="161" t="n"/>
      <x:c r="AT181" s="161" t="n"/>
      <x:c r="AU181" s="161" t="n"/>
      <x:c r="AV181" s="161" t="n"/>
      <x:c r="AW181" s="161" t="n"/>
      <x:c r="AX181" s="161" t="n"/>
      <x:c r="AY181" s="161" t="n"/>
      <x:c r="AZ181" s="161" t="n"/>
    </x:row>
    <x:row r="182" ht="15" customHeight="1">
      <x:c r="A182" s="161" t="n"/>
      <x:c r="B182" s="161" t="n"/>
      <x:c r="C182" s="161" t="n"/>
      <x:c r="D182" s="161" t="n"/>
      <x:c r="E182" s="161" t="n"/>
      <x:c r="F182" s="161" t="n"/>
      <x:c r="G182" s="161" t="n"/>
      <x:c r="H182" s="161" t="n"/>
      <x:c r="I182" s="161" t="n"/>
      <x:c r="J182" s="161" t="n"/>
      <x:c r="K182" s="161" t="n"/>
      <x:c r="L182" s="161" t="n"/>
      <x:c r="M182" s="161" t="n"/>
      <x:c r="N182" s="161" t="n"/>
      <x:c r="O182" s="161" t="n"/>
      <x:c r="P182" s="161" t="n"/>
      <x:c r="Q182" s="161" t="n"/>
      <x:c r="R182" s="161" t="n"/>
      <x:c r="S182" s="161" t="n"/>
      <x:c r="T182" s="161" t="n"/>
      <x:c r="U182" s="161" t="n"/>
      <x:c r="V182" s="161" t="n"/>
      <x:c r="W182" s="161" t="n"/>
      <x:c r="X182" s="161" t="n"/>
      <x:c r="Y182" s="161" t="n"/>
      <x:c r="Z182" s="161" t="n"/>
      <x:c r="AA182" s="161" t="n"/>
      <x:c r="AB182" s="161" t="n"/>
      <x:c r="AC182" s="161" t="n"/>
      <x:c r="AD182" s="161" t="n"/>
      <x:c r="AE182" s="161" t="n"/>
      <x:c r="AF182" s="161" t="n"/>
      <x:c r="AG182" s="161" t="n"/>
      <x:c r="AH182" s="161" t="n"/>
      <x:c r="AI182" s="161" t="n"/>
      <x:c r="AJ182" s="161" t="n"/>
      <x:c r="AK182" s="161" t="n"/>
      <x:c r="AL182" s="161" t="n"/>
      <x:c r="AM182" s="161" t="n"/>
      <x:c r="AN182" s="161" t="n"/>
      <x:c r="AO182" s="161" t="n"/>
      <x:c r="AP182" s="161" t="n"/>
      <x:c r="AQ182" s="161" t="n"/>
      <x:c r="AR182" s="161" t="n"/>
      <x:c r="AS182" s="161" t="n"/>
      <x:c r="AT182" s="161" t="n"/>
      <x:c r="AU182" s="161" t="n"/>
      <x:c r="AV182" s="161" t="n"/>
      <x:c r="AW182" s="161" t="n"/>
      <x:c r="AX182" s="161" t="n"/>
      <x:c r="AY182" s="161" t="n"/>
      <x:c r="AZ182" s="161" t="n"/>
    </x:row>
    <x:row r="183" ht="15" customHeight="1">
      <x:c r="A183" s="161" t="n"/>
      <x:c r="B183" s="161" t="n"/>
      <x:c r="C183" s="161" t="n"/>
      <x:c r="D183" s="161" t="n"/>
      <x:c r="E183" s="161" t="n"/>
      <x:c r="F183" s="161" t="n"/>
      <x:c r="G183" s="161" t="n"/>
      <x:c r="H183" s="161" t="n"/>
      <x:c r="I183" s="161" t="n"/>
      <x:c r="J183" s="161" t="n"/>
      <x:c r="K183" s="161" t="n"/>
      <x:c r="L183" s="161" t="n"/>
      <x:c r="M183" s="161" t="n"/>
      <x:c r="N183" s="161" t="n"/>
      <x:c r="O183" s="161" t="n"/>
      <x:c r="P183" s="161" t="n"/>
      <x:c r="Q183" s="161" t="n"/>
      <x:c r="R183" s="161" t="n"/>
      <x:c r="S183" s="161" t="n"/>
      <x:c r="T183" s="161" t="n"/>
      <x:c r="U183" s="161" t="n"/>
      <x:c r="V183" s="161" t="n"/>
      <x:c r="W183" s="161" t="n"/>
      <x:c r="X183" s="161" t="n"/>
      <x:c r="Y183" s="161" t="n"/>
      <x:c r="Z183" s="161" t="n"/>
      <x:c r="AA183" s="161" t="n"/>
      <x:c r="AB183" s="161" t="n"/>
      <x:c r="AC183" s="161" t="n"/>
      <x:c r="AD183" s="161" t="n"/>
      <x:c r="AE183" s="161" t="n"/>
      <x:c r="AF183" s="161" t="n"/>
      <x:c r="AG183" s="161" t="n"/>
      <x:c r="AH183" s="161" t="n"/>
      <x:c r="AI183" s="161" t="n"/>
      <x:c r="AJ183" s="161" t="n"/>
      <x:c r="AK183" s="161" t="n"/>
      <x:c r="AL183" s="161" t="n"/>
      <x:c r="AM183" s="161" t="n"/>
      <x:c r="AN183" s="161" t="n"/>
      <x:c r="AO183" s="161" t="n"/>
      <x:c r="AP183" s="161" t="n"/>
      <x:c r="AQ183" s="161" t="n"/>
      <x:c r="AR183" s="161" t="n"/>
      <x:c r="AS183" s="161" t="n"/>
      <x:c r="AT183" s="161" t="n"/>
      <x:c r="AU183" s="161" t="n"/>
      <x:c r="AV183" s="161" t="n"/>
      <x:c r="AW183" s="161" t="n"/>
      <x:c r="AX183" s="161" t="n"/>
      <x:c r="AY183" s="161" t="n"/>
      <x:c r="AZ183" s="161" t="n"/>
    </x:row>
    <x:row r="184" ht="15" customHeight="1">
      <x:c r="A184" s="161" t="n"/>
      <x:c r="B184" s="161" t="n"/>
      <x:c r="C184" s="161" t="n"/>
      <x:c r="D184" s="161" t="n"/>
      <x:c r="E184" s="161" t="n"/>
      <x:c r="F184" s="161" t="n"/>
      <x:c r="G184" s="161" t="n"/>
      <x:c r="H184" s="161" t="n"/>
      <x:c r="I184" s="161" t="n"/>
      <x:c r="J184" s="161" t="n"/>
      <x:c r="K184" s="161" t="n"/>
      <x:c r="L184" s="161" t="n"/>
      <x:c r="M184" s="161" t="n"/>
      <x:c r="N184" s="161" t="n"/>
      <x:c r="O184" s="161" t="n"/>
      <x:c r="P184" s="161" t="n"/>
      <x:c r="Q184" s="161" t="n"/>
      <x:c r="R184" s="161" t="n"/>
      <x:c r="S184" s="161" t="n"/>
      <x:c r="T184" s="161" t="n"/>
      <x:c r="U184" s="161" t="n"/>
      <x:c r="V184" s="161" t="n"/>
      <x:c r="W184" s="161" t="n"/>
      <x:c r="X184" s="161" t="n"/>
      <x:c r="Y184" s="161" t="n"/>
      <x:c r="Z184" s="161" t="n"/>
      <x:c r="AA184" s="161" t="n"/>
      <x:c r="AB184" s="161" t="n"/>
      <x:c r="AC184" s="161" t="n"/>
      <x:c r="AD184" s="161" t="n"/>
      <x:c r="AE184" s="161" t="n"/>
      <x:c r="AF184" s="161" t="n"/>
      <x:c r="AG184" s="161" t="n"/>
      <x:c r="AH184" s="161" t="n"/>
      <x:c r="AI184" s="161" t="n"/>
      <x:c r="AJ184" s="161" t="n"/>
      <x:c r="AK184" s="161" t="n"/>
      <x:c r="AL184" s="161" t="n"/>
      <x:c r="AM184" s="161" t="n"/>
      <x:c r="AN184" s="161" t="n"/>
      <x:c r="AO184" s="161" t="n"/>
      <x:c r="AP184" s="161" t="n"/>
      <x:c r="AQ184" s="161" t="n"/>
      <x:c r="AR184" s="161" t="n"/>
      <x:c r="AS184" s="161" t="n"/>
      <x:c r="AT184" s="161" t="n"/>
      <x:c r="AU184" s="161" t="n"/>
      <x:c r="AV184" s="161" t="n"/>
      <x:c r="AW184" s="161" t="n"/>
      <x:c r="AX184" s="161" t="n"/>
      <x:c r="AY184" s="161" t="n"/>
      <x:c r="AZ184" s="161" t="n"/>
    </x:row>
    <x:row r="185" ht="15" customHeight="1">
      <x:c r="A185" s="161" t="n"/>
      <x:c r="B185" s="161" t="n"/>
      <x:c r="C185" s="161" t="n"/>
      <x:c r="D185" s="161" t="n"/>
      <x:c r="E185" s="161" t="n"/>
      <x:c r="F185" s="161" t="n"/>
      <x:c r="G185" s="161" t="n"/>
      <x:c r="H185" s="161" t="n"/>
      <x:c r="I185" s="161" t="n"/>
      <x:c r="J185" s="161" t="n"/>
      <x:c r="K185" s="161" t="n"/>
      <x:c r="L185" s="161" t="n"/>
      <x:c r="M185" s="161" t="n"/>
      <x:c r="N185" s="161" t="n"/>
      <x:c r="O185" s="161" t="n"/>
      <x:c r="P185" s="161" t="n"/>
      <x:c r="Q185" s="161" t="n"/>
      <x:c r="R185" s="161" t="n"/>
      <x:c r="S185" s="161" t="n"/>
      <x:c r="T185" s="161" t="n"/>
      <x:c r="U185" s="161" t="n"/>
      <x:c r="V185" s="161" t="n"/>
      <x:c r="W185" s="161" t="n"/>
      <x:c r="X185" s="161" t="n"/>
      <x:c r="Y185" s="161" t="n"/>
      <x:c r="Z185" s="161" t="n"/>
      <x:c r="AA185" s="161" t="n"/>
      <x:c r="AB185" s="161" t="n"/>
      <x:c r="AC185" s="161" t="n"/>
      <x:c r="AD185" s="161" t="n"/>
      <x:c r="AE185" s="161" t="n"/>
      <x:c r="AF185" s="161" t="n"/>
      <x:c r="AG185" s="161" t="n"/>
      <x:c r="AH185" s="161" t="n"/>
      <x:c r="AI185" s="161" t="n"/>
      <x:c r="AJ185" s="161" t="n"/>
      <x:c r="AK185" s="161" t="n"/>
      <x:c r="AL185" s="161" t="n"/>
      <x:c r="AM185" s="161" t="n"/>
      <x:c r="AN185" s="161" t="n"/>
      <x:c r="AO185" s="161" t="n"/>
      <x:c r="AP185" s="161" t="n"/>
      <x:c r="AQ185" s="161" t="n"/>
      <x:c r="AR185" s="161" t="n"/>
      <x:c r="AS185" s="161" t="n"/>
      <x:c r="AT185" s="161" t="n"/>
      <x:c r="AU185" s="161" t="n"/>
      <x:c r="AV185" s="161" t="n"/>
      <x:c r="AW185" s="161" t="n"/>
      <x:c r="AX185" s="161" t="n"/>
      <x:c r="AY185" s="161" t="n"/>
      <x:c r="AZ185" s="161" t="n"/>
    </x:row>
    <x:row r="186" ht="15" customHeight="1">
      <x:c r="A186" s="161" t="n"/>
      <x:c r="B186" s="161" t="n"/>
      <x:c r="C186" s="161" t="n"/>
      <x:c r="D186" s="161" t="n"/>
      <x:c r="E186" s="161" t="n"/>
      <x:c r="F186" s="161" t="n"/>
      <x:c r="G186" s="161" t="n"/>
      <x:c r="H186" s="161" t="n"/>
      <x:c r="I186" s="161" t="n"/>
      <x:c r="J186" s="161" t="n"/>
      <x:c r="K186" s="161" t="n"/>
      <x:c r="L186" s="161" t="n"/>
      <x:c r="M186" s="161" t="n"/>
      <x:c r="N186" s="161" t="n"/>
      <x:c r="O186" s="161" t="n"/>
      <x:c r="P186" s="161" t="n"/>
      <x:c r="Q186" s="161" t="n"/>
      <x:c r="R186" s="161" t="n"/>
      <x:c r="S186" s="161" t="n"/>
      <x:c r="T186" s="161" t="n"/>
      <x:c r="U186" s="161" t="n"/>
      <x:c r="V186" s="161" t="n"/>
      <x:c r="W186" s="161" t="n"/>
      <x:c r="X186" s="161" t="n"/>
      <x:c r="Y186" s="161" t="n"/>
      <x:c r="Z186" s="161" t="n"/>
      <x:c r="AA186" s="161" t="n"/>
      <x:c r="AB186" s="161" t="n"/>
      <x:c r="AC186" s="161" t="n"/>
      <x:c r="AD186" s="161" t="n"/>
      <x:c r="AE186" s="161" t="n"/>
      <x:c r="AF186" s="161" t="n"/>
      <x:c r="AG186" s="161" t="n"/>
      <x:c r="AH186" s="161" t="n"/>
      <x:c r="AI186" s="161" t="n"/>
      <x:c r="AJ186" s="161" t="n"/>
      <x:c r="AK186" s="161" t="n"/>
      <x:c r="AL186" s="161" t="n"/>
      <x:c r="AM186" s="161" t="n"/>
      <x:c r="AN186" s="161" t="n"/>
      <x:c r="AO186" s="161" t="n"/>
      <x:c r="AP186" s="161" t="n"/>
      <x:c r="AQ186" s="161" t="n"/>
      <x:c r="AR186" s="161" t="n"/>
      <x:c r="AS186" s="161" t="n"/>
      <x:c r="AT186" s="161" t="n"/>
      <x:c r="AU186" s="161" t="n"/>
      <x:c r="AV186" s="161" t="n"/>
      <x:c r="AW186" s="161" t="n"/>
      <x:c r="AX186" s="161" t="n"/>
      <x:c r="AY186" s="161" t="n"/>
      <x:c r="AZ186" s="161" t="n"/>
    </x:row>
    <x:row r="187" ht="15" customHeight="1">
      <x:c r="A187" s="161" t="n"/>
      <x:c r="B187" s="161" t="n"/>
      <x:c r="C187" s="161" t="n"/>
      <x:c r="D187" s="161" t="n"/>
      <x:c r="E187" s="161" t="n"/>
      <x:c r="F187" s="161" t="n"/>
      <x:c r="G187" s="161" t="n"/>
      <x:c r="H187" s="161" t="n"/>
      <x:c r="I187" s="161" t="n"/>
      <x:c r="J187" s="161" t="n"/>
      <x:c r="K187" s="161" t="n"/>
      <x:c r="L187" s="161" t="n"/>
      <x:c r="M187" s="161" t="n"/>
      <x:c r="N187" s="161" t="n"/>
      <x:c r="O187" s="161" t="n"/>
      <x:c r="P187" s="161" t="n"/>
      <x:c r="Q187" s="161" t="n"/>
      <x:c r="R187" s="161" t="n"/>
      <x:c r="S187" s="161" t="n"/>
      <x:c r="T187" s="161" t="n"/>
      <x:c r="U187" s="161" t="n"/>
      <x:c r="V187" s="161" t="n"/>
      <x:c r="W187" s="161" t="n"/>
      <x:c r="X187" s="161" t="n"/>
      <x:c r="Y187" s="161" t="n"/>
      <x:c r="Z187" s="161" t="n"/>
      <x:c r="AA187" s="161" t="n"/>
      <x:c r="AB187" s="161" t="n"/>
      <x:c r="AC187" s="161" t="n"/>
      <x:c r="AD187" s="161" t="n"/>
      <x:c r="AE187" s="161" t="n"/>
      <x:c r="AF187" s="161" t="n"/>
      <x:c r="AG187" s="161" t="n"/>
      <x:c r="AH187" s="161" t="n"/>
      <x:c r="AI187" s="161" t="n"/>
      <x:c r="AJ187" s="161" t="n"/>
      <x:c r="AK187" s="161" t="n"/>
      <x:c r="AL187" s="161" t="n"/>
      <x:c r="AM187" s="161" t="n"/>
      <x:c r="AN187" s="161" t="n"/>
      <x:c r="AO187" s="161" t="n"/>
      <x:c r="AP187" s="161" t="n"/>
      <x:c r="AQ187" s="161" t="n"/>
      <x:c r="AR187" s="161" t="n"/>
      <x:c r="AS187" s="161" t="n"/>
      <x:c r="AT187" s="161" t="n"/>
      <x:c r="AU187" s="161" t="n"/>
      <x:c r="AV187" s="161" t="n"/>
      <x:c r="AW187" s="161" t="n"/>
      <x:c r="AX187" s="161" t="n"/>
      <x:c r="AY187" s="161" t="n"/>
      <x:c r="AZ187" s="161" t="n"/>
    </x:row>
    <x:row r="188" ht="15" customHeight="1">
      <x:c r="A188" s="161" t="n"/>
      <x:c r="B188" s="161" t="n"/>
      <x:c r="C188" s="161" t="n"/>
      <x:c r="D188" s="161" t="n"/>
      <x:c r="E188" s="161" t="n"/>
      <x:c r="F188" s="161" t="n"/>
      <x:c r="G188" s="161" t="n"/>
      <x:c r="H188" s="161" t="n"/>
      <x:c r="I188" s="161" t="n"/>
      <x:c r="J188" s="161" t="n"/>
      <x:c r="K188" s="161" t="n"/>
      <x:c r="L188" s="161" t="n"/>
      <x:c r="M188" s="161" t="n"/>
      <x:c r="N188" s="161" t="n"/>
      <x:c r="O188" s="161" t="n"/>
      <x:c r="P188" s="161" t="n"/>
      <x:c r="Q188" s="161" t="n"/>
      <x:c r="R188" s="161" t="n"/>
      <x:c r="S188" s="161" t="n"/>
      <x:c r="T188" s="161" t="n"/>
      <x:c r="U188" s="161" t="n"/>
      <x:c r="V188" s="161" t="n"/>
      <x:c r="W188" s="161" t="n"/>
      <x:c r="X188" s="161" t="n"/>
      <x:c r="Y188" s="161" t="n"/>
      <x:c r="Z188" s="161" t="n"/>
      <x:c r="AA188" s="161" t="n"/>
      <x:c r="AB188" s="161" t="n"/>
      <x:c r="AC188" s="161" t="n"/>
      <x:c r="AD188" s="161" t="n"/>
      <x:c r="AE188" s="161" t="n"/>
      <x:c r="AF188" s="161" t="n"/>
      <x:c r="AG188" s="161" t="n"/>
      <x:c r="AH188" s="161" t="n"/>
      <x:c r="AI188" s="161" t="n"/>
      <x:c r="AJ188" s="161" t="n"/>
      <x:c r="AK188" s="161" t="n"/>
      <x:c r="AL188" s="161" t="n"/>
      <x:c r="AM188" s="161" t="n"/>
      <x:c r="AN188" s="161" t="n"/>
      <x:c r="AO188" s="161" t="n"/>
      <x:c r="AP188" s="161" t="n"/>
      <x:c r="AQ188" s="161" t="n"/>
      <x:c r="AR188" s="161" t="n"/>
      <x:c r="AS188" s="161" t="n"/>
      <x:c r="AT188" s="161" t="n"/>
      <x:c r="AU188" s="161" t="n"/>
      <x:c r="AV188" s="161" t="n"/>
      <x:c r="AW188" s="161" t="n"/>
      <x:c r="AX188" s="161" t="n"/>
      <x:c r="AY188" s="161" t="n"/>
      <x:c r="AZ188" s="161" t="n"/>
    </x:row>
    <x:row r="189" ht="15" customHeight="1">
      <x:c r="A189" s="161" t="n"/>
      <x:c r="B189" s="161" t="n"/>
      <x:c r="C189" s="161" t="n"/>
      <x:c r="D189" s="161" t="n"/>
      <x:c r="E189" s="161" t="n"/>
      <x:c r="F189" s="161" t="n"/>
      <x:c r="G189" s="161" t="n"/>
      <x:c r="H189" s="161" t="n"/>
      <x:c r="I189" s="161" t="n"/>
      <x:c r="J189" s="161" t="n"/>
      <x:c r="K189" s="161" t="n"/>
      <x:c r="L189" s="161" t="n"/>
      <x:c r="M189" s="161" t="n"/>
      <x:c r="N189" s="161" t="n"/>
      <x:c r="O189" s="161" t="n"/>
      <x:c r="P189" s="161" t="n"/>
      <x:c r="Q189" s="161" t="n"/>
      <x:c r="R189" s="161" t="n"/>
      <x:c r="S189" s="161" t="n"/>
      <x:c r="T189" s="161" t="n"/>
      <x:c r="U189" s="161" t="n"/>
      <x:c r="V189" s="161" t="n"/>
      <x:c r="W189" s="161" t="n"/>
      <x:c r="X189" s="161" t="n"/>
      <x:c r="Y189" s="161" t="n"/>
      <x:c r="Z189" s="161" t="n"/>
      <x:c r="AA189" s="161" t="n"/>
      <x:c r="AB189" s="161" t="n"/>
      <x:c r="AC189" s="161" t="n"/>
      <x:c r="AD189" s="161" t="n"/>
      <x:c r="AE189" s="161" t="n"/>
      <x:c r="AF189" s="161" t="n"/>
      <x:c r="AG189" s="161" t="n"/>
      <x:c r="AH189" s="161" t="n"/>
      <x:c r="AI189" s="161" t="n"/>
      <x:c r="AJ189" s="161" t="n"/>
      <x:c r="AK189" s="161" t="n"/>
      <x:c r="AL189" s="161" t="n"/>
      <x:c r="AM189" s="161" t="n"/>
      <x:c r="AN189" s="161" t="n"/>
      <x:c r="AO189" s="161" t="n"/>
      <x:c r="AP189" s="161" t="n"/>
      <x:c r="AQ189" s="161" t="n"/>
      <x:c r="AR189" s="161" t="n"/>
      <x:c r="AS189" s="161" t="n"/>
      <x:c r="AT189" s="161" t="n"/>
      <x:c r="AU189" s="161" t="n"/>
      <x:c r="AV189" s="161" t="n"/>
      <x:c r="AW189" s="161" t="n"/>
      <x:c r="AX189" s="161" t="n"/>
      <x:c r="AY189" s="161" t="n"/>
      <x:c r="AZ189" s="161" t="n"/>
    </x:row>
    <x:row r="190" ht="15" customHeight="1">
      <x:c r="A190" s="161" t="n"/>
      <x:c r="B190" s="161" t="n"/>
      <x:c r="C190" s="161" t="n"/>
      <x:c r="D190" s="161" t="n"/>
      <x:c r="E190" s="161" t="n"/>
      <x:c r="F190" s="161" t="n"/>
      <x:c r="G190" s="161" t="n"/>
      <x:c r="H190" s="161" t="n"/>
      <x:c r="I190" s="161" t="n"/>
      <x:c r="J190" s="161" t="n"/>
      <x:c r="K190" s="161" t="n"/>
      <x:c r="L190" s="161" t="n"/>
      <x:c r="M190" s="161" t="n"/>
      <x:c r="N190" s="161" t="n"/>
      <x:c r="O190" s="161" t="n"/>
      <x:c r="P190" s="161" t="n"/>
      <x:c r="Q190" s="161" t="n"/>
      <x:c r="R190" s="161" t="n"/>
      <x:c r="S190" s="161" t="n"/>
      <x:c r="T190" s="161" t="n"/>
      <x:c r="U190" s="161" t="n"/>
      <x:c r="V190" s="161" t="n"/>
      <x:c r="W190" s="161" t="n"/>
      <x:c r="X190" s="161" t="n"/>
      <x:c r="Y190" s="161" t="n"/>
      <x:c r="Z190" s="161" t="n"/>
      <x:c r="AA190" s="161" t="n"/>
      <x:c r="AB190" s="161" t="n"/>
      <x:c r="AC190" s="161" t="n"/>
      <x:c r="AD190" s="161" t="n"/>
      <x:c r="AE190" s="161" t="n"/>
      <x:c r="AF190" s="161" t="n"/>
      <x:c r="AG190" s="161" t="n"/>
      <x:c r="AH190" s="161" t="n"/>
      <x:c r="AI190" s="161" t="n"/>
      <x:c r="AJ190" s="161" t="n"/>
      <x:c r="AK190" s="161" t="n"/>
      <x:c r="AL190" s="161" t="n"/>
      <x:c r="AM190" s="161" t="n"/>
      <x:c r="AN190" s="161" t="n"/>
      <x:c r="AO190" s="161" t="n"/>
      <x:c r="AP190" s="161" t="n"/>
      <x:c r="AQ190" s="161" t="n"/>
      <x:c r="AR190" s="161" t="n"/>
      <x:c r="AS190" s="161" t="n"/>
      <x:c r="AT190" s="161" t="n"/>
      <x:c r="AU190" s="161" t="n"/>
      <x:c r="AV190" s="161" t="n"/>
      <x:c r="AW190" s="161" t="n"/>
      <x:c r="AX190" s="161" t="n"/>
      <x:c r="AY190" s="161" t="n"/>
      <x:c r="AZ190" s="161" t="n"/>
    </x:row>
    <x:row r="191" ht="15" customHeight="1">
      <x:c r="A191" s="161" t="n"/>
      <x:c r="B191" s="161" t="n"/>
      <x:c r="C191" s="161" t="n"/>
      <x:c r="D191" s="161" t="n"/>
      <x:c r="E191" s="161" t="n"/>
      <x:c r="F191" s="161" t="n"/>
      <x:c r="G191" s="161" t="n"/>
      <x:c r="H191" s="161" t="n"/>
      <x:c r="I191" s="161" t="n"/>
      <x:c r="J191" s="161" t="n"/>
      <x:c r="K191" s="161" t="n"/>
      <x:c r="L191" s="161" t="n"/>
      <x:c r="M191" s="161" t="n"/>
      <x:c r="N191" s="161" t="n"/>
      <x:c r="O191" s="161" t="n"/>
      <x:c r="P191" s="161" t="n"/>
      <x:c r="Q191" s="161" t="n"/>
      <x:c r="R191" s="161" t="n"/>
      <x:c r="S191" s="161" t="n"/>
      <x:c r="T191" s="161" t="n"/>
      <x:c r="U191" s="161" t="n"/>
      <x:c r="V191" s="161" t="n"/>
      <x:c r="W191" s="161" t="n"/>
      <x:c r="X191" s="161" t="n"/>
      <x:c r="Y191" s="161" t="n"/>
      <x:c r="Z191" s="161" t="n"/>
      <x:c r="AA191" s="161" t="n"/>
      <x:c r="AB191" s="161" t="n"/>
      <x:c r="AC191" s="161" t="n"/>
      <x:c r="AD191" s="161" t="n"/>
      <x:c r="AE191" s="161" t="n"/>
      <x:c r="AF191" s="161" t="n"/>
      <x:c r="AG191" s="161" t="n"/>
      <x:c r="AH191" s="161" t="n"/>
      <x:c r="AI191" s="161" t="n"/>
      <x:c r="AJ191" s="161" t="n"/>
      <x:c r="AK191" s="161" t="n"/>
      <x:c r="AL191" s="161" t="n"/>
      <x:c r="AM191" s="161" t="n"/>
      <x:c r="AN191" s="161" t="n"/>
      <x:c r="AO191" s="161" t="n"/>
      <x:c r="AP191" s="161" t="n"/>
      <x:c r="AQ191" s="161" t="n"/>
      <x:c r="AR191" s="161" t="n"/>
      <x:c r="AS191" s="161" t="n"/>
      <x:c r="AT191" s="161" t="n"/>
      <x:c r="AU191" s="161" t="n"/>
      <x:c r="AV191" s="161" t="n"/>
      <x:c r="AW191" s="161" t="n"/>
      <x:c r="AX191" s="161" t="n"/>
      <x:c r="AY191" s="161" t="n"/>
      <x:c r="AZ191" s="161" t="n"/>
    </x:row>
    <x:row r="192" ht="15" customHeight="1">
      <x:c r="A192" s="161" t="n"/>
      <x:c r="B192" s="161" t="n"/>
      <x:c r="C192" s="161" t="n"/>
      <x:c r="D192" s="161" t="n"/>
      <x:c r="E192" s="161" t="n"/>
      <x:c r="F192" s="161" t="n"/>
      <x:c r="G192" s="161" t="n"/>
      <x:c r="H192" s="161" t="n"/>
      <x:c r="I192" s="161" t="n"/>
      <x:c r="J192" s="161" t="n"/>
      <x:c r="K192" s="161" t="n"/>
      <x:c r="L192" s="161" t="n"/>
      <x:c r="M192" s="161" t="n"/>
      <x:c r="N192" s="161" t="n"/>
      <x:c r="O192" s="161" t="n"/>
      <x:c r="P192" s="161" t="n"/>
      <x:c r="Q192" s="161" t="n"/>
      <x:c r="R192" s="161" t="n"/>
      <x:c r="S192" s="161" t="n"/>
      <x:c r="T192" s="161" t="n"/>
      <x:c r="U192" s="161" t="n"/>
      <x:c r="V192" s="161" t="n"/>
      <x:c r="W192" s="161" t="n"/>
      <x:c r="X192" s="161" t="n"/>
      <x:c r="Y192" s="161" t="n"/>
      <x:c r="Z192" s="161" t="n"/>
      <x:c r="AA192" s="161" t="n"/>
      <x:c r="AB192" s="161" t="n"/>
      <x:c r="AC192" s="161" t="n"/>
      <x:c r="AD192" s="161" t="n"/>
      <x:c r="AE192" s="161" t="n"/>
      <x:c r="AF192" s="161" t="n"/>
      <x:c r="AG192" s="161" t="n"/>
      <x:c r="AH192" s="161" t="n"/>
      <x:c r="AI192" s="161" t="n"/>
      <x:c r="AJ192" s="161" t="n"/>
      <x:c r="AK192" s="161" t="n"/>
      <x:c r="AL192" s="161" t="n"/>
      <x:c r="AM192" s="161" t="n"/>
      <x:c r="AN192" s="161" t="n"/>
      <x:c r="AO192" s="161" t="n"/>
      <x:c r="AP192" s="161" t="n"/>
      <x:c r="AQ192" s="161" t="n"/>
      <x:c r="AR192" s="161" t="n"/>
      <x:c r="AS192" s="161" t="n"/>
      <x:c r="AT192" s="161" t="n"/>
      <x:c r="AU192" s="161" t="n"/>
      <x:c r="AV192" s="161" t="n"/>
      <x:c r="AW192" s="161" t="n"/>
      <x:c r="AX192" s="161" t="n"/>
      <x:c r="AY192" s="161" t="n"/>
      <x:c r="AZ192" s="161" t="n"/>
    </x:row>
    <x:row r="193" ht="15" customHeight="1">
      <x:c r="A193" s="161" t="n"/>
      <x:c r="B193" s="161" t="n"/>
      <x:c r="C193" s="161" t="n"/>
      <x:c r="D193" s="161" t="n"/>
      <x:c r="E193" s="161" t="n"/>
      <x:c r="F193" s="161" t="n"/>
      <x:c r="G193" s="161" t="n"/>
      <x:c r="H193" s="161" t="n"/>
      <x:c r="I193" s="161" t="n"/>
      <x:c r="J193" s="161" t="n"/>
      <x:c r="K193" s="161" t="n"/>
      <x:c r="L193" s="161" t="n"/>
      <x:c r="M193" s="161" t="n"/>
      <x:c r="N193" s="161" t="n"/>
      <x:c r="O193" s="161" t="n"/>
      <x:c r="P193" s="161" t="n"/>
      <x:c r="Q193" s="161" t="n"/>
      <x:c r="R193" s="161" t="n"/>
      <x:c r="S193" s="161" t="n"/>
      <x:c r="T193" s="161" t="n"/>
      <x:c r="U193" s="161" t="n"/>
      <x:c r="V193" s="161" t="n"/>
      <x:c r="W193" s="161" t="n"/>
      <x:c r="X193" s="161" t="n"/>
      <x:c r="Y193" s="161" t="n"/>
      <x:c r="Z193" s="161" t="n"/>
      <x:c r="AA193" s="161" t="n"/>
      <x:c r="AB193" s="161" t="n"/>
      <x:c r="AC193" s="161" t="n"/>
      <x:c r="AD193" s="161" t="n"/>
      <x:c r="AE193" s="161" t="n"/>
      <x:c r="AF193" s="161" t="n"/>
      <x:c r="AG193" s="161" t="n"/>
      <x:c r="AH193" s="161" t="n"/>
      <x:c r="AI193" s="161" t="n"/>
      <x:c r="AJ193" s="161" t="n"/>
      <x:c r="AK193" s="161" t="n"/>
      <x:c r="AL193" s="161" t="n"/>
      <x:c r="AM193" s="161" t="n"/>
      <x:c r="AN193" s="161" t="n"/>
      <x:c r="AO193" s="161" t="n"/>
      <x:c r="AP193" s="161" t="n"/>
      <x:c r="AQ193" s="161" t="n"/>
      <x:c r="AR193" s="161" t="n"/>
      <x:c r="AS193" s="161" t="n"/>
      <x:c r="AT193" s="161" t="n"/>
      <x:c r="AU193" s="161" t="n"/>
      <x:c r="AV193" s="161" t="n"/>
      <x:c r="AW193" s="161" t="n"/>
      <x:c r="AX193" s="161" t="n"/>
      <x:c r="AY193" s="161" t="n"/>
      <x:c r="AZ193" s="161" t="n"/>
    </x:row>
    <x:row r="194" ht="15" customHeight="1">
      <x:c r="A194" s="161" t="n"/>
      <x:c r="B194" s="161" t="n"/>
      <x:c r="C194" s="161" t="n"/>
      <x:c r="D194" s="161" t="n"/>
      <x:c r="E194" s="161" t="n"/>
      <x:c r="F194" s="161" t="n"/>
      <x:c r="G194" s="161" t="n"/>
      <x:c r="H194" s="161" t="n"/>
      <x:c r="I194" s="161" t="n"/>
      <x:c r="J194" s="161" t="n"/>
      <x:c r="K194" s="161" t="n"/>
      <x:c r="L194" s="161" t="n"/>
      <x:c r="M194" s="161" t="n"/>
      <x:c r="N194" s="161" t="n"/>
      <x:c r="O194" s="161" t="n"/>
      <x:c r="P194" s="161" t="n"/>
      <x:c r="Q194" s="161" t="n"/>
      <x:c r="R194" s="161" t="n"/>
      <x:c r="S194" s="161" t="n"/>
      <x:c r="T194" s="161" t="n"/>
      <x:c r="U194" s="161" t="n"/>
      <x:c r="V194" s="161" t="n"/>
      <x:c r="W194" s="161" t="n"/>
      <x:c r="X194" s="161" t="n"/>
      <x:c r="Y194" s="161" t="n"/>
      <x:c r="Z194" s="161" t="n"/>
      <x:c r="AA194" s="161" t="n"/>
      <x:c r="AB194" s="161" t="n"/>
      <x:c r="AC194" s="161" t="n"/>
      <x:c r="AD194" s="161" t="n"/>
      <x:c r="AE194" s="161" t="n"/>
      <x:c r="AF194" s="161" t="n"/>
      <x:c r="AG194" s="161" t="n"/>
      <x:c r="AH194" s="161" t="n"/>
      <x:c r="AI194" s="161" t="n"/>
      <x:c r="AJ194" s="161" t="n"/>
      <x:c r="AK194" s="161" t="n"/>
      <x:c r="AL194" s="161" t="n"/>
      <x:c r="AM194" s="161" t="n"/>
      <x:c r="AN194" s="161" t="n"/>
      <x:c r="AO194" s="161" t="n"/>
      <x:c r="AP194" s="161" t="n"/>
      <x:c r="AQ194" s="161" t="n"/>
      <x:c r="AR194" s="161" t="n"/>
      <x:c r="AS194" s="161" t="n"/>
      <x:c r="AT194" s="161" t="n"/>
      <x:c r="AU194" s="161" t="n"/>
      <x:c r="AV194" s="161" t="n"/>
      <x:c r="AW194" s="161" t="n"/>
      <x:c r="AX194" s="161" t="n"/>
      <x:c r="AY194" s="161" t="n"/>
      <x:c r="AZ194" s="161" t="n"/>
    </x:row>
    <x:row r="195" ht="15" customHeight="1">
      <x:c r="A195" s="161" t="n"/>
      <x:c r="B195" s="161" t="n"/>
      <x:c r="C195" s="161" t="n"/>
      <x:c r="D195" s="161" t="n"/>
      <x:c r="E195" s="161" t="n"/>
      <x:c r="F195" s="161" t="n"/>
      <x:c r="G195" s="161" t="n"/>
      <x:c r="H195" s="161" t="n"/>
      <x:c r="I195" s="161" t="n"/>
      <x:c r="J195" s="161" t="n"/>
      <x:c r="K195" s="161" t="n"/>
      <x:c r="L195" s="161" t="n"/>
      <x:c r="M195" s="161" t="n"/>
      <x:c r="N195" s="161" t="n"/>
      <x:c r="O195" s="161" t="n"/>
      <x:c r="P195" s="161" t="n"/>
      <x:c r="Q195" s="161" t="n"/>
      <x:c r="R195" s="161" t="n"/>
      <x:c r="S195" s="161" t="n"/>
      <x:c r="T195" s="161" t="n"/>
      <x:c r="U195" s="161" t="n"/>
      <x:c r="V195" s="161" t="n"/>
      <x:c r="W195" s="161" t="n"/>
      <x:c r="X195" s="161" t="n"/>
      <x:c r="Y195" s="161" t="n"/>
      <x:c r="Z195" s="161" t="n"/>
      <x:c r="AA195" s="161" t="n"/>
      <x:c r="AB195" s="161" t="n"/>
      <x:c r="AC195" s="161" t="n"/>
      <x:c r="AD195" s="161" t="n"/>
      <x:c r="AE195" s="161" t="n"/>
      <x:c r="AF195" s="161" t="n"/>
      <x:c r="AG195" s="161" t="n"/>
      <x:c r="AH195" s="161" t="n"/>
      <x:c r="AI195" s="161" t="n"/>
      <x:c r="AJ195" s="161" t="n"/>
      <x:c r="AK195" s="161" t="n"/>
      <x:c r="AL195" s="161" t="n"/>
      <x:c r="AM195" s="161" t="n"/>
      <x:c r="AN195" s="161" t="n"/>
      <x:c r="AO195" s="161" t="n"/>
      <x:c r="AP195" s="161" t="n"/>
      <x:c r="AQ195" s="161" t="n"/>
      <x:c r="AR195" s="161" t="n"/>
      <x:c r="AS195" s="161" t="n"/>
      <x:c r="AT195" s="161" t="n"/>
      <x:c r="AU195" s="161" t="n"/>
      <x:c r="AV195" s="161" t="n"/>
      <x:c r="AW195" s="161" t="n"/>
      <x:c r="AX195" s="161" t="n"/>
      <x:c r="AY195" s="161" t="n"/>
      <x:c r="AZ195" s="161" t="n"/>
    </x:row>
    <x:row r="196" ht="15" customHeight="1">
      <x:c r="A196" s="161" t="n"/>
      <x:c r="B196" s="161" t="n"/>
      <x:c r="C196" s="161" t="n"/>
      <x:c r="D196" s="161" t="n"/>
      <x:c r="E196" s="161" t="n"/>
      <x:c r="F196" s="161" t="n"/>
      <x:c r="G196" s="161" t="n"/>
      <x:c r="H196" s="161" t="n"/>
      <x:c r="I196" s="161" t="n"/>
      <x:c r="J196" s="161" t="n"/>
      <x:c r="K196" s="161" t="n"/>
      <x:c r="L196" s="161" t="n"/>
      <x:c r="M196" s="161" t="n"/>
      <x:c r="N196" s="161" t="n"/>
      <x:c r="O196" s="161" t="n"/>
      <x:c r="P196" s="161" t="n"/>
      <x:c r="Q196" s="161" t="n"/>
      <x:c r="R196" s="161" t="n"/>
      <x:c r="S196" s="161" t="n"/>
      <x:c r="T196" s="161" t="n"/>
      <x:c r="U196" s="161" t="n"/>
      <x:c r="V196" s="161" t="n"/>
      <x:c r="W196" s="161" t="n"/>
      <x:c r="X196" s="161" t="n"/>
      <x:c r="Y196" s="161" t="n"/>
      <x:c r="Z196" s="161" t="n"/>
      <x:c r="AA196" s="161" t="n"/>
      <x:c r="AB196" s="161" t="n"/>
      <x:c r="AC196" s="161" t="n"/>
      <x:c r="AD196" s="161" t="n"/>
      <x:c r="AE196" s="161" t="n"/>
      <x:c r="AF196" s="161" t="n"/>
      <x:c r="AG196" s="161" t="n"/>
      <x:c r="AH196" s="161" t="n"/>
      <x:c r="AI196" s="161" t="n"/>
      <x:c r="AJ196" s="161" t="n"/>
      <x:c r="AK196" s="161" t="n"/>
      <x:c r="AL196" s="161" t="n"/>
      <x:c r="AM196" s="161" t="n"/>
      <x:c r="AN196" s="161" t="n"/>
      <x:c r="AO196" s="161" t="n"/>
      <x:c r="AP196" s="161" t="n"/>
      <x:c r="AQ196" s="161" t="n"/>
      <x:c r="AR196" s="161" t="n"/>
      <x:c r="AS196" s="161" t="n"/>
      <x:c r="AT196" s="161" t="n"/>
      <x:c r="AU196" s="161" t="n"/>
      <x:c r="AV196" s="161" t="n"/>
      <x:c r="AW196" s="161" t="n"/>
      <x:c r="AX196" s="161" t="n"/>
      <x:c r="AY196" s="161" t="n"/>
      <x:c r="AZ196" s="161" t="n"/>
    </x:row>
    <x:row r="197" ht="15" customHeight="1">
      <x:c r="A197" s="161" t="n"/>
      <x:c r="B197" s="161" t="n"/>
      <x:c r="C197" s="161" t="n"/>
      <x:c r="D197" s="161" t="n"/>
      <x:c r="E197" s="161" t="n"/>
      <x:c r="F197" s="161" t="n"/>
      <x:c r="G197" s="161" t="n"/>
      <x:c r="H197" s="161" t="n"/>
      <x:c r="I197" s="161" t="n"/>
      <x:c r="J197" s="161" t="n"/>
      <x:c r="K197" s="161" t="n"/>
      <x:c r="L197" s="161" t="n"/>
      <x:c r="M197" s="161" t="n"/>
      <x:c r="N197" s="161" t="n"/>
      <x:c r="O197" s="161" t="n"/>
      <x:c r="P197" s="161" t="n"/>
      <x:c r="Q197" s="161" t="n"/>
      <x:c r="R197" s="161" t="n"/>
      <x:c r="S197" s="161" t="n"/>
      <x:c r="T197" s="161" t="n"/>
      <x:c r="U197" s="161" t="n"/>
      <x:c r="V197" s="161" t="n"/>
      <x:c r="W197" s="161" t="n"/>
      <x:c r="X197" s="161" t="n"/>
      <x:c r="Y197" s="161" t="n"/>
      <x:c r="Z197" s="161" t="n"/>
      <x:c r="AA197" s="161" t="n"/>
      <x:c r="AB197" s="161" t="n"/>
      <x:c r="AC197" s="161" t="n"/>
      <x:c r="AD197" s="161" t="n"/>
      <x:c r="AE197" s="161" t="n"/>
      <x:c r="AF197" s="161" t="n"/>
      <x:c r="AG197" s="161" t="n"/>
      <x:c r="AH197" s="161" t="n"/>
      <x:c r="AI197" s="161" t="n"/>
      <x:c r="AJ197" s="161" t="n"/>
      <x:c r="AK197" s="161" t="n"/>
      <x:c r="AL197" s="161" t="n"/>
      <x:c r="AM197" s="161" t="n"/>
      <x:c r="AN197" s="161" t="n"/>
      <x:c r="AO197" s="161" t="n"/>
      <x:c r="AP197" s="161" t="n"/>
      <x:c r="AQ197" s="161" t="n"/>
      <x:c r="AR197" s="161" t="n"/>
      <x:c r="AS197" s="161" t="n"/>
      <x:c r="AT197" s="161" t="n"/>
      <x:c r="AU197" s="161" t="n"/>
      <x:c r="AV197" s="161" t="n"/>
      <x:c r="AW197" s="161" t="n"/>
      <x:c r="AX197" s="161" t="n"/>
      <x:c r="AY197" s="161" t="n"/>
      <x:c r="AZ197" s="161" t="n"/>
    </x:row>
    <x:row r="198" ht="15" customHeight="1">
      <x:c r="A198" s="161" t="n"/>
      <x:c r="B198" s="161" t="n"/>
      <x:c r="C198" s="161" t="n"/>
      <x:c r="D198" s="161" t="n"/>
      <x:c r="E198" s="161" t="n"/>
      <x:c r="F198" s="161" t="n"/>
      <x:c r="G198" s="161" t="n"/>
      <x:c r="H198" s="161" t="n"/>
      <x:c r="I198" s="161" t="n"/>
      <x:c r="J198" s="161" t="n"/>
      <x:c r="K198" s="161" t="n"/>
      <x:c r="L198" s="161" t="n"/>
      <x:c r="M198" s="161" t="n"/>
      <x:c r="N198" s="161" t="n"/>
      <x:c r="O198" s="161" t="n"/>
      <x:c r="P198" s="161" t="n"/>
      <x:c r="Q198" s="161" t="n"/>
      <x:c r="R198" s="161" t="n"/>
      <x:c r="S198" s="161" t="n"/>
      <x:c r="T198" s="161" t="n"/>
      <x:c r="U198" s="161" t="n"/>
      <x:c r="V198" s="161" t="n"/>
      <x:c r="W198" s="161" t="n"/>
      <x:c r="X198" s="161" t="n"/>
      <x:c r="Y198" s="161" t="n"/>
      <x:c r="Z198" s="161" t="n"/>
      <x:c r="AA198" s="161" t="n"/>
      <x:c r="AB198" s="161" t="n"/>
      <x:c r="AC198" s="161" t="n"/>
      <x:c r="AD198" s="161" t="n"/>
      <x:c r="AE198" s="161" t="n"/>
      <x:c r="AF198" s="161" t="n"/>
      <x:c r="AG198" s="161" t="n"/>
      <x:c r="AH198" s="161" t="n"/>
      <x:c r="AI198" s="161" t="n"/>
      <x:c r="AJ198" s="161" t="n"/>
      <x:c r="AK198" s="161" t="n"/>
      <x:c r="AL198" s="161" t="n"/>
      <x:c r="AM198" s="161" t="n"/>
      <x:c r="AN198" s="161" t="n"/>
      <x:c r="AO198" s="161" t="n"/>
      <x:c r="AP198" s="161" t="n"/>
      <x:c r="AQ198" s="161" t="n"/>
      <x:c r="AR198" s="161" t="n"/>
      <x:c r="AS198" s="161" t="n"/>
      <x:c r="AT198" s="161" t="n"/>
      <x:c r="AU198" s="161" t="n"/>
      <x:c r="AV198" s="161" t="n"/>
      <x:c r="AW198" s="161" t="n"/>
      <x:c r="AX198" s="161" t="n"/>
      <x:c r="AY198" s="161" t="n"/>
      <x:c r="AZ198" s="161" t="n"/>
    </x:row>
    <x:row r="199" ht="15" customHeight="1">
      <x:c r="A199" s="161" t="n"/>
      <x:c r="B199" s="161" t="n"/>
      <x:c r="C199" s="161" t="n"/>
      <x:c r="D199" s="161" t="n"/>
      <x:c r="E199" s="161" t="n"/>
      <x:c r="F199" s="161" t="n"/>
      <x:c r="G199" s="161" t="n"/>
      <x:c r="H199" s="161" t="n"/>
      <x:c r="I199" s="161" t="n"/>
      <x:c r="J199" s="161" t="n"/>
      <x:c r="K199" s="161" t="n"/>
      <x:c r="L199" s="161" t="n"/>
      <x:c r="M199" s="161" t="n"/>
      <x:c r="N199" s="161" t="n"/>
      <x:c r="O199" s="161" t="n"/>
      <x:c r="P199" s="161" t="n"/>
      <x:c r="Q199" s="161" t="n"/>
      <x:c r="R199" s="161" t="n"/>
      <x:c r="S199" s="161" t="n"/>
      <x:c r="T199" s="161" t="n"/>
      <x:c r="U199" s="161" t="n"/>
      <x:c r="V199" s="161" t="n"/>
      <x:c r="W199" s="161" t="n"/>
      <x:c r="X199" s="161" t="n"/>
      <x:c r="Y199" s="161" t="n"/>
      <x:c r="Z199" s="161" t="n"/>
      <x:c r="AA199" s="161" t="n"/>
      <x:c r="AB199" s="161" t="n"/>
      <x:c r="AC199" s="161" t="n"/>
      <x:c r="AD199" s="161" t="n"/>
      <x:c r="AE199" s="161" t="n"/>
      <x:c r="AF199" s="161" t="n"/>
      <x:c r="AG199" s="161" t="n"/>
      <x:c r="AH199" s="161" t="n"/>
      <x:c r="AI199" s="161" t="n"/>
      <x:c r="AJ199" s="161" t="n"/>
      <x:c r="AK199" s="161" t="n"/>
      <x:c r="AL199" s="161" t="n"/>
      <x:c r="AM199" s="161" t="n"/>
      <x:c r="AN199" s="161" t="n"/>
      <x:c r="AO199" s="161" t="n"/>
      <x:c r="AP199" s="161" t="n"/>
      <x:c r="AQ199" s="161" t="n"/>
      <x:c r="AR199" s="161" t="n"/>
      <x:c r="AS199" s="161" t="n"/>
      <x:c r="AT199" s="161" t="n"/>
      <x:c r="AU199" s="161" t="n"/>
      <x:c r="AV199" s="161" t="n"/>
      <x:c r="AW199" s="161" t="n"/>
      <x:c r="AX199" s="161" t="n"/>
      <x:c r="AY199" s="161" t="n"/>
      <x:c r="AZ199" s="161" t="n"/>
    </x:row>
    <x:row r="200" ht="15" customHeight="1">
      <x:c r="A200" s="161" t="n"/>
      <x:c r="B200" s="161" t="n"/>
      <x:c r="C200" s="161" t="n"/>
      <x:c r="D200" s="161" t="n"/>
      <x:c r="E200" s="161" t="n"/>
      <x:c r="F200" s="161" t="n"/>
      <x:c r="G200" s="161" t="n"/>
      <x:c r="H200" s="161" t="n"/>
      <x:c r="I200" s="161" t="n"/>
      <x:c r="J200" s="161" t="n"/>
      <x:c r="K200" s="161" t="n"/>
      <x:c r="L200" s="161" t="n"/>
      <x:c r="M200" s="161" t="n"/>
      <x:c r="N200" s="161" t="n"/>
      <x:c r="O200" s="161" t="n"/>
      <x:c r="P200" s="161" t="n"/>
      <x:c r="Q200" s="161" t="n"/>
      <x:c r="R200" s="161" t="n"/>
      <x:c r="S200" s="161" t="n"/>
      <x:c r="T200" s="161" t="n"/>
      <x:c r="U200" s="161" t="n"/>
      <x:c r="V200" s="161" t="n"/>
      <x:c r="W200" s="161" t="n"/>
      <x:c r="X200" s="161" t="n"/>
      <x:c r="Y200" s="161" t="n"/>
      <x:c r="Z200" s="161" t="n"/>
      <x:c r="AA200" s="161" t="n"/>
      <x:c r="AB200" s="161" t="n"/>
      <x:c r="AC200" s="161" t="n"/>
      <x:c r="AD200" s="161" t="n"/>
      <x:c r="AE200" s="161" t="n"/>
      <x:c r="AF200" s="161" t="n"/>
      <x:c r="AG200" s="161" t="n"/>
      <x:c r="AH200" s="161" t="n"/>
      <x:c r="AI200" s="161" t="n"/>
      <x:c r="AJ200" s="161" t="n"/>
      <x:c r="AK200" s="161" t="n"/>
      <x:c r="AL200" s="161" t="n"/>
      <x:c r="AM200" s="161" t="n"/>
      <x:c r="AN200" s="161" t="n"/>
      <x:c r="AO200" s="161" t="n"/>
      <x:c r="AP200" s="161" t="n"/>
      <x:c r="AQ200" s="161" t="n"/>
      <x:c r="AR200" s="161" t="n"/>
      <x:c r="AS200" s="161" t="n"/>
      <x:c r="AT200" s="161" t="n"/>
      <x:c r="AU200" s="161" t="n"/>
      <x:c r="AV200" s="161" t="n"/>
      <x:c r="AW200" s="161" t="n"/>
      <x:c r="AX200" s="161" t="n"/>
      <x:c r="AY200" s="161" t="n"/>
      <x:c r="AZ200" s="161" t="n"/>
    </x:row>
  </x:sheetData>
  <x:mergeCells>
    <x:mergeCell ref="A2:H2"/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96.33000183105469" hidden="0" customWidth="1"/>
    <x:col min="2" max="2" width="14" hidden="0" customWidth="1"/>
    <x:col min="3" max="3" width="12.670000076293945" hidden="0" customWidth="1"/>
    <x:col min="4" max="4" width="20.440000534057617" hidden="0" customWidth="1"/>
    <x:col min="5" max="5" width="13.109999656677246" hidden="0" customWidth="1"/>
    <x:col min="6" max="6" width="14.890000343322754" hidden="0" customWidth="1"/>
    <x:col min="7" max="7" width="8.4399995803833" hidden="0" customWidth="1"/>
    <x:col min="8" max="8" width="14" hidden="0" customWidth="1"/>
    <x:col min="9" max="9" width="9.329999923706055" hidden="0" customWidth="1"/>
    <x:col min="10" max="10" width="12.4399995803833" hidden="0" customWidth="1"/>
    <x:col min="11" max="11" width="10.220000267028809" hidden="0" customWidth="1"/>
    <x:col min="12" max="12" width="8.4399995803833" hidden="0" customWidth="1"/>
    <x:col min="13" max="13" width="8.4399995803833" hidden="0" customWidth="1"/>
    <x:col min="14" max="14" width="8.4399995803833" hidden="0" customWidth="1"/>
    <x:col min="15" max="15" width="8.4399995803833" hidden="0" customWidth="1"/>
    <x:col min="16" max="16" width="8.4399995803833" hidden="0" customWidth="1"/>
    <x:col min="17" max="17" width="19.329999923706055" hidden="0" customWidth="1"/>
    <x:col min="18" max="18" width="20.219999313354492" hidden="0" customWidth="1"/>
    <x:col min="19" max="19" width="11.109999656677246" hidden="0" customWidth="1"/>
  </x:cols>
  <x:sheetData>
    <x:row r="1" ht="30" hidden="0" customHeight="1">
      <x:c r="A1" s="518" t="str">
        <x:v>WARIBA — Offre, risque et exposition maximale v1.1</x:v>
      </x:c>
      <x:c r="B1" s="518"/>
      <x:c r="C1" s="518"/>
      <x:c r="D1" s="518"/>
      <x:c r="E1" s="518"/>
      <x:c r="F1" s="518"/>
      <x:c r="G1" s="518"/>
      <x:c r="H1" s="518"/>
      <x:c r="I1" s="518"/>
      <x:c r="J1" s="518"/>
      <x:c r="K1" s="518"/>
      <x:c r="L1" s="518"/>
      <x:c r="M1" s="518"/>
      <x:c r="N1" s="518"/>
      <x:c r="O1" s="518"/>
      <x:c r="P1" s="518"/>
      <x:c r="Q1" s="518"/>
      <x:c r="R1" s="518"/>
      <x:c r="S1" s="518"/>
    </x:row>
    <x:row r="2" ht="34" hidden="0" customHeight="1">
      <x:c r="A2" s="519" t="str">
        <x:v>Prix et caps candidats. FCFA contractuel et de règlement ; USD informatif ou utilisé uniquement pour les balances/payouts simulés.</x:v>
      </x:c>
      <x:c r="B2" s="519"/>
      <x:c r="C2" s="519"/>
      <x:c r="D2" s="519"/>
      <x:c r="E2" s="519"/>
      <x:c r="F2" s="519"/>
      <x:c r="G2" s="519"/>
      <x:c r="H2" s="519"/>
      <x:c r="I2" s="519"/>
      <x:c r="J2" s="519"/>
      <x:c r="K2" s="519"/>
      <x:c r="L2" s="519"/>
      <x:c r="M2" s="519"/>
      <x:c r="N2" s="519"/>
      <x:c r="O2" s="519"/>
      <x:c r="P2" s="519"/>
      <x:c r="Q2" s="519"/>
      <x:c r="R2" s="519"/>
      <x:c r="S2" s="519"/>
    </x:row>
    <x:row r="3">
      <x:c r="A3" s="520"/>
      <x:c r="B3" s="520"/>
      <x:c r="C3" s="520"/>
      <x:c r="D3" s="520"/>
      <x:c r="E3" s="520"/>
      <x:c r="F3" s="520"/>
      <x:c r="G3" s="520"/>
      <x:c r="H3" s="520"/>
      <x:c r="I3" s="520"/>
      <x:c r="J3" s="520"/>
      <x:c r="K3" s="520"/>
      <x:c r="L3" s="520"/>
      <x:c r="M3" s="520"/>
      <x:c r="N3" s="520"/>
      <x:c r="O3" s="520"/>
      <x:c r="P3" s="520"/>
      <x:c r="Q3" s="520"/>
      <x:c r="R3" s="520"/>
      <x:c r="S3" s="520"/>
    </x:row>
    <x:row r="4" ht="15" hidden="0" customHeight="1">
      <x:c r="A4" s="521" t="str">
        <x:v>Compte</x:v>
      </x:c>
      <x:c r="B4" s="521" t="str">
        <x:v>Nominal USD</x:v>
      </x:c>
      <x:c r="C4" s="521" t="str">
        <x:v>Prix public FCFA</x:v>
      </x:c>
      <x:c r="D4" s="521" t="str">
        <x:v>Prix fondateur FCFA</x:v>
      </x:c>
      <x:c r="E4" s="521" t="str">
        <x:v>USD indicatif</x:v>
      </x:c>
      <x:c r="F4" s="521" t="str">
        <x:v>Target 10 %</x:v>
      </x:c>
      <x:c r="G4" s="521" t="str">
        <x:v>DLL 3 %</x:v>
      </x:c>
      <x:c r="H4" s="521" t="str">
        <x:v>Distance ML 10 %</x:v>
      </x:c>
      <x:c r="I4" s="521" t="str">
        <x:v>Buffer 10 %</x:v>
      </x:c>
      <x:c r="J4" s="521" t="str">
        <x:v>Perf Day 0,50 %</x:v>
      </x:c>
      <x:c r="K4" s="521" t="str">
        <x:v>Buffer Floor</x:v>
      </x:c>
      <x:c r="L4" s="521" t="str">
        <x:v>Cap P1</x:v>
      </x:c>
      <x:c r="M4" s="521" t="str">
        <x:v>Cap P2</x:v>
      </x:c>
      <x:c r="N4" s="521" t="str">
        <x:v>Cap P3</x:v>
      </x:c>
      <x:c r="O4" s="521" t="str">
        <x:v>Cap P4</x:v>
      </x:c>
      <x:c r="P4" s="521" t="str">
        <x:v>Cap P5</x:v>
      </x:c>
      <x:c r="Q4" s="521" t="str">
        <x:v>Exposition max 5 payouts</x:v>
      </x:c>
      <x:c r="R4" s="521" t="str">
        <x:v>Statut</x:v>
      </x:c>
      <x:c r="S4" s="521" t="str">
        <x:v>Mix lancement</x:v>
      </x:c>
    </x:row>
    <x:row r="5" ht="15" hidden="0" customHeight="1">
      <x:c r="A5" s="522" t="str">
        <x:v>5K</x:v>
      </x:c>
      <x:c r="B5" s="523" t="n">
        <x:v>5000</x:v>
      </x:c>
      <x:c r="C5" s="524" t="n">
        <x:v>22500</x:v>
      </x:c>
      <x:c r="D5" s="524" t="n">
        <x:v>16900</x:v>
      </x:c>
      <x:c r="E5" s="523" t="n">
        <x:v>39</x:v>
      </x:c>
      <x:c r="F5" s="525" t="n">
        <x:f>B5*10%</x:f>
        <x:v>500</x:v>
      </x:c>
      <x:c r="G5" s="525" t="n">
        <x:f>B5*3%</x:f>
        <x:v>150</x:v>
      </x:c>
      <x:c r="H5" s="525" t="n">
        <x:f>B5*10%</x:f>
        <x:v>500</x:v>
      </x:c>
      <x:c r="I5" s="525" t="n">
        <x:f>B5*10%</x:f>
        <x:v>500</x:v>
      </x:c>
      <x:c r="J5" s="525" t="n">
        <x:f>B5*0.5%</x:f>
        <x:v>25</x:v>
      </x:c>
      <x:c r="K5" s="525" t="n">
        <x:f>B5*110%</x:f>
        <x:v>5500</x:v>
      </x:c>
      <x:c r="L5" s="523" t="n">
        <x:v>250</x:v>
      </x:c>
      <x:c r="M5" s="523" t="n">
        <x:v>350</x:v>
      </x:c>
      <x:c r="N5" s="523" t="n">
        <x:v>500</x:v>
      </x:c>
      <x:c r="O5" s="523" t="n">
        <x:v>750</x:v>
      </x:c>
      <x:c r="P5" s="523" t="n">
        <x:v>1000</x:v>
      </x:c>
      <x:c r="Q5" s="525" t="n">
        <x:f>SUM(L5:P5)</x:f>
        <x:v>2850</x:v>
      </x:c>
      <x:c r="R5" s="526" t="str">
        <x:v>CANDIDATE</x:v>
      </x:c>
      <x:c r="S5" s="527" t="n">
        <x:v>0.25</x:v>
      </x:c>
    </x:row>
    <x:row r="6" ht="15" hidden="0" customHeight="1">
      <x:c r="A6" s="522" t="str">
        <x:v>10K</x:v>
      </x:c>
      <x:c r="B6" s="523" t="n">
        <x:v>10000</x:v>
      </x:c>
      <x:c r="C6" s="524" t="n">
        <x:v>39900</x:v>
      </x:c>
      <x:c r="D6" s="524" t="n">
        <x:v>34900</x:v>
      </x:c>
      <x:c r="E6" s="523" t="n">
        <x:v>69</x:v>
      </x:c>
      <x:c r="F6" s="525" t="n">
        <x:f>B6*10%</x:f>
        <x:v>1000</x:v>
      </x:c>
      <x:c r="G6" s="525" t="n">
        <x:f>B6*3%</x:f>
        <x:v>300</x:v>
      </x:c>
      <x:c r="H6" s="525" t="n">
        <x:f>B6*10%</x:f>
        <x:v>1000</x:v>
      </x:c>
      <x:c r="I6" s="525" t="n">
        <x:f>B6*10%</x:f>
        <x:v>1000</x:v>
      </x:c>
      <x:c r="J6" s="525" t="n">
        <x:f>B6*0.5%</x:f>
        <x:v>50</x:v>
      </x:c>
      <x:c r="K6" s="525" t="n">
        <x:f>B6*110%</x:f>
        <x:v>11000</x:v>
      </x:c>
      <x:c r="L6" s="523" t="n">
        <x:v>500</x:v>
      </x:c>
      <x:c r="M6" s="523" t="n">
        <x:v>750</x:v>
      </x:c>
      <x:c r="N6" s="523" t="n">
        <x:v>1000</x:v>
      </x:c>
      <x:c r="O6" s="523" t="n">
        <x:v>1500</x:v>
      </x:c>
      <x:c r="P6" s="523" t="n">
        <x:v>2000</x:v>
      </x:c>
      <x:c r="Q6" s="525" t="n">
        <x:f>SUM(L6:P6)</x:f>
        <x:v>5750</x:v>
      </x:c>
      <x:c r="R6" s="526" t="str">
        <x:v>CANDIDATE — principal</x:v>
      </x:c>
      <x:c r="S6" s="527" t="n">
        <x:v>0.5</x:v>
      </x:c>
    </x:row>
    <x:row r="7" ht="15" hidden="0" customHeight="1">
      <x:c r="A7" s="522" t="str">
        <x:v>25K</x:v>
      </x:c>
      <x:c r="B7" s="523" t="n">
        <x:v>25000</x:v>
      </x:c>
      <x:c r="C7" s="524" t="n">
        <x:v>84900</x:v>
      </x:c>
      <x:c r="D7" s="524" t="n">
        <x:v>74900</x:v>
      </x:c>
      <x:c r="E7" s="523" t="n">
        <x:v>148</x:v>
      </x:c>
      <x:c r="F7" s="525" t="n">
        <x:f>B7*10%</x:f>
        <x:v>2500</x:v>
      </x:c>
      <x:c r="G7" s="525" t="n">
        <x:f>B7*3%</x:f>
        <x:v>750</x:v>
      </x:c>
      <x:c r="H7" s="525" t="n">
        <x:f>B7*10%</x:f>
        <x:v>2500</x:v>
      </x:c>
      <x:c r="I7" s="525" t="n">
        <x:f>B7*10%</x:f>
        <x:v>2500</x:v>
      </x:c>
      <x:c r="J7" s="525" t="n">
        <x:f>B7*0.5%</x:f>
        <x:v>125</x:v>
      </x:c>
      <x:c r="K7" s="525" t="n">
        <x:f>B7*110%</x:f>
        <x:v>27500.000000000004</x:v>
      </x:c>
      <x:c r="L7" s="523" t="n">
        <x:v>1000</x:v>
      </x:c>
      <x:c r="M7" s="523" t="n">
        <x:v>1500</x:v>
      </x:c>
      <x:c r="N7" s="523" t="n">
        <x:v>2000</x:v>
      </x:c>
      <x:c r="O7" s="523" t="n">
        <x:v>2500</x:v>
      </x:c>
      <x:c r="P7" s="523" t="n">
        <x:v>3000</x:v>
      </x:c>
      <x:c r="Q7" s="525" t="n">
        <x:f>SUM(L7:P7)</x:f>
        <x:v>10000</x:v>
      </x:c>
      <x:c r="R7" s="526" t="str">
        <x:v>CANDIDATE</x:v>
      </x:c>
      <x:c r="S7" s="527" t="n">
        <x:v>0.2</x:v>
      </x:c>
    </x:row>
    <x:row r="8" ht="15" hidden="0" customHeight="1">
      <x:c r="A8" s="522" t="str">
        <x:v>50K</x:v>
      </x:c>
      <x:c r="B8" s="523" t="n">
        <x:v>50000</x:v>
      </x:c>
      <x:c r="C8" s="524" t="n">
        <x:v>144900</x:v>
      </x:c>
      <x:c r="D8" s="524" t="n">
        <x:v>124900</x:v>
      </x:c>
      <x:c r="E8" s="523" t="n">
        <x:v>252</x:v>
      </x:c>
      <x:c r="F8" s="525" t="n">
        <x:f>B8*10%</x:f>
        <x:v>5000</x:v>
      </x:c>
      <x:c r="G8" s="525" t="n">
        <x:f>B8*3%</x:f>
        <x:v>1500</x:v>
      </x:c>
      <x:c r="H8" s="525" t="n">
        <x:f>B8*10%</x:f>
        <x:v>5000</x:v>
      </x:c>
      <x:c r="I8" s="525" t="n">
        <x:f>B8*10%</x:f>
        <x:v>5000</x:v>
      </x:c>
      <x:c r="J8" s="525" t="n">
        <x:f>B8*0.5%</x:f>
        <x:v>250</x:v>
      </x:c>
      <x:c r="K8" s="525" t="n">
        <x:f>B8*110%</x:f>
        <x:v>55000.00000000001</x:v>
      </x:c>
      <x:c r="L8" s="523" t="n">
        <x:v>2000</x:v>
      </x:c>
      <x:c r="M8" s="523" t="n">
        <x:v>2500</x:v>
      </x:c>
      <x:c r="N8" s="523" t="n">
        <x:v>3000</x:v>
      </x:c>
      <x:c r="O8" s="523" t="n">
        <x:v>4000</x:v>
      </x:c>
      <x:c r="P8" s="523" t="n">
        <x:v>5000</x:v>
      </x:c>
      <x:c r="Q8" s="525" t="n">
        <x:f>SUM(L8:P8)</x:f>
        <x:v>16500</x:v>
      </x:c>
      <x:c r="R8" s="526" t="str">
        <x:v>CANDIDATE — Stress gate</x:v>
      </x:c>
      <x:c r="S8" s="527" t="n">
        <x:v>0.05</x:v>
      </x:c>
    </x:row>
    <x:row r="9" ht="15" hidden="0" customHeight="1">
      <x:c r="A9" s="522" t="str">
        <x:v>100K</x:v>
      </x:c>
      <x:c r="B9" s="523" t="n">
        <x:v>100000</x:v>
      </x:c>
      <x:c r="C9" s="524" t="n">
        <x:v>259900</x:v>
      </x:c>
      <x:c r="D9" s="524" t="n">
        <x:v>229900</x:v>
      </x:c>
      <x:c r="E9" s="523" t="n">
        <x:v>452</x:v>
      </x:c>
      <x:c r="F9" s="525" t="n">
        <x:f>B9*10%</x:f>
        <x:v>10000</x:v>
      </x:c>
      <x:c r="G9" s="525" t="n">
        <x:f>B9*3%</x:f>
        <x:v>3000</x:v>
      </x:c>
      <x:c r="H9" s="525" t="n">
        <x:f>B9*10%</x:f>
        <x:v>10000</x:v>
      </x:c>
      <x:c r="I9" s="525" t="n">
        <x:f>B9*10%</x:f>
        <x:v>10000</x:v>
      </x:c>
      <x:c r="J9" s="525" t="n">
        <x:f>B9*0.5%</x:f>
        <x:v>500</x:v>
      </x:c>
      <x:c r="K9" s="525" t="n">
        <x:f>B9*110%</x:f>
        <x:v>110000.00000000001</x:v>
      </x:c>
      <x:c r="L9" s="523" t="n">
        <x:v>3000</x:v>
      </x:c>
      <x:c r="M9" s="523" t="n">
        <x:v>4000</x:v>
      </x:c>
      <x:c r="N9" s="523" t="n">
        <x:v>5000</x:v>
      </x:c>
      <x:c r="O9" s="523" t="n">
        <x:v>6000</x:v>
      </x:c>
      <x:c r="P9" s="523" t="n">
        <x:v>8000</x:v>
      </x:c>
      <x:c r="Q9" s="525" t="n">
        <x:f>SUM(L9:P9)</x:f>
        <x:v>26000</x:v>
      </x:c>
      <x:c r="R9" s="526" t="str">
        <x:v>CANDIDATE — Stress gate</x:v>
      </x:c>
      <x:c r="S9" s="527" t="n">
        <x:v>0</x:v>
      </x:c>
    </x:row>
    <x:row r="10">
      <x:c r="A10" s="520"/>
      <x:c r="B10" s="520"/>
      <x:c r="C10" s="520"/>
      <x:c r="D10" s="520"/>
      <x:c r="E10" s="520"/>
      <x:c r="F10" s="520"/>
      <x:c r="G10" s="520"/>
      <x:c r="H10" s="520"/>
      <x:c r="I10" s="520"/>
      <x:c r="J10" s="520"/>
      <x:c r="K10" s="520"/>
      <x:c r="L10" s="520"/>
      <x:c r="M10" s="520"/>
      <x:c r="N10" s="520"/>
      <x:c r="O10" s="520"/>
      <x:c r="P10" s="520"/>
      <x:c r="Q10" s="520"/>
      <x:c r="R10" s="520"/>
      <x:c r="S10" s="520"/>
    </x:row>
    <x:row r="11">
      <x:c r="A11" s="520"/>
      <x:c r="B11" s="520"/>
      <x:c r="C11" s="520"/>
      <x:c r="D11" s="520"/>
      <x:c r="E11" s="520"/>
      <x:c r="F11" s="520"/>
      <x:c r="G11" s="520"/>
      <x:c r="H11" s="520"/>
      <x:c r="I11" s="520"/>
      <x:c r="J11" s="520"/>
      <x:c r="K11" s="520"/>
      <x:c r="L11" s="520"/>
      <x:c r="M11" s="520"/>
      <x:c r="N11" s="520"/>
      <x:c r="O11" s="520"/>
      <x:c r="P11" s="520"/>
      <x:c r="Q11" s="520"/>
      <x:c r="R11" s="520"/>
      <x:c r="S11" s="520"/>
    </x:row>
    <x:row r="12" ht="15" hidden="0" customHeight="1">
      <x:c r="A12" s="521" t="str">
        <x:v>Compte</x:v>
      </x:c>
      <x:c r="B12" s="521" t="str">
        <x:v>Forex agrégé (lots)</x:v>
      </x:c>
      <x:c r="C12" s="521" t="str">
        <x:v>XAUUSD (lots)</x:v>
      </x:c>
      <x:c r="D12" s="521" t="str">
        <x:v>NAS100 (contrats WARIBA)</x:v>
      </x:c>
      <x:c r="E12" s="521" t="str">
        <x:v>Marge Evaluation</x:v>
      </x:c>
      <x:c r="F12" s="521" t="str">
        <x:v>Marge Performance</x:v>
      </x:c>
      <x:c r="G12" s="520"/>
      <x:c r="H12" s="520"/>
      <x:c r="I12" s="520"/>
      <x:c r="J12" s="520"/>
      <x:c r="K12" s="520"/>
      <x:c r="L12" s="520"/>
      <x:c r="M12" s="520"/>
      <x:c r="N12" s="520"/>
      <x:c r="O12" s="520"/>
      <x:c r="P12" s="520"/>
      <x:c r="Q12" s="520"/>
      <x:c r="R12" s="520"/>
      <x:c r="S12" s="520"/>
    </x:row>
    <x:row r="13" ht="15" hidden="0" customHeight="1">
      <x:c r="A13" s="520" t="str">
        <x:v>5K</x:v>
      </x:c>
      <x:c r="B13" s="528" t="n">
        <x:v>0.3</x:v>
      </x:c>
      <x:c r="C13" s="528" t="n">
        <x:v>0.05</x:v>
      </x:c>
      <x:c r="D13" s="528" t="n">
        <x:v>1</x:v>
      </x:c>
      <x:c r="E13" s="529" t="n">
        <x:v>0.3</x:v>
      </x:c>
      <x:c r="F13" s="529" t="n">
        <x:v>0.25</x:v>
      </x:c>
      <x:c r="G13" s="520"/>
      <x:c r="H13" s="520"/>
      <x:c r="I13" s="520"/>
      <x:c r="J13" s="520"/>
      <x:c r="K13" s="520"/>
      <x:c r="L13" s="520"/>
      <x:c r="M13" s="520"/>
      <x:c r="N13" s="520"/>
      <x:c r="O13" s="520"/>
      <x:c r="P13" s="520"/>
      <x:c r="Q13" s="520"/>
      <x:c r="R13" s="520"/>
      <x:c r="S13" s="520"/>
    </x:row>
    <x:row r="14" ht="15" hidden="0" customHeight="1">
      <x:c r="A14" s="520" t="str">
        <x:v>10K</x:v>
      </x:c>
      <x:c r="B14" s="528" t="n">
        <x:v>0.6</x:v>
      </x:c>
      <x:c r="C14" s="528" t="n">
        <x:v>0.1</x:v>
      </x:c>
      <x:c r="D14" s="528" t="n">
        <x:v>2</x:v>
      </x:c>
      <x:c r="E14" s="529" t="n">
        <x:v>0.3</x:v>
      </x:c>
      <x:c r="F14" s="529" t="n">
        <x:v>0.25</x:v>
      </x:c>
      <x:c r="G14" s="520"/>
      <x:c r="H14" s="520"/>
      <x:c r="I14" s="520"/>
      <x:c r="J14" s="520"/>
      <x:c r="K14" s="520"/>
      <x:c r="L14" s="520"/>
      <x:c r="M14" s="520"/>
      <x:c r="N14" s="520"/>
      <x:c r="O14" s="520"/>
      <x:c r="P14" s="520"/>
      <x:c r="Q14" s="520"/>
      <x:c r="R14" s="520"/>
      <x:c r="S14" s="520"/>
    </x:row>
    <x:row r="15" ht="15" hidden="0" customHeight="1">
      <x:c r="A15" s="520" t="str">
        <x:v>25K</x:v>
      </x:c>
      <x:c r="B15" s="528" t="n">
        <x:v>1.5</x:v>
      </x:c>
      <x:c r="C15" s="528" t="n">
        <x:v>0.25</x:v>
      </x:c>
      <x:c r="D15" s="528" t="n">
        <x:v>5</x:v>
      </x:c>
      <x:c r="E15" s="529" t="n">
        <x:v>0.3</x:v>
      </x:c>
      <x:c r="F15" s="529" t="n">
        <x:v>0.25</x:v>
      </x:c>
      <x:c r="G15" s="520"/>
      <x:c r="H15" s="520"/>
      <x:c r="I15" s="520"/>
      <x:c r="J15" s="520"/>
      <x:c r="K15" s="520"/>
      <x:c r="L15" s="520"/>
      <x:c r="M15" s="520"/>
      <x:c r="N15" s="520"/>
      <x:c r="O15" s="520"/>
      <x:c r="P15" s="520"/>
      <x:c r="Q15" s="520"/>
      <x:c r="R15" s="520"/>
      <x:c r="S15" s="520"/>
    </x:row>
    <x:row r="16" ht="15" hidden="0" customHeight="1">
      <x:c r="A16" s="520" t="str">
        <x:v>50K</x:v>
      </x:c>
      <x:c r="B16" s="528" t="n">
        <x:v>3</x:v>
      </x:c>
      <x:c r="C16" s="528" t="n">
        <x:v>0.5</x:v>
      </x:c>
      <x:c r="D16" s="528" t="n">
        <x:v>10</x:v>
      </x:c>
      <x:c r="E16" s="529" t="n">
        <x:v>0.3</x:v>
      </x:c>
      <x:c r="F16" s="529" t="n">
        <x:v>0.25</x:v>
      </x:c>
      <x:c r="G16" s="520"/>
      <x:c r="H16" s="520"/>
      <x:c r="I16" s="520"/>
      <x:c r="J16" s="520"/>
      <x:c r="K16" s="520"/>
      <x:c r="L16" s="520"/>
      <x:c r="M16" s="520"/>
      <x:c r="N16" s="520"/>
      <x:c r="O16" s="520"/>
      <x:c r="P16" s="520"/>
      <x:c r="Q16" s="520"/>
      <x:c r="R16" s="520"/>
      <x:c r="S16" s="520"/>
    </x:row>
    <x:row r="17" ht="15" hidden="0" customHeight="1">
      <x:c r="A17" s="530" t="str">
        <x:v>100K</x:v>
      </x:c>
      <x:c r="B17" s="531" t="n">
        <x:v>6</x:v>
      </x:c>
      <x:c r="C17" s="531" t="n">
        <x:v>1</x:v>
      </x:c>
      <x:c r="D17" s="531" t="n">
        <x:v>20</x:v>
      </x:c>
      <x:c r="E17" s="532" t="n">
        <x:v>0.3</x:v>
      </x:c>
      <x:c r="F17" s="532" t="n">
        <x:v>0.25</x:v>
      </x:c>
      <x:c r="G17" s="530"/>
      <x:c r="H17" s="530"/>
      <x:c r="I17" s="530"/>
      <x:c r="J17" s="530"/>
      <x:c r="K17" s="530"/>
      <x:c r="L17" s="530"/>
      <x:c r="M17" s="530"/>
      <x:c r="N17" s="530"/>
      <x:c r="O17" s="530"/>
      <x:c r="P17" s="530"/>
      <x:c r="Q17" s="530"/>
      <x:c r="R17" s="530"/>
      <x:c r="S17" s="530"/>
    </x:row>
  </x:sheetData>
  <x:mergeCells>
    <x:mergeCell ref="A1:S1"/>
    <x:mergeCell ref="A2:S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84.11000061035156" hidden="0" customWidth="1"/>
    <x:col min="2" max="2" width="13.109999656677246" hidden="0" customWidth="1"/>
    <x:col min="3" max="3" width="13.109999656677246" hidden="0" customWidth="1"/>
    <x:col min="4" max="4" width="13.109999656677246" hidden="0" customWidth="1"/>
    <x:col min="5" max="5" width="13.109999656677246" hidden="0" customWidth="1"/>
  </x:cols>
  <x:sheetData>
    <x:row r="1" ht="30" hidden="0" customHeight="1">
      <x:c r="A1" s="518" t="str">
        <x:v>WARIBA — Scénarios actuariels v1.1</x:v>
      </x:c>
      <x:c r="B1" s="518"/>
      <x:c r="C1" s="518"/>
      <x:c r="D1" s="518"/>
      <x:c r="E1" s="518"/>
      <x:c r="F1" s="501"/>
      <x:c r="G1" s="501"/>
      <x:c r="H1" s="501"/>
      <x:c r="I1" s="501"/>
      <x:c r="J1" s="501"/>
      <x:c r="K1" s="501"/>
      <x:c r="L1" s="501"/>
      <x:c r="M1" s="501"/>
      <x:c r="N1" s="501"/>
      <x:c r="O1" s="501"/>
      <x:c r="P1" s="501"/>
      <x:c r="Q1" s="501"/>
      <x:c r="R1" s="501"/>
      <x:c r="S1" s="501"/>
    </x:row>
    <x:row r="2" ht="34" hidden="0" customHeight="1">
      <x:c r="A2" s="519" t="str">
        <x:v>Outils de stress, jamais des prévisions. Toute donnée non observée reste une hypothèse à remplacer après la bêta.</x:v>
      </x:c>
      <x:c r="B2" s="519"/>
      <x:c r="C2" s="519"/>
      <x:c r="D2" s="519"/>
      <x:c r="E2" s="519"/>
      <x:c r="F2" s="504"/>
      <x:c r="G2" s="504"/>
      <x:c r="H2" s="504"/>
      <x:c r="I2" s="504"/>
      <x:c r="J2" s="504"/>
      <x:c r="K2" s="504"/>
      <x:c r="L2" s="504"/>
      <x:c r="M2" s="504"/>
      <x:c r="N2" s="504"/>
      <x:c r="O2" s="504"/>
      <x:c r="P2" s="504"/>
      <x:c r="Q2" s="504"/>
      <x:c r="R2" s="504"/>
      <x:c r="S2" s="504"/>
    </x:row>
    <x:row r="3">
      <x:c r="A3" s="520"/>
      <x:c r="B3" s="520"/>
      <x:c r="C3" s="520"/>
      <x:c r="D3" s="520"/>
      <x:c r="E3" s="520"/>
    </x:row>
    <x:row r="4" ht="15" hidden="0" customHeight="1">
      <x:c r="A4" s="521" t="str">
        <x:v>Variable</x:v>
      </x:c>
      <x:c r="B4" s="521" t="str">
        <x:v>Conservative</x:v>
      </x:c>
      <x:c r="C4" s="521" t="str">
        <x:v>Base</x:v>
      </x:c>
      <x:c r="D4" s="521" t="str">
        <x:v>Aggressive</x:v>
      </x:c>
      <x:c r="E4" s="521" t="str">
        <x:v>Stress</x:v>
      </x:c>
    </x:row>
    <x:row r="5" ht="15" hidden="0" customHeight="1">
      <x:c r="A5" s="520" t="str">
        <x:v>Challenges vendus</x:v>
      </x:c>
      <x:c r="B5" s="528" t="n">
        <x:v>1000</x:v>
      </x:c>
      <x:c r="C5" s="528" t="n">
        <x:v>1000</x:v>
      </x:c>
      <x:c r="D5" s="528" t="n">
        <x:v>1000</x:v>
      </x:c>
      <x:c r="E5" s="528" t="n">
        <x:v>1000</x:v>
      </x:c>
    </x:row>
    <x:row r="6" ht="15" hidden="0" customHeight="1">
      <x:c r="A6" s="520" t="str">
        <x:v>Pass rate</x:v>
      </x:c>
      <x:c r="B6" s="538" t="n">
        <x:v>0.05</x:v>
      </x:c>
      <x:c r="C6" s="538" t="n">
        <x:v>0.08</x:v>
      </x:c>
      <x:c r="D6" s="538" t="n">
        <x:v>0.12</x:v>
      </x:c>
      <x:c r="E6" s="538" t="n">
        <x:v>0.18</x:v>
      </x:c>
    </x:row>
    <x:row r="7" ht="15" hidden="0" customHeight="1">
      <x:c r="A7" s="520" t="str">
        <x:v>Activation Performance</x:v>
      </x:c>
      <x:c r="B7" s="538" t="n">
        <x:v>0.98</x:v>
      </x:c>
      <x:c r="C7" s="538" t="n">
        <x:v>0.98</x:v>
      </x:c>
      <x:c r="D7" s="538" t="n">
        <x:v>0.99</x:v>
      </x:c>
      <x:c r="E7" s="538" t="n">
        <x:v>1</x:v>
      </x:c>
    </x:row>
    <x:row r="8" ht="15" hidden="0" customHeight="1">
      <x:c r="A8" s="520" t="str">
        <x:v>Buffer completion</x:v>
      </x:c>
      <x:c r="B8" s="538" t="n">
        <x:v>0.15</x:v>
      </x:c>
      <x:c r="C8" s="538" t="n">
        <x:v>0.2</x:v>
      </x:c>
      <x:c r="D8" s="538" t="n">
        <x:v>0.3</x:v>
      </x:c>
      <x:c r="E8" s="538" t="n">
        <x:v>0.4</x:v>
      </x:c>
    </x:row>
    <x:row r="9" ht="15" hidden="0" customHeight="1">
      <x:c r="A9" s="520" t="str">
        <x:v>Payout #1 eligibility</x:v>
      </x:c>
      <x:c r="B9" s="538" t="n">
        <x:v>0.6</x:v>
      </x:c>
      <x:c r="C9" s="538" t="n">
        <x:v>0.65</x:v>
      </x:c>
      <x:c r="D9" s="538" t="n">
        <x:v>0.7</x:v>
      </x:c>
      <x:c r="E9" s="538" t="n">
        <x:v>0.8</x:v>
      </x:c>
    </x:row>
    <x:row r="10" ht="15" hidden="0" customHeight="1">
      <x:c r="A10" s="520" t="str">
        <x:v>P1 → P2</x:v>
      </x:c>
      <x:c r="B10" s="538" t="n">
        <x:v>0.35</x:v>
      </x:c>
      <x:c r="C10" s="538" t="n">
        <x:v>0.4</x:v>
      </x:c>
      <x:c r="D10" s="538" t="n">
        <x:v>0.5</x:v>
      </x:c>
      <x:c r="E10" s="538" t="n">
        <x:v>0.6</x:v>
      </x:c>
    </x:row>
    <x:row r="11" ht="15" hidden="0" customHeight="1">
      <x:c r="A11" s="520" t="str">
        <x:v>P2 → P3</x:v>
      </x:c>
      <x:c r="B11" s="538" t="n">
        <x:v>0.25</x:v>
      </x:c>
      <x:c r="C11" s="538" t="n">
        <x:v>0.3</x:v>
      </x:c>
      <x:c r="D11" s="538" t="n">
        <x:v>0.4</x:v>
      </x:c>
      <x:c r="E11" s="538" t="n">
        <x:v>0.5</x:v>
      </x:c>
    </x:row>
    <x:row r="12" ht="15" hidden="0" customHeight="1">
      <x:c r="A12" s="520" t="str">
        <x:v>P3 → P4</x:v>
      </x:c>
      <x:c r="B12" s="538" t="n">
        <x:v>0.2</x:v>
      </x:c>
      <x:c r="C12" s="538" t="n">
        <x:v>0.25</x:v>
      </x:c>
      <x:c r="D12" s="538" t="n">
        <x:v>0.35</x:v>
      </x:c>
      <x:c r="E12" s="538" t="n">
        <x:v>0.45</x:v>
      </x:c>
    </x:row>
    <x:row r="13" ht="15" hidden="0" customHeight="1">
      <x:c r="A13" s="520" t="str">
        <x:v>P4 → P5</x:v>
      </x:c>
      <x:c r="B13" s="538" t="n">
        <x:v>0.15</x:v>
      </x:c>
      <x:c r="C13" s="538" t="n">
        <x:v>0.2</x:v>
      </x:c>
      <x:c r="D13" s="538" t="n">
        <x:v>0.3</x:v>
      </x:c>
      <x:c r="E13" s="538" t="n">
        <x:v>0.4</x:v>
      </x:c>
    </x:row>
    <x:row r="14" ht="15" hidden="0" customHeight="1">
      <x:c r="A14" s="520" t="str">
        <x:v>Payout moyen / cap</x:v>
      </x:c>
      <x:c r="B14" s="538" t="n">
        <x:v>0.35</x:v>
      </x:c>
      <x:c r="C14" s="538" t="n">
        <x:v>0.45</x:v>
      </x:c>
      <x:c r="D14" s="538" t="n">
        <x:v>0.6</x:v>
      </x:c>
      <x:c r="E14" s="538" t="n">
        <x:v>0.8</x:v>
      </x:c>
    </x:row>
    <x:row r="15" ht="15" hidden="0" customHeight="1">
      <x:c r="A15" s="520" t="str">
        <x:v>Refund</x:v>
      </x:c>
      <x:c r="B15" s="538" t="n">
        <x:v>0.03</x:v>
      </x:c>
      <x:c r="C15" s="538" t="n">
        <x:v>0.04</x:v>
      </x:c>
      <x:c r="D15" s="538" t="n">
        <x:v>0.05</x:v>
      </x:c>
      <x:c r="E15" s="538" t="n">
        <x:v>0.07</x:v>
      </x:c>
    </x:row>
    <x:row r="16" ht="15" hidden="0" customHeight="1">
      <x:c r="A16" s="520" t="str">
        <x:v>Chargeback</x:v>
      </x:c>
      <x:c r="B16" s="538" t="n">
        <x:v>0.01</x:v>
      </x:c>
      <x:c r="C16" s="538" t="n">
        <x:v>0.015</x:v>
      </x:c>
      <x:c r="D16" s="538" t="n">
        <x:v>0.02</x:v>
      </x:c>
      <x:c r="E16" s="538" t="n">
        <x:v>0.03</x:v>
      </x:c>
    </x:row>
    <x:row r="17" ht="15" hidden="0" customHeight="1">
      <x:c r="A17" s="520" t="str">
        <x:v>Frais PSP encaissement</x:v>
      </x:c>
      <x:c r="B17" s="538" t="n">
        <x:v>0.035</x:v>
      </x:c>
      <x:c r="C17" s="538" t="n">
        <x:v>0.035</x:v>
      </x:c>
      <x:c r="D17" s="538" t="n">
        <x:v>0.035</x:v>
      </x:c>
      <x:c r="E17" s="538" t="n">
        <x:v>0.035</x:v>
      </x:c>
    </x:row>
    <x:row r="18" ht="15" hidden="0" customHeight="1">
      <x:c r="A18" s="520" t="str">
        <x:v>Fraude / payouts</x:v>
      </x:c>
      <x:c r="B18" s="538" t="n">
        <x:v>0.01</x:v>
      </x:c>
      <x:c r="C18" s="538" t="n">
        <x:v>0.01</x:v>
      </x:c>
      <x:c r="D18" s="538" t="n">
        <x:v>0.01</x:v>
      </x:c>
      <x:c r="E18" s="538" t="n">
        <x:v>0.01</x:v>
      </x:c>
    </x:row>
    <x:row r="19">
      <x:c r="A19" s="520"/>
      <x:c r="B19" s="520"/>
      <x:c r="C19" s="520"/>
      <x:c r="D19" s="520"/>
      <x:c r="E19" s="520"/>
    </x:row>
    <x:row r="20" ht="15" hidden="0" customHeight="1">
      <x:c r="A20" s="521" t="str">
        <x:v>Sortie calculée</x:v>
      </x:c>
      <x:c r="B20" s="521" t="str">
        <x:v>Conservative</x:v>
      </x:c>
      <x:c r="C20" s="521" t="str">
        <x:v>Base</x:v>
      </x:c>
      <x:c r="D20" s="521" t="str">
        <x:v>Aggressive</x:v>
      </x:c>
      <x:c r="E20" s="521" t="str">
        <x:v>Stress</x:v>
      </x:c>
    </x:row>
    <x:row r="21" ht="15" hidden="0" customHeight="1">
      <x:c r="A21" s="520" t="str">
        <x:v>Prix moyen encaissé FCFA</x:v>
      </x:c>
      <x:c r="B21" s="598" t="n">
        <x:f>SUMPRODUCT('Offre v1.1'!$C$5:$C$9,'Offre v1.1'!$S$5:$S$9)</x:f>
        <x:v>49800</x:v>
      </x:c>
      <x:c r="C21" s="598" t="n">
        <x:f>SUMPRODUCT('Offre v1.1'!$C$5:$C$9,'Offre v1.1'!$S$5:$S$9)</x:f>
        <x:v>49800</x:v>
      </x:c>
      <x:c r="D21" s="598" t="n">
        <x:f>SUMPRODUCT('Offre v1.1'!$C$5:$C$9,'Offre v1.1'!$S$5:$S$9)</x:f>
        <x:v>49800</x:v>
      </x:c>
      <x:c r="E21" s="598" t="n">
        <x:f>SUMPRODUCT('Offre v1.1'!$C$5:$C$9,'Offre v1.1'!$S$5:$S$9)</x:f>
        <x:v>49800</x:v>
      </x:c>
    </x:row>
    <x:row r="22" ht="15" hidden="0" customHeight="1">
      <x:c r="A22" s="520" t="str">
        <x:v>Gross Revenue</x:v>
      </x:c>
      <x:c r="B22" s="539" t="n">
        <x:f>B5*B21</x:f>
        <x:v>49800000</x:v>
      </x:c>
      <x:c r="C22" s="539" t="n">
        <x:f>C5*C21</x:f>
        <x:v>49800000</x:v>
      </x:c>
      <x:c r="D22" s="539" t="n">
        <x:f>D5*D21</x:f>
        <x:v>49800000</x:v>
      </x:c>
      <x:c r="E22" s="539" t="n">
        <x:f>E5*E21</x:f>
        <x:v>49800000</x:v>
      </x:c>
    </x:row>
    <x:row r="23" ht="15" hidden="0" customHeight="1">
      <x:c r="A23" s="520" t="str">
        <x:v>Passed Evaluations</x:v>
      </x:c>
      <x:c r="B23" s="540" t="n">
        <x:f>B5*B6</x:f>
        <x:v>50</x:v>
      </x:c>
      <x:c r="C23" s="540" t="n">
        <x:f>C5*C6</x:f>
        <x:v>80</x:v>
      </x:c>
      <x:c r="D23" s="540" t="n">
        <x:f>D5*D6</x:f>
        <x:v>120</x:v>
      </x:c>
      <x:c r="E23" s="540" t="n">
        <x:f>E5*E6</x:f>
        <x:v>180</x:v>
      </x:c>
    </x:row>
    <x:row r="24" ht="15" hidden="0" customHeight="1">
      <x:c r="A24" s="520" t="str">
        <x:v>Performance Activations</x:v>
      </x:c>
      <x:c r="B24" s="540" t="n">
        <x:f>B23*B7</x:f>
        <x:v>49</x:v>
      </x:c>
      <x:c r="C24" s="540" t="n">
        <x:f>C23*C7</x:f>
        <x:v>78.4</x:v>
      </x:c>
      <x:c r="D24" s="540" t="n">
        <x:f>D23*D7</x:f>
        <x:v>118.8</x:v>
      </x:c>
      <x:c r="E24" s="540" t="n">
        <x:f>E23*E7</x:f>
        <x:v>180</x:v>
      </x:c>
    </x:row>
    <x:row r="25" ht="15" hidden="0" customHeight="1">
      <x:c r="A25" s="520" t="str">
        <x:v>Buffers Completed</x:v>
      </x:c>
      <x:c r="B25" s="540" t="n">
        <x:f>B24*B8</x:f>
        <x:v>7.35</x:v>
      </x:c>
      <x:c r="C25" s="540" t="n">
        <x:f>C24*C8</x:f>
        <x:v>15.680000000000001</x:v>
      </x:c>
      <x:c r="D25" s="540" t="n">
        <x:f>D24*D8</x:f>
        <x:v>35.64</x:v>
      </x:c>
      <x:c r="E25" s="540" t="n">
        <x:f>E24*E8</x:f>
        <x:v>72</x:v>
      </x:c>
    </x:row>
    <x:row r="26" ht="15" hidden="0" customHeight="1">
      <x:c r="A26" s="520" t="str">
        <x:v>Payout #1 Recipients</x:v>
      </x:c>
      <x:c r="B26" s="540" t="n">
        <x:f>B25*B9</x:f>
        <x:v>4.409999999999999</x:v>
      </x:c>
      <x:c r="C26" s="540" t="n">
        <x:f>C25*C9</x:f>
        <x:v>10.192000000000002</x:v>
      </x:c>
      <x:c r="D26" s="540" t="n">
        <x:f>D25*D9</x:f>
        <x:v>24.948</x:v>
      </x:c>
      <x:c r="E26" s="540" t="n">
        <x:f>E25*E9</x:f>
        <x:v>57.6</x:v>
      </x:c>
    </x:row>
    <x:row r="27" ht="15" hidden="0" customHeight="1">
      <x:c r="A27" s="520" t="str">
        <x:v>Payout #2 Recipients</x:v>
      </x:c>
      <x:c r="B27" s="540" t="n">
        <x:f>B26*B10</x:f>
        <x:v>1.5434999999999997</x:v>
      </x:c>
      <x:c r="C27" s="540" t="n">
        <x:f>C26*C10</x:f>
        <x:v>4.076800000000001</x:v>
      </x:c>
      <x:c r="D27" s="540" t="n">
        <x:f>D26*D10</x:f>
        <x:v>12.474</x:v>
      </x:c>
      <x:c r="E27" s="540" t="n">
        <x:f>E26*E10</x:f>
        <x:v>34.56</x:v>
      </x:c>
    </x:row>
    <x:row r="28" ht="15" hidden="0" customHeight="1">
      <x:c r="A28" s="520" t="str">
        <x:v>Payout #3 Recipients</x:v>
      </x:c>
      <x:c r="B28" s="540" t="n">
        <x:f>B27*B11</x:f>
        <x:v>0.3858749999999999</x:v>
      </x:c>
      <x:c r="C28" s="540" t="n">
        <x:f>C27*C11</x:f>
        <x:v>1.2230400000000003</x:v>
      </x:c>
      <x:c r="D28" s="540" t="n">
        <x:f>D27*D11</x:f>
        <x:v>4.9896</x:v>
      </x:c>
      <x:c r="E28" s="540" t="n">
        <x:f>E27*E11</x:f>
        <x:v>17.28</x:v>
      </x:c>
    </x:row>
    <x:row r="29" ht="15" hidden="0" customHeight="1">
      <x:c r="A29" s="520" t="str">
        <x:v>Payout #4 Recipients</x:v>
      </x:c>
      <x:c r="B29" s="540" t="n">
        <x:f>B28*B12</x:f>
        <x:v>0.077175</x:v>
      </x:c>
      <x:c r="C29" s="540" t="n">
        <x:f>C28*C12</x:f>
        <x:v>0.3057600000000001</x:v>
      </x:c>
      <x:c r="D29" s="540" t="n">
        <x:f>D28*D12</x:f>
        <x:v>1.74636</x:v>
      </x:c>
      <x:c r="E29" s="540" t="n">
        <x:f>E28*E12</x:f>
        <x:v>7.776000000000001</x:v>
      </x:c>
    </x:row>
    <x:row r="30" ht="15" hidden="0" customHeight="1">
      <x:c r="A30" s="520" t="str">
        <x:v>Payout #5 Recipients</x:v>
      </x:c>
      <x:c r="B30" s="540" t="n">
        <x:f>B29*B13</x:f>
        <x:v>0.011576249999999998</x:v>
      </x:c>
      <x:c r="C30" s="540" t="n">
        <x:f>C29*C13</x:f>
        <x:v>0.06115200000000002</x:v>
      </x:c>
      <x:c r="D30" s="540" t="n">
        <x:f>D29*D13</x:f>
        <x:v>0.5239079999999999</x:v>
      </x:c>
      <x:c r="E30" s="540" t="n">
        <x:f>E29*E13</x:f>
        <x:v>3.1104000000000003</x:v>
      </x:c>
    </x:row>
    <x:row r="31" ht="15" hidden="0" customHeight="1">
      <x:c r="A31" s="520" t="str">
        <x:v>Expected Payout Cost</x:v>
      </x:c>
      <x:c r="B31" s="599" t="n">
        <x:f>(B26*SUMPRODUCT('Offre v1.1'!$L$5:$L$9,'Offre v1.1'!$S$5:$S$9)*85%+B27*SUMPRODUCT('Offre v1.1'!$M$5:$M$9,'Offre v1.1'!$S$5:$S$9)*85%+B28*SUMPRODUCT('Offre v1.1'!$N$5:$N$9,'Offre v1.1'!$S$5:$S$9)*85%+B29*SUMPRODUCT('Offre v1.1'!$O$5:$O$9,'Offre v1.1'!$S$5:$S$9)*85%+B30*SUMPRODUCT('Offre v1.1'!$P$5:$P$9,'Offre v1.1'!$S$5:$S$9)*90%)*B14*575*(1+2%+B18)</x:f>
        <x:v>823972.7427036326</x:v>
      </x:c>
      <x:c r="C31" s="599" t="n">
        <x:f>(C26*SUMPRODUCT('Offre v1.1'!$L$5:$L$9,'Offre v1.1'!$S$5:$S$9)*85%+C27*SUMPRODUCT('Offre v1.1'!$M$5:$M$9,'Offre v1.1'!$S$5:$S$9)*85%+C28*SUMPRODUCT('Offre v1.1'!$N$5:$N$9,'Offre v1.1'!$S$5:$S$9)*85%+C29*SUMPRODUCT('Offre v1.1'!$O$5:$O$9,'Offre v1.1'!$S$5:$S$9)*85%+C30*SUMPRODUCT('Offre v1.1'!$P$5:$P$9,'Offre v1.1'!$S$5:$S$9)*90%)*C14*575*(1+2%+C18)</x:f>
        <x:v>2703586.532897251</x:v>
      </x:c>
      <x:c r="D31" s="599" t="n">
        <x:f>(D26*SUMPRODUCT('Offre v1.1'!$L$5:$L$9,'Offre v1.1'!$S$5:$S$9)*85%+D27*SUMPRODUCT('Offre v1.1'!$M$5:$M$9,'Offre v1.1'!$S$5:$S$9)*85%+D28*SUMPRODUCT('Offre v1.1'!$N$5:$N$9,'Offre v1.1'!$S$5:$S$9)*85%+D29*SUMPRODUCT('Offre v1.1'!$O$5:$O$9,'Offre v1.1'!$S$5:$S$9)*85%+D30*SUMPRODUCT('Offre v1.1'!$P$5:$P$9,'Offre v1.1'!$S$5:$S$9)*90%)*D14*575*(1+2%+D18)</x:f>
        <x:v>10945807.03079325</x:v>
      </x:c>
      <x:c r="E31" s="599" t="n">
        <x:f>(E26*SUMPRODUCT('Offre v1.1'!$L$5:$L$9,'Offre v1.1'!$S$5:$S$9)*85%+E27*SUMPRODUCT('Offre v1.1'!$M$5:$M$9,'Offre v1.1'!$S$5:$S$9)*85%+E28*SUMPRODUCT('Offre v1.1'!$N$5:$N$9,'Offre v1.1'!$S$5:$S$9)*85%+E29*SUMPRODUCT('Offre v1.1'!$O$5:$O$9,'Offre v1.1'!$S$5:$S$9)*85%+E30*SUMPRODUCT('Offre v1.1'!$P$5:$P$9,'Offre v1.1'!$S$5:$S$9)*90%)*E14*575*(1+2%+E18)</x:f>
        <x:v>42651227.7288</x:v>
      </x:c>
    </x:row>
    <x:row r="32" ht="15" hidden="0" customHeight="1">
      <x:c r="A32" s="520" t="str">
        <x:v>Refunds + chargebacks</x:v>
      </x:c>
      <x:c r="B32" s="541" t="n">
        <x:f>B22*(B15+B16)</x:f>
        <x:v>1992000</x:v>
      </x:c>
      <x:c r="C32" s="541" t="n">
        <x:f>C22*(C15+C16)</x:f>
        <x:v>2739000</x:v>
      </x:c>
      <x:c r="D32" s="541" t="n">
        <x:f>D22*(D15+D16)</x:f>
        <x:v>3486000.0000000005</x:v>
      </x:c>
      <x:c r="E32" s="541" t="n">
        <x:f>E22*(E15+E16)</x:f>
        <x:v>4980000</x:v>
      </x:c>
    </x:row>
    <x:row r="33" ht="15" hidden="0" customHeight="1">
      <x:c r="A33" s="520" t="str">
        <x:v>PSP Fees</x:v>
      </x:c>
      <x:c r="B33" s="541" t="n">
        <x:f>B22*B17</x:f>
        <x:v>1743000.0000000002</x:v>
      </x:c>
      <x:c r="C33" s="541" t="n">
        <x:f>C22*C17</x:f>
        <x:v>1743000.0000000002</x:v>
      </x:c>
      <x:c r="D33" s="541" t="n">
        <x:f>D22*D17</x:f>
        <x:v>1743000.0000000002</x:v>
      </x:c>
      <x:c r="E33" s="541" t="n">
        <x:f>E22*E17</x:f>
        <x:v>1743000.0000000002</x:v>
      </x:c>
    </x:row>
    <x:row r="34" ht="15" hidden="0" customHeight="1">
      <x:c r="A34" s="520" t="str">
        <x:v>Support + infrastructure</x:v>
      </x:c>
      <x:c r="B34" s="541" t="n">
        <x:f>B5*(1500+750)</x:f>
        <x:v>2250000</x:v>
      </x:c>
      <x:c r="C34" s="541" t="n">
        <x:f>C5*(1500+750)</x:f>
        <x:v>2250000</x:v>
      </x:c>
      <x:c r="D34" s="541" t="n">
        <x:f>D5*(1500+750)</x:f>
        <x:v>2250000</x:v>
      </x:c>
      <x:c r="E34" s="541" t="n">
        <x:f>E5*(1500+750)</x:f>
        <x:v>2250000</x:v>
      </x:c>
    </x:row>
    <x:row r="35" ht="15" hidden="0" customHeight="1">
      <x:c r="A35" s="542" t="str">
        <x:v>Contribution Margin</x:v>
      </x:c>
      <x:c r="B35" s="543" t="n">
        <x:f>B22-B31-B32-B33-B34</x:f>
        <x:v>42991027.25729637</x:v>
      </x:c>
      <x:c r="C35" s="543" t="n">
        <x:f>C22-C31-C32-C33-C34</x:f>
        <x:v>40364413.46710275</x:v>
      </x:c>
      <x:c r="D35" s="543" t="n">
        <x:f>D22-D31-D32-D33-D34</x:f>
        <x:v>31375192.96920675</x:v>
      </x:c>
      <x:c r="E35" s="543" t="n">
        <x:f>E22-E31-E32-E33-E34</x:f>
        <x:v>-1824227.728799999</x:v>
      </x:c>
    </x:row>
    <x:row r="36" ht="15" hidden="0" customHeight="1">
      <x:c r="A36" s="544" t="str">
        <x:v>Réserve cible 2x payouts</x:v>
      </x:c>
      <x:c r="B36" s="545" t="n">
        <x:f>B31*2</x:f>
        <x:v>1647945.4854072651</x:v>
      </x:c>
      <x:c r="C36" s="545" t="n">
        <x:f>C31*2</x:f>
        <x:v>5407173.065794502</x:v>
      </x:c>
      <x:c r="D36" s="545" t="n">
        <x:f>D31*2</x:f>
        <x:v>21891614.0615865</x:v>
      </x:c>
      <x:c r="E36" s="545" t="n">
        <x:f>E31*2</x:f>
        <x:v>85302455.4576</x:v>
      </x:c>
    </x:row>
  </x:sheetData>
  <x:mergeCells>
    <x:mergeCell ref="A1:E1"/>
    <x:mergeCell ref="A2:E2"/>
  </x:mergeCells>
  <x:pageMargins left="0.7" right="0.7" top="0.75" bottom="0.75" header="0.3" footer="0.3"/>
</x:worksheet>
</file>