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Hypothèses" sheetId="2" state="visible" r:id="rId2"/>
    <sheet name="Règles &amp; Offre" sheetId="3" state="visible" r:id="rId3"/>
    <sheet name="Économie Unitaire" sheetId="4" state="visible" r:id="rId4"/>
    <sheet name="Cohorte 1000" sheetId="5" state="visible" r:id="rId5"/>
    <sheet name="Prévision 24M" sheetId="6" state="visible" r:id="rId6"/>
    <sheet name="Comparaison Scénarios" sheetId="7" state="visible" r:id="rId7"/>
    <sheet name="Sensibilités" sheetId="8" state="visible" r:id="rId8"/>
    <sheet name="Decision Gates" sheetId="9" state="visible" r:id="rId9"/>
    <sheet name="Dashboard" sheetId="10" state="visible" r:id="rId10"/>
    <sheet name="Assumption Log" sheetId="11" state="visible" r:id="rId11"/>
  </sheets>
  <definedNames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#,##0;[Red](#,##0);-"/>
    <numFmt numFmtId="166" formatCode="0.0x;[Red](0.0x);-"/>
    <numFmt numFmtId="167" formatCode="0.00%;[Red](0.00%);-"/>
    <numFmt numFmtId="168" formatCode="0 &quot;mois&quot;"/>
    <numFmt numFmtId="169" formatCode="#,##0.0;[Red](#,##0.0);-"/>
  </numFmts>
  <fonts count="22">
    <font>
      <name val="Carlito"/>
      <sz val="11"/>
    </font>
    <font>
      <name val="Manrope"/>
      <b val="1"/>
      <color rgb="FFFFFFFF"/>
      <sz val="16"/>
    </font>
    <font>
      <name val="Manrope"/>
      <i val="1"/>
      <color rgb="FF0B0D12"/>
      <sz val="10"/>
    </font>
    <font>
      <name val="Manrope"/>
      <b val="1"/>
      <color rgb="FFFFFFFF"/>
      <sz val="11"/>
    </font>
    <font>
      <name val="Manrope"/>
      <b val="1"/>
      <color rgb="FFFFFFFF"/>
      <sz val="9"/>
    </font>
    <font>
      <name val="Manrope"/>
      <color rgb="FF0000FF"/>
      <sz val="11"/>
    </font>
    <font>
      <name val="Manrope"/>
      <color rgb="FF008000"/>
      <sz val="11"/>
    </font>
    <font>
      <name val="Manrope"/>
      <color rgb="FF000000"/>
      <sz val="11"/>
    </font>
    <font>
      <name val="Manrope"/>
      <b val="1"/>
      <color rgb="FF0B0D12"/>
      <sz val="11"/>
    </font>
    <font>
      <name val="Manrope"/>
      <b val="1"/>
      <sz val="11"/>
    </font>
    <font>
      <name val="Manrope"/>
      <b val="1"/>
      <color rgb="FF000000"/>
      <sz val="11"/>
    </font>
    <font>
      <name val="Manrope"/>
      <b val="1"/>
      <color rgb="FF2446D8"/>
      <sz val="15"/>
    </font>
    <font>
      <name val="Manrope"/>
      <b val="1"/>
      <color rgb="FFFFFFFF"/>
      <sz val="10"/>
    </font>
    <font>
      <name val="Manrope"/>
      <sz val="10"/>
    </font>
    <font>
      <name val="Manrope"/>
      <color rgb="FF0000FF"/>
      <sz val="10"/>
    </font>
    <font>
      <name val="Manrope"/>
      <color rgb="FF008000"/>
      <sz val="10"/>
    </font>
    <font>
      <name val="Manrope"/>
      <b val="1"/>
      <color rgb="FF0B0D12"/>
      <sz val="10"/>
    </font>
    <font>
      <name val="Manrope"/>
      <color rgb="FF000000"/>
      <sz val="10"/>
    </font>
    <font>
      <name val="Manrope"/>
      <b val="1"/>
      <sz val="10"/>
    </font>
    <font>
      <name val="Manrope"/>
      <b val="1"/>
      <color rgb="FF000000"/>
      <sz val="10"/>
    </font>
    <font>
      <name val="Manrope"/>
      <b val="1"/>
      <color rgb="FF2446D8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FF0B0D12"/>
      </patternFill>
    </fill>
    <fill>
      <patternFill patternType="solid">
        <fgColor rgb="FFF7F3EB"/>
      </patternFill>
    </fill>
    <fill>
      <patternFill patternType="solid">
        <fgColor rgb="FF2446D8"/>
      </patternFill>
    </fill>
    <fill>
      <patternFill patternType="solid">
        <fgColor rgb="FF121620"/>
      </patternFill>
    </fill>
    <fill>
      <patternFill patternType="solid">
        <fgColor rgb="FFFFF2A8"/>
      </patternFill>
    </fill>
    <fill>
      <patternFill patternType="solid">
        <fgColor rgb="FFEEE7DB"/>
      </patternFill>
    </fill>
    <fill>
      <patternFill patternType="solid">
        <fgColor rgb="FFFFF1D5"/>
      </patternFill>
    </fill>
  </fills>
  <borders count="6">
    <border/>
    <border/>
    <border>
      <bottom style="thin">
        <color rgb="FF7B8290"/>
      </bottom>
    </border>
    <border>
      <bottom style="thin">
        <color rgb="FF7B8290"/>
      </bottom>
    </border>
    <border>
      <top style="thin">
        <color rgb="FF0B0D12"/>
      </top>
    </border>
    <border>
      <top style="thin">
        <color rgb="FF0B0D12"/>
      </top>
    </border>
  </borders>
  <cellStyleXfs count="1">
    <xf numFmtId="0" fontId="0" fillId="0" borderId="1"/>
  </cellStyleXfs>
  <cellXfs count="48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left"/>
    </xf>
    <xf numFmtId="0" fontId="3" fillId="4" borderId="1" applyAlignment="1" pivotButton="0" quotePrefix="0" xfId="0">
      <alignment horizontal="left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2" pivotButton="0" quotePrefix="0" xfId="0"/>
    <xf numFmtId="0" fontId="4" fillId="5" borderId="2" applyAlignment="1" pivotButton="0" quotePrefix="0" xfId="0">
      <alignment wrapText="1"/>
    </xf>
    <xf numFmtId="0" fontId="4" fillId="5" borderId="2" applyAlignment="1" pivotButton="0" quotePrefix="0" xfId="0">
      <alignment horizontal="center" wrapText="1"/>
    </xf>
    <xf numFmtId="0" fontId="4" fillId="5" borderId="2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3" pivotButton="0" quotePrefix="0" xfId="0"/>
    <xf numFmtId="0" fontId="4" fillId="5" borderId="3" applyAlignment="1" pivotButton="0" quotePrefix="0" xfId="0">
      <alignment wrapText="1"/>
    </xf>
    <xf numFmtId="0" fontId="4" fillId="5" borderId="3" applyAlignment="1" pivotButton="0" quotePrefix="0" xfId="0">
      <alignment horizontal="center" wrapText="1"/>
    </xf>
    <xf numFmtId="0" fontId="4" fillId="5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5" fillId="0" borderId="0" pivotButton="0" quotePrefix="0" xfId="0"/>
    <xf numFmtId="0" fontId="5" fillId="0" borderId="1" pivotButton="0" quotePrefix="0" xfId="0"/>
    <xf numFmtId="0" fontId="5" fillId="6" borderId="0" pivotButton="0" quotePrefix="0" xfId="0"/>
    <xf numFmtId="0" fontId="5" fillId="6" borderId="1" pivotButton="0" quotePrefix="0" xfId="0"/>
    <xf numFmtId="0" fontId="6" fillId="0" borderId="0" pivotButton="0" quotePrefix="0" xfId="0"/>
    <xf numFmtId="0" fontId="6" fillId="0" borderId="1" pivotButton="0" quotePrefix="0" xfId="0"/>
    <xf numFmtId="164" fontId="6" fillId="0" borderId="0" pivotButton="0" quotePrefix="0" xfId="0"/>
    <xf numFmtId="164" fontId="6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165" fontId="6" fillId="0" borderId="0" pivotButton="0" quotePrefix="0" xfId="0"/>
    <xf numFmtId="165" fontId="6" fillId="0" borderId="1" pivotButton="0" quotePrefix="0" xfId="0"/>
    <xf numFmtId="165" fontId="5" fillId="0" borderId="0" pivotButton="0" quotePrefix="0" xfId="0"/>
    <xf numFmtId="165" fontId="5" fillId="0" borderId="1" pivotButton="0" quotePrefix="0" xfId="0"/>
    <xf numFmtId="0" fontId="0" fillId="6" borderId="0" pivotButton="0" quotePrefix="0" xfId="0"/>
    <xf numFmtId="164" fontId="6" fillId="6" borderId="0" pivotButton="0" quotePrefix="0" xfId="0"/>
    <xf numFmtId="164" fontId="5" fillId="6" borderId="0" pivotButton="0" quotePrefix="0" xfId="0"/>
    <xf numFmtId="0" fontId="0" fillId="6" borderId="1" pivotButton="0" quotePrefix="0" xfId="0"/>
    <xf numFmtId="164" fontId="6" fillId="6" borderId="1" pivotButton="0" quotePrefix="0" xfId="0"/>
    <xf numFmtId="164" fontId="5" fillId="6" borderId="1" pivotButton="0" quotePrefix="0" xfId="0"/>
    <xf numFmtId="166" fontId="5" fillId="0" borderId="0" pivotButton="0" quotePrefix="0" xfId="0"/>
    <xf numFmtId="166" fontId="5" fillId="0" borderId="1" pivotButton="0" quotePrefix="0" xfId="0"/>
    <xf numFmtId="165" fontId="5" fillId="6" borderId="0" pivotButton="0" quotePrefix="0" xfId="0"/>
    <xf numFmtId="165" fontId="5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165" fontId="7" fillId="0" borderId="0" pivotButton="0" quotePrefix="0" xfId="0"/>
    <xf numFmtId="165" fontId="7" fillId="0" borderId="1" pivotButton="0" quotePrefix="0" xfId="0"/>
    <xf numFmtId="164" fontId="7" fillId="0" borderId="0" pivotButton="0" quotePrefix="0" xfId="0"/>
    <xf numFmtId="164" fontId="7" fillId="0" borderId="1" pivotButton="0" quotePrefix="0" xfId="0"/>
    <xf numFmtId="0" fontId="0" fillId="0" borderId="4" pivotButton="0" quotePrefix="0" xfId="0"/>
    <xf numFmtId="165" fontId="7" fillId="0" borderId="4" pivotButton="0" quotePrefix="0" xfId="0"/>
    <xf numFmtId="164" fontId="7" fillId="0" borderId="4" pivotButton="0" quotePrefix="0" xfId="0"/>
    <xf numFmtId="0" fontId="0" fillId="0" borderId="5" pivotButton="0" quotePrefix="0" xfId="0"/>
    <xf numFmtId="165" fontId="7" fillId="0" borderId="5" pivotButton="0" quotePrefix="0" xfId="0"/>
    <xf numFmtId="164" fontId="7" fillId="0" borderId="5" pivotButton="0" quotePrefix="0" xfId="0"/>
    <xf numFmtId="0" fontId="8" fillId="0" borderId="4" pivotButton="0" quotePrefix="0" xfId="0"/>
    <xf numFmtId="165" fontId="8" fillId="0" borderId="4" pivotButton="0" quotePrefix="0" xfId="0"/>
    <xf numFmtId="164" fontId="8" fillId="0" borderId="4" pivotButton="0" quotePrefix="0" xfId="0"/>
    <xf numFmtId="0" fontId="8" fillId="0" borderId="5" pivotButton="0" quotePrefix="0" xfId="0"/>
    <xf numFmtId="165" fontId="8" fillId="0" borderId="5" pivotButton="0" quotePrefix="0" xfId="0"/>
    <xf numFmtId="164" fontId="8" fillId="0" borderId="5" pivotButton="0" quotePrefix="0" xfId="0"/>
    <xf numFmtId="168" fontId="0" fillId="0" borderId="0" pivotButton="0" quotePrefix="0" xfId="0"/>
    <xf numFmtId="168" fontId="0" fillId="0" borderId="1" pivotButton="0" quotePrefix="0" xfId="0"/>
    <xf numFmtId="169" fontId="7" fillId="0" borderId="0" pivotButton="0" quotePrefix="0" xfId="0"/>
    <xf numFmtId="169" fontId="7" fillId="0" borderId="1" pivotButton="0" quotePrefix="0" xfId="0"/>
    <xf numFmtId="0" fontId="9" fillId="0" borderId="0" pivotButton="0" quotePrefix="0" xfId="0"/>
    <xf numFmtId="165" fontId="10" fillId="0" borderId="0" pivotButton="0" quotePrefix="0" xfId="0"/>
    <xf numFmtId="164" fontId="10" fillId="0" borderId="0" pivotButton="0" quotePrefix="0" xfId="0"/>
    <xf numFmtId="169" fontId="1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4" fontId="10" fillId="0" borderId="1" pivotButton="0" quotePrefix="0" xfId="0"/>
    <xf numFmtId="169" fontId="10" fillId="0" borderId="1" pivotButton="0" quotePrefix="0" xfId="0"/>
    <xf numFmtId="169" fontId="6" fillId="0" borderId="0" pivotButton="0" quotePrefix="0" xfId="0"/>
    <xf numFmtId="169" fontId="6" fillId="0" borderId="1" pivotButton="0" quotePrefix="0" xfId="0"/>
    <xf numFmtId="166" fontId="6" fillId="0" borderId="0" pivotButton="0" quotePrefix="0" xfId="0"/>
    <xf numFmtId="166" fontId="6" fillId="0" borderId="1" pivotButton="0" quotePrefix="0" xfId="0"/>
    <xf numFmtId="165" fontId="6" fillId="0" borderId="4" pivotButton="0" quotePrefix="0" xfId="0"/>
    <xf numFmtId="165" fontId="6" fillId="0" borderId="5" pivotButton="0" quotePrefix="0" xfId="0"/>
    <xf numFmtId="166" fontId="6" fillId="0" borderId="4" pivotButton="0" quotePrefix="0" xfId="0"/>
    <xf numFmtId="166" fontId="6" fillId="0" borderId="5" pivotButton="0" quotePrefix="0" xfId="0"/>
    <xf numFmtId="166" fontId="8" fillId="0" borderId="4" pivotButton="0" quotePrefix="0" xfId="0"/>
    <xf numFmtId="166" fontId="8" fillId="0" borderId="5" pivotButton="0" quotePrefix="0" xfId="0"/>
    <xf numFmtId="0" fontId="6" fillId="0" borderId="4" pivotButton="0" quotePrefix="0" xfId="0"/>
    <xf numFmtId="0" fontId="6" fillId="0" borderId="5" pivotButton="0" quotePrefix="0" xfId="0"/>
    <xf numFmtId="0" fontId="0" fillId="7" borderId="0" pivotButton="0" quotePrefix="0" xfId="0"/>
    <xf numFmtId="0" fontId="8" fillId="7" borderId="0" pivotButton="0" quotePrefix="0" xfId="0"/>
    <xf numFmtId="0" fontId="0" fillId="7" borderId="1" pivotButton="0" quotePrefix="0" xfId="0"/>
    <xf numFmtId="0" fontId="8" fillId="7" borderId="1" pivotButton="0" quotePrefix="0" xfId="0"/>
    <xf numFmtId="164" fontId="8" fillId="7" borderId="0" pivotButton="0" quotePrefix="0" xfId="0"/>
    <xf numFmtId="164" fontId="8" fillId="7" borderId="1" pivotButton="0" quotePrefix="0" xfId="0"/>
    <xf numFmtId="164" fontId="4" fillId="5" borderId="2" applyAlignment="1" pivotButton="0" quotePrefix="0" xfId="0">
      <alignment horizontal="center" vertical="center" wrapText="1"/>
    </xf>
    <xf numFmtId="164" fontId="4" fillId="5" borderId="3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8" borderId="1" pivotButton="0" quotePrefix="0" xfId="0"/>
    <xf numFmtId="0" fontId="4" fillId="5" borderId="0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1" fillId="3" borderId="0" pivotButton="0" quotePrefix="0" xfId="0"/>
    <xf numFmtId="0" fontId="11" fillId="3" borderId="0" applyAlignment="1" pivotButton="0" quotePrefix="0" xfId="0">
      <alignment horizontal="center"/>
    </xf>
    <xf numFmtId="0" fontId="11" fillId="3" borderId="0" applyAlignment="1" pivotButton="0" quotePrefix="0" xfId="0">
      <alignment horizontal="center" vertical="center"/>
    </xf>
    <xf numFmtId="0" fontId="11" fillId="3" borderId="1" pivotButton="0" quotePrefix="0" xfId="0"/>
    <xf numFmtId="0" fontId="11" fillId="3" borderId="1" applyAlignment="1" pivotButton="0" quotePrefix="0" xfId="0">
      <alignment horizontal="center"/>
    </xf>
    <xf numFmtId="0" fontId="11" fillId="3" borderId="1" applyAlignment="1" pivotButton="0" quotePrefix="0" xfId="0">
      <alignment horizontal="center" vertical="center"/>
    </xf>
    <xf numFmtId="49" fontId="11" fillId="3" borderId="0" applyAlignment="1" pivotButton="0" quotePrefix="0" xfId="0">
      <alignment horizontal="center" vertical="center"/>
    </xf>
    <xf numFmtId="49" fontId="11" fillId="3" borderId="1" applyAlignment="1" pivotButton="0" quotePrefix="0" xfId="0">
      <alignment horizontal="center" vertical="center"/>
    </xf>
    <xf numFmtId="165" fontId="11" fillId="3" borderId="0" applyAlignment="1" pivotButton="0" quotePrefix="0" xfId="0">
      <alignment horizontal="center" vertical="center"/>
    </xf>
    <xf numFmtId="165" fontId="11" fillId="3" borderId="1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164" fontId="11" fillId="3" borderId="1" applyAlignment="1" pivotButton="0" quotePrefix="0" xfId="0">
      <alignment horizontal="center" vertical="center"/>
    </xf>
    <xf numFmtId="169" fontId="11" fillId="3" borderId="0" applyAlignment="1" pivotButton="0" quotePrefix="0" xfId="0">
      <alignment horizontal="center" vertical="center"/>
    </xf>
    <xf numFmtId="169" fontId="11" fillId="3" borderId="1" applyAlignment="1" pivotButton="0" quotePrefix="0" xfId="0">
      <alignment horizontal="center" vertical="center"/>
    </xf>
    <xf numFmtId="166" fontId="11" fillId="3" borderId="0" applyAlignment="1" pivotButton="0" quotePrefix="0" xfId="0">
      <alignment horizontal="center" vertical="center"/>
    </xf>
    <xf numFmtId="166" fontId="11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wrapText="1"/>
    </xf>
    <xf numFmtId="169" fontId="7" fillId="0" borderId="0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169" fontId="7" fillId="0" borderId="1" applyAlignment="1" pivotButton="0" quotePrefix="0" xfId="0">
      <alignment wrapText="1"/>
    </xf>
    <xf numFmtId="166" fontId="0" fillId="0" borderId="0" pivotButton="0" quotePrefix="0" xfId="0"/>
    <xf numFmtId="166" fontId="0" fillId="0" borderId="1" pivotButton="0" quotePrefix="0" xfId="0"/>
    <xf numFmtId="0" fontId="12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12" fillId="4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wrapText="1"/>
    </xf>
    <xf numFmtId="0" fontId="12" fillId="2" borderId="1" applyAlignment="1" pivotButton="0" quotePrefix="0" xfId="0">
      <alignment horizontal="left" vertical="center"/>
    </xf>
    <xf numFmtId="0" fontId="13" fillId="0" borderId="1" pivotButton="0" quotePrefix="0" xfId="0"/>
    <xf numFmtId="0" fontId="12" fillId="4" borderId="1" applyAlignment="1" pivotButton="0" quotePrefix="0" xfId="0">
      <alignment horizontal="left" vertical="center"/>
    </xf>
    <xf numFmtId="0" fontId="12" fillId="5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wrapText="1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 wrapText="1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2" fillId="4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0" fontId="13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12" fillId="4" borderId="1" applyAlignment="1" pivotButton="0" quotePrefix="0" xfId="0">
      <alignment horizontal="left" vertical="center"/>
    </xf>
    <xf numFmtId="0" fontId="12" fillId="5" borderId="3" applyAlignment="1" pivotButton="0" quotePrefix="0" xfId="0">
      <alignment horizontal="center" vertical="center"/>
    </xf>
    <xf numFmtId="0" fontId="14" fillId="6" borderId="0" pivotButton="0" quotePrefix="0" xfId="0"/>
    <xf numFmtId="164" fontId="15" fillId="0" borderId="0" pivotButton="0" quotePrefix="0" xfId="0"/>
    <xf numFmtId="164" fontId="14" fillId="0" borderId="0" pivotButton="0" quotePrefix="0" xfId="0"/>
    <xf numFmtId="0" fontId="13" fillId="6" borderId="0" pivotButton="0" quotePrefix="0" xfId="0"/>
    <xf numFmtId="164" fontId="15" fillId="6" borderId="0" pivotButton="0" quotePrefix="0" xfId="0"/>
    <xf numFmtId="164" fontId="14" fillId="6" borderId="0" pivotButton="0" quotePrefix="0" xfId="0"/>
    <xf numFmtId="165" fontId="15" fillId="0" borderId="0" pivotButton="0" quotePrefix="0" xfId="0"/>
    <xf numFmtId="165" fontId="14" fillId="0" borderId="0" pivotButton="0" quotePrefix="0" xfId="0"/>
    <xf numFmtId="165" fontId="14" fillId="6" borderId="0" pivotButton="0" quotePrefix="0" xfId="0"/>
    <xf numFmtId="166" fontId="14" fillId="0" borderId="0" pivotButton="0" quotePrefix="0" xfId="0"/>
    <xf numFmtId="0" fontId="14" fillId="6" borderId="1" pivotButton="0" quotePrefix="0" xfId="0"/>
    <xf numFmtId="164" fontId="15" fillId="0" borderId="1" pivotButton="0" quotePrefix="0" xfId="0"/>
    <xf numFmtId="164" fontId="14" fillId="0" borderId="1" pivotButton="0" quotePrefix="0" xfId="0"/>
    <xf numFmtId="0" fontId="13" fillId="6" borderId="1" pivotButton="0" quotePrefix="0" xfId="0"/>
    <xf numFmtId="164" fontId="15" fillId="6" borderId="1" pivotButton="0" quotePrefix="0" xfId="0"/>
    <xf numFmtId="164" fontId="14" fillId="6" borderId="1" pivotButton="0" quotePrefix="0" xfId="0"/>
    <xf numFmtId="165" fontId="15" fillId="0" borderId="1" pivotButton="0" quotePrefix="0" xfId="0"/>
    <xf numFmtId="165" fontId="14" fillId="0" borderId="1" pivotButton="0" quotePrefix="0" xfId="0"/>
    <xf numFmtId="165" fontId="14" fillId="6" borderId="1" pivotButton="0" quotePrefix="0" xfId="0"/>
    <xf numFmtId="166" fontId="14" fillId="0" borderId="1" pivotButton="0" quotePrefix="0" xfId="0"/>
    <xf numFmtId="0" fontId="14" fillId="6" borderId="0" applyAlignment="1" pivotButton="0" quotePrefix="0" xfId="0">
      <alignment vertical="center"/>
    </xf>
    <xf numFmtId="164" fontId="15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13" fillId="6" borderId="0" applyAlignment="1" pivotButton="0" quotePrefix="0" xfId="0">
      <alignment vertical="center"/>
    </xf>
    <xf numFmtId="164" fontId="15" fillId="6" borderId="0" applyAlignment="1" pivotButton="0" quotePrefix="0" xfId="0">
      <alignment vertical="center"/>
    </xf>
    <xf numFmtId="164" fontId="14" fillId="6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165" fontId="14" fillId="6" borderId="0" applyAlignment="1" pivotButton="0" quotePrefix="0" xfId="0">
      <alignment vertical="center"/>
    </xf>
    <xf numFmtId="166" fontId="14" fillId="0" borderId="0" applyAlignment="1" pivotButton="0" quotePrefix="0" xfId="0">
      <alignment vertical="center"/>
    </xf>
    <xf numFmtId="0" fontId="14" fillId="6" borderId="1" applyAlignment="1" pivotButton="0" quotePrefix="0" xfId="0">
      <alignment vertical="center"/>
    </xf>
    <xf numFmtId="164" fontId="15" fillId="0" borderId="1" applyAlignment="1" pivotButton="0" quotePrefix="0" xfId="0">
      <alignment vertical="center"/>
    </xf>
    <xf numFmtId="164" fontId="14" fillId="0" borderId="1" applyAlignment="1" pivotButton="0" quotePrefix="0" xfId="0">
      <alignment vertical="center"/>
    </xf>
    <xf numFmtId="0" fontId="13" fillId="6" borderId="1" applyAlignment="1" pivotButton="0" quotePrefix="0" xfId="0">
      <alignment vertical="center"/>
    </xf>
    <xf numFmtId="164" fontId="15" fillId="6" borderId="1" applyAlignment="1" pivotButton="0" quotePrefix="0" xfId="0">
      <alignment vertical="center"/>
    </xf>
    <xf numFmtId="164" fontId="14" fillId="6" borderId="1" applyAlignment="1" pivotButton="0" quotePrefix="0" xfId="0">
      <alignment vertical="center"/>
    </xf>
    <xf numFmtId="165" fontId="15" fillId="0" borderId="1" applyAlignment="1" pivotButton="0" quotePrefix="0" xfId="0">
      <alignment vertical="center"/>
    </xf>
    <xf numFmtId="165" fontId="14" fillId="0" borderId="1" applyAlignment="1" pivotButton="0" quotePrefix="0" xfId="0">
      <alignment vertical="center"/>
    </xf>
    <xf numFmtId="165" fontId="14" fillId="6" borderId="1" applyAlignment="1" pivotButton="0" quotePrefix="0" xfId="0">
      <alignment vertical="center"/>
    </xf>
    <xf numFmtId="166" fontId="14" fillId="0" borderId="1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164" fontId="15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13" fillId="6" borderId="0" applyAlignment="1" pivotButton="0" quotePrefix="0" xfId="0">
      <alignment vertical="center"/>
    </xf>
    <xf numFmtId="164" fontId="15" fillId="6" borderId="0" applyAlignment="1" pivotButton="0" quotePrefix="0" xfId="0">
      <alignment vertical="center"/>
    </xf>
    <xf numFmtId="164" fontId="14" fillId="6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165" fontId="14" fillId="6" borderId="0" applyAlignment="1" pivotButton="0" quotePrefix="0" xfId="0">
      <alignment vertical="center"/>
    </xf>
    <xf numFmtId="166" fontId="14" fillId="0" borderId="0" applyAlignment="1" pivotButton="0" quotePrefix="0" xfId="0">
      <alignment vertical="center"/>
    </xf>
    <xf numFmtId="0" fontId="14" fillId="6" borderId="1" applyAlignment="1" pivotButton="0" quotePrefix="0" xfId="0">
      <alignment vertical="center"/>
    </xf>
    <xf numFmtId="164" fontId="15" fillId="0" borderId="1" applyAlignment="1" pivotButton="0" quotePrefix="0" xfId="0">
      <alignment vertical="center"/>
    </xf>
    <xf numFmtId="164" fontId="14" fillId="0" borderId="1" applyAlignment="1" pivotButton="0" quotePrefix="0" xfId="0">
      <alignment vertical="center"/>
    </xf>
    <xf numFmtId="0" fontId="13" fillId="6" borderId="1" applyAlignment="1" pivotButton="0" quotePrefix="0" xfId="0">
      <alignment vertical="center"/>
    </xf>
    <xf numFmtId="164" fontId="15" fillId="6" borderId="1" applyAlignment="1" pivotButton="0" quotePrefix="0" xfId="0">
      <alignment vertical="center"/>
    </xf>
    <xf numFmtId="164" fontId="14" fillId="6" borderId="1" applyAlignment="1" pivotButton="0" quotePrefix="0" xfId="0">
      <alignment vertical="center"/>
    </xf>
    <xf numFmtId="165" fontId="15" fillId="0" borderId="1" applyAlignment="1" pivotButton="0" quotePrefix="0" xfId="0">
      <alignment vertical="center"/>
    </xf>
    <xf numFmtId="165" fontId="14" fillId="0" borderId="1" applyAlignment="1" pivotButton="0" quotePrefix="0" xfId="0">
      <alignment vertical="center"/>
    </xf>
    <xf numFmtId="165" fontId="14" fillId="6" borderId="1" applyAlignment="1" pivotButton="0" quotePrefix="0" xfId="0">
      <alignment vertical="center"/>
    </xf>
    <xf numFmtId="166" fontId="14" fillId="0" borderId="1" applyAlignment="1" pivotButton="0" quotePrefix="0" xfId="0">
      <alignment vertical="center"/>
    </xf>
    <xf numFmtId="164" fontId="13" fillId="0" borderId="0" pivotButton="0" quotePrefix="0" xfId="0"/>
    <xf numFmtId="167" fontId="13" fillId="0" borderId="0" pivotButton="0" quotePrefix="0" xfId="0"/>
    <xf numFmtId="165" fontId="13" fillId="0" borderId="0" pivotButton="0" quotePrefix="0" xfId="0"/>
    <xf numFmtId="164" fontId="13" fillId="0" borderId="1" pivotButton="0" quotePrefix="0" xfId="0"/>
    <xf numFmtId="167" fontId="13" fillId="0" borderId="1" pivotButton="0" quotePrefix="0" xfId="0"/>
    <xf numFmtId="165" fontId="13" fillId="0" borderId="1" pivotButton="0" quotePrefix="0" xfId="0"/>
    <xf numFmtId="164" fontId="13" fillId="0" borderId="0" applyAlignment="1" pivotButton="0" quotePrefix="0" xfId="0">
      <alignment vertical="center"/>
    </xf>
    <xf numFmtId="167" fontId="13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167" fontId="13" fillId="0" borderId="1" applyAlignment="1" pivotButton="0" quotePrefix="0" xfId="0">
      <alignment vertical="center"/>
    </xf>
    <xf numFmtId="165" fontId="13" fillId="0" borderId="1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7" fontId="13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167" fontId="13" fillId="0" borderId="1" applyAlignment="1" pivotButton="0" quotePrefix="0" xfId="0">
      <alignment vertical="center"/>
    </xf>
    <xf numFmtId="165" fontId="13" fillId="0" borderId="1" applyAlignment="1" pivotButton="0" quotePrefix="0" xfId="0">
      <alignment vertical="center"/>
    </xf>
    <xf numFmtId="0" fontId="15" fillId="0" borderId="0" pivotButton="0" quotePrefix="0" xfId="0"/>
    <xf numFmtId="0" fontId="16" fillId="0" borderId="4" pivotButton="0" quotePrefix="0" xfId="0"/>
    <xf numFmtId="165" fontId="16" fillId="0" borderId="4" pivotButton="0" quotePrefix="0" xfId="0"/>
    <xf numFmtId="164" fontId="16" fillId="0" borderId="4" pivotButton="0" quotePrefix="0" xfId="0"/>
    <xf numFmtId="165" fontId="17" fillId="0" borderId="0" pivotButton="0" quotePrefix="0" xfId="0"/>
    <xf numFmtId="168" fontId="13" fillId="0" borderId="0" pivotButton="0" quotePrefix="0" xfId="0"/>
    <xf numFmtId="0" fontId="18" fillId="0" borderId="0" pivotButton="0" quotePrefix="0" xfId="0"/>
    <xf numFmtId="165" fontId="19" fillId="0" borderId="0" pivotButton="0" quotePrefix="0" xfId="0"/>
    <xf numFmtId="164" fontId="19" fillId="0" borderId="0" pivotButton="0" quotePrefix="0" xfId="0"/>
    <xf numFmtId="169" fontId="19" fillId="0" borderId="0" pivotButton="0" quotePrefix="0" xfId="0"/>
    <xf numFmtId="0" fontId="15" fillId="0" borderId="1" pivotButton="0" quotePrefix="0" xfId="0"/>
    <xf numFmtId="0" fontId="16" fillId="0" borderId="5" pivotButton="0" quotePrefix="0" xfId="0"/>
    <xf numFmtId="165" fontId="16" fillId="0" borderId="5" pivotButton="0" quotePrefix="0" xfId="0"/>
    <xf numFmtId="164" fontId="16" fillId="0" borderId="5" pivotButton="0" quotePrefix="0" xfId="0"/>
    <xf numFmtId="165" fontId="17" fillId="0" borderId="1" pivotButton="0" quotePrefix="0" xfId="0"/>
    <xf numFmtId="168" fontId="13" fillId="0" borderId="1" pivotButton="0" quotePrefix="0" xfId="0"/>
    <xf numFmtId="0" fontId="18" fillId="0" borderId="1" pivotButton="0" quotePrefix="0" xfId="0"/>
    <xf numFmtId="165" fontId="19" fillId="0" borderId="1" pivotButton="0" quotePrefix="0" xfId="0"/>
    <xf numFmtId="164" fontId="19" fillId="0" borderId="1" pivotButton="0" quotePrefix="0" xfId="0"/>
    <xf numFmtId="169" fontId="19" fillId="0" borderId="1" pivotButton="0" quotePrefix="0" xfId="0"/>
    <xf numFmtId="0" fontId="15" fillId="0" borderId="0" applyAlignment="1" pivotButton="0" quotePrefix="0" xfId="0">
      <alignment vertical="center"/>
    </xf>
    <xf numFmtId="0" fontId="16" fillId="0" borderId="4" applyAlignment="1" pivotButton="0" quotePrefix="0" xfId="0">
      <alignment vertical="center"/>
    </xf>
    <xf numFmtId="165" fontId="16" fillId="0" borderId="4" applyAlignment="1" pivotButton="0" quotePrefix="0" xfId="0">
      <alignment vertical="center"/>
    </xf>
    <xf numFmtId="164" fontId="16" fillId="0" borderId="4" applyAlignment="1" pivotButton="0" quotePrefix="0" xfId="0">
      <alignment vertical="center"/>
    </xf>
    <xf numFmtId="165" fontId="17" fillId="0" borderId="0" applyAlignment="1" pivotButton="0" quotePrefix="0" xfId="0">
      <alignment vertical="center"/>
    </xf>
    <xf numFmtId="168" fontId="13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5" fontId="19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16" fillId="0" borderId="5" applyAlignment="1" pivotButton="0" quotePrefix="0" xfId="0">
      <alignment vertical="center"/>
    </xf>
    <xf numFmtId="165" fontId="16" fillId="0" borderId="5" applyAlignment="1" pivotButton="0" quotePrefix="0" xfId="0">
      <alignment vertical="center"/>
    </xf>
    <xf numFmtId="164" fontId="16" fillId="0" borderId="5" applyAlignment="1" pivotButton="0" quotePrefix="0" xfId="0">
      <alignment vertical="center"/>
    </xf>
    <xf numFmtId="165" fontId="17" fillId="0" borderId="1" applyAlignment="1" pivotButton="0" quotePrefix="0" xfId="0">
      <alignment vertical="center"/>
    </xf>
    <xf numFmtId="168" fontId="13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165" fontId="19" fillId="0" borderId="1" applyAlignment="1" pivotButton="0" quotePrefix="0" xfId="0">
      <alignment vertical="center"/>
    </xf>
    <xf numFmtId="164" fontId="19" fillId="0" borderId="1" applyAlignment="1" pivotButton="0" quotePrefix="0" xfId="0">
      <alignment vertical="center"/>
    </xf>
    <xf numFmtId="169" fontId="19" fillId="0" borderId="1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4" applyAlignment="1" pivotButton="0" quotePrefix="0" xfId="0">
      <alignment vertical="center"/>
    </xf>
    <xf numFmtId="165" fontId="16" fillId="0" borderId="4" applyAlignment="1" pivotButton="0" quotePrefix="0" xfId="0">
      <alignment vertical="center"/>
    </xf>
    <xf numFmtId="164" fontId="16" fillId="0" borderId="4" applyAlignment="1" pivotButton="0" quotePrefix="0" xfId="0">
      <alignment vertical="center"/>
    </xf>
    <xf numFmtId="165" fontId="17" fillId="0" borderId="0" applyAlignment="1" pivotButton="0" quotePrefix="0" xfId="0">
      <alignment vertical="center"/>
    </xf>
    <xf numFmtId="168" fontId="13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5" fontId="19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16" fillId="0" borderId="5" applyAlignment="1" pivotButton="0" quotePrefix="0" xfId="0">
      <alignment vertical="center"/>
    </xf>
    <xf numFmtId="165" fontId="16" fillId="0" borderId="5" applyAlignment="1" pivotButton="0" quotePrefix="0" xfId="0">
      <alignment vertical="center"/>
    </xf>
    <xf numFmtId="164" fontId="16" fillId="0" borderId="5" applyAlignment="1" pivotButton="0" quotePrefix="0" xfId="0">
      <alignment vertical="center"/>
    </xf>
    <xf numFmtId="165" fontId="17" fillId="0" borderId="1" applyAlignment="1" pivotButton="0" quotePrefix="0" xfId="0">
      <alignment vertical="center"/>
    </xf>
    <xf numFmtId="168" fontId="13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165" fontId="19" fillId="0" borderId="1" applyAlignment="1" pivotButton="0" quotePrefix="0" xfId="0">
      <alignment vertical="center"/>
    </xf>
    <xf numFmtId="164" fontId="19" fillId="0" borderId="1" applyAlignment="1" pivotButton="0" quotePrefix="0" xfId="0">
      <alignment vertical="center"/>
    </xf>
    <xf numFmtId="169" fontId="19" fillId="0" borderId="1" applyAlignment="1" pivotButton="0" quotePrefix="0" xfId="0">
      <alignment vertical="center"/>
    </xf>
    <xf numFmtId="169" fontId="15" fillId="0" borderId="0" pivotButton="0" quotePrefix="0" xfId="0"/>
    <xf numFmtId="169" fontId="17" fillId="0" borderId="0" pivotButton="0" quotePrefix="0" xfId="0"/>
    <xf numFmtId="169" fontId="15" fillId="0" borderId="1" pivotButton="0" quotePrefix="0" xfId="0"/>
    <xf numFmtId="169" fontId="17" fillId="0" borderId="1" pivotButton="0" quotePrefix="0" xfId="0"/>
    <xf numFmtId="169" fontId="15" fillId="0" borderId="0" applyAlignment="1" pivotButton="0" quotePrefix="0" xfId="0">
      <alignment vertical="center"/>
    </xf>
    <xf numFmtId="169" fontId="17" fillId="0" borderId="0" applyAlignment="1" pivotButton="0" quotePrefix="0" xfId="0">
      <alignment vertical="center"/>
    </xf>
    <xf numFmtId="169" fontId="15" fillId="0" borderId="1" applyAlignment="1" pivotButton="0" quotePrefix="0" xfId="0">
      <alignment vertical="center"/>
    </xf>
    <xf numFmtId="169" fontId="17" fillId="0" borderId="1" applyAlignment="1" pivotButton="0" quotePrefix="0" xfId="0">
      <alignment vertical="center"/>
    </xf>
    <xf numFmtId="169" fontId="15" fillId="0" borderId="0" applyAlignment="1" pivotButton="0" quotePrefix="0" xfId="0">
      <alignment vertical="center"/>
    </xf>
    <xf numFmtId="169" fontId="17" fillId="0" borderId="0" applyAlignment="1" pivotButton="0" quotePrefix="0" xfId="0">
      <alignment vertical="center"/>
    </xf>
    <xf numFmtId="169" fontId="15" fillId="0" borderId="1" applyAlignment="1" pivotButton="0" quotePrefix="0" xfId="0">
      <alignment vertical="center"/>
    </xf>
    <xf numFmtId="169" fontId="17" fillId="0" borderId="1" applyAlignment="1" pivotButton="0" quotePrefix="0" xfId="0">
      <alignment vertical="center"/>
    </xf>
    <xf numFmtId="166" fontId="16" fillId="0" borderId="4" pivotButton="0" quotePrefix="0" xfId="0"/>
    <xf numFmtId="166" fontId="16" fillId="0" borderId="5" pivotButton="0" quotePrefix="0" xfId="0"/>
    <xf numFmtId="166" fontId="16" fillId="0" borderId="4" applyAlignment="1" pivotButton="0" quotePrefix="0" xfId="0">
      <alignment vertical="center"/>
    </xf>
    <xf numFmtId="166" fontId="16" fillId="0" borderId="5" applyAlignment="1" pivotButton="0" quotePrefix="0" xfId="0">
      <alignment vertical="center"/>
    </xf>
    <xf numFmtId="166" fontId="16" fillId="0" borderId="4" applyAlignment="1" pivotButton="0" quotePrefix="0" xfId="0">
      <alignment vertical="center"/>
    </xf>
    <xf numFmtId="166" fontId="16" fillId="0" borderId="5" applyAlignment="1" pivotButton="0" quotePrefix="0" xfId="0">
      <alignment vertical="center"/>
    </xf>
    <xf numFmtId="164" fontId="17" fillId="0" borderId="0" pivotButton="0" quotePrefix="0" xfId="0"/>
    <xf numFmtId="164" fontId="17" fillId="0" borderId="1" pivotButton="0" quotePrefix="0" xfId="0"/>
    <xf numFmtId="164" fontId="17" fillId="0" borderId="0" applyAlignment="1" pivotButton="0" quotePrefix="0" xfId="0">
      <alignment vertical="center"/>
    </xf>
    <xf numFmtId="164" fontId="17" fillId="0" borderId="1" applyAlignment="1" pivotButton="0" quotePrefix="0" xfId="0">
      <alignment vertical="center"/>
    </xf>
    <xf numFmtId="164" fontId="17" fillId="0" borderId="0" applyAlignment="1" pivotButton="0" quotePrefix="0" xfId="0">
      <alignment vertical="center"/>
    </xf>
    <xf numFmtId="164" fontId="17" fillId="0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 wrapText="1"/>
    </xf>
    <xf numFmtId="164" fontId="16" fillId="7" borderId="0" pivotButton="0" quotePrefix="0" xfId="0"/>
    <xf numFmtId="164" fontId="12" fillId="5" borderId="3" applyAlignment="1" pivotButton="0" quotePrefix="0" xfId="0">
      <alignment horizontal="center" vertical="center" wrapText="1"/>
    </xf>
    <xf numFmtId="164" fontId="16" fillId="7" borderId="1" pivotButton="0" quotePrefix="0" xfId="0"/>
    <xf numFmtId="164" fontId="16" fillId="7" borderId="0" applyAlignment="1" pivotButton="0" quotePrefix="0" xfId="0">
      <alignment vertical="center"/>
    </xf>
    <xf numFmtId="164" fontId="16" fillId="7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6" fillId="7" borderId="0" applyAlignment="1" pivotButton="0" quotePrefix="0" xfId="0">
      <alignment vertical="center"/>
    </xf>
    <xf numFmtId="164" fontId="12" fillId="5" borderId="3" applyAlignment="1" pivotButton="0" quotePrefix="0" xfId="0">
      <alignment horizontal="center" vertical="center"/>
    </xf>
    <xf numFmtId="164" fontId="16" fillId="7" borderId="1" applyAlignment="1" pivotButton="0" quotePrefix="0" xfId="0">
      <alignment vertical="center"/>
    </xf>
    <xf numFmtId="0" fontId="17" fillId="0" borderId="0" pivotButton="0" quotePrefix="0" xfId="0"/>
    <xf numFmtId="166" fontId="15" fillId="0" borderId="0" pivotButton="0" quotePrefix="0" xfId="0"/>
    <xf numFmtId="0" fontId="13" fillId="8" borderId="0" pivotButton="0" quotePrefix="0" xfId="0"/>
    <xf numFmtId="0" fontId="17" fillId="0" borderId="1" pivotButton="0" quotePrefix="0" xfId="0"/>
    <xf numFmtId="166" fontId="15" fillId="0" borderId="1" pivotButton="0" quotePrefix="0" xfId="0"/>
    <xf numFmtId="0" fontId="13" fillId="8" borderId="1" pivotButton="0" quotePrefix="0" xfId="0"/>
    <xf numFmtId="0" fontId="17" fillId="0" borderId="0" applyAlignment="1" pivotButton="0" quotePrefix="0" xfId="0">
      <alignment vertical="center"/>
    </xf>
    <xf numFmtId="166" fontId="15" fillId="0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166" fontId="15" fillId="0" borderId="1" applyAlignment="1" pivotButton="0" quotePrefix="0" xfId="0">
      <alignment vertical="center"/>
    </xf>
    <xf numFmtId="0" fontId="13" fillId="8" borderId="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6" fontId="15" fillId="0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166" fontId="15" fillId="0" borderId="1" applyAlignment="1" pivotButton="0" quotePrefix="0" xfId="0">
      <alignment vertical="center"/>
    </xf>
    <xf numFmtId="0" fontId="13" fillId="8" borderId="1" applyAlignment="1" pivotButton="0" quotePrefix="0" xfId="0">
      <alignment vertical="center"/>
    </xf>
    <xf numFmtId="0" fontId="12" fillId="5" borderId="0" applyAlignment="1" pivotButton="0" quotePrefix="0" xfId="0">
      <alignment horizontal="center"/>
    </xf>
    <xf numFmtId="49" fontId="20" fillId="3" borderId="0" applyAlignment="1" pivotButton="0" quotePrefix="0" xfId="0">
      <alignment horizontal="center" vertical="center"/>
    </xf>
    <xf numFmtId="165" fontId="20" fillId="3" borderId="0" applyAlignment="1" pivotButton="0" quotePrefix="0" xfId="0">
      <alignment horizontal="center" vertical="center"/>
    </xf>
    <xf numFmtId="164" fontId="20" fillId="3" borderId="0" applyAlignment="1" pivotButton="0" quotePrefix="0" xfId="0">
      <alignment horizontal="center" vertical="center"/>
    </xf>
    <xf numFmtId="166" fontId="13" fillId="0" borderId="0" pivotButton="0" quotePrefix="0" xfId="0"/>
    <xf numFmtId="169" fontId="20" fillId="3" borderId="0" applyAlignment="1" pivotButton="0" quotePrefix="0" xfId="0">
      <alignment horizontal="center" vertical="center"/>
    </xf>
    <xf numFmtId="166" fontId="20" fillId="3" borderId="0" applyAlignment="1" pivotButton="0" quotePrefix="0" xfId="0">
      <alignment horizontal="center" vertical="center"/>
    </xf>
    <xf numFmtId="0" fontId="17" fillId="0" borderId="0" applyAlignment="1" pivotButton="0" quotePrefix="0" xfId="0">
      <alignment wrapText="1"/>
    </xf>
    <xf numFmtId="169" fontId="17" fillId="0" borderId="0" applyAlignment="1" pivotButton="0" quotePrefix="0" xfId="0">
      <alignment wrapText="1"/>
    </xf>
    <xf numFmtId="0" fontId="12" fillId="5" borderId="1" applyAlignment="1" pivotButton="0" quotePrefix="0" xfId="0">
      <alignment horizontal="center"/>
    </xf>
    <xf numFmtId="49" fontId="20" fillId="3" borderId="1" applyAlignment="1" pivotButton="0" quotePrefix="0" xfId="0">
      <alignment horizontal="center" vertical="center"/>
    </xf>
    <xf numFmtId="165" fontId="20" fillId="3" borderId="1" applyAlignment="1" pivotButton="0" quotePrefix="0" xfId="0">
      <alignment horizontal="center" vertical="center"/>
    </xf>
    <xf numFmtId="164" fontId="20" fillId="3" borderId="1" applyAlignment="1" pivotButton="0" quotePrefix="0" xfId="0">
      <alignment horizontal="center" vertical="center"/>
    </xf>
    <xf numFmtId="166" fontId="13" fillId="0" borderId="1" pivotButton="0" quotePrefix="0" xfId="0"/>
    <xf numFmtId="169" fontId="20" fillId="3" borderId="1" applyAlignment="1" pivotButton="0" quotePrefix="0" xfId="0">
      <alignment horizontal="center" vertical="center"/>
    </xf>
    <xf numFmtId="166" fontId="20" fillId="3" borderId="1" applyAlignment="1" pivotButton="0" quotePrefix="0" xfId="0">
      <alignment horizontal="center" vertical="center"/>
    </xf>
    <xf numFmtId="0" fontId="17" fillId="0" borderId="1" applyAlignment="1" pivotButton="0" quotePrefix="0" xfId="0">
      <alignment wrapText="1"/>
    </xf>
    <xf numFmtId="169" fontId="17" fillId="0" borderId="1" applyAlignment="1" pivotButton="0" quotePrefix="0" xfId="0">
      <alignment wrapText="1"/>
    </xf>
    <xf numFmtId="0" fontId="12" fillId="5" borderId="0" applyAlignment="1" pivotButton="0" quotePrefix="0" xfId="0">
      <alignment horizontal="center" vertical="center"/>
    </xf>
    <xf numFmtId="166" fontId="13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169" fontId="17" fillId="0" borderId="0" applyAlignment="1" pivotButton="0" quotePrefix="0" xfId="0">
      <alignment vertical="center" wrapText="1"/>
    </xf>
    <xf numFmtId="0" fontId="12" fillId="5" borderId="1" applyAlignment="1" pivotButton="0" quotePrefix="0" xfId="0">
      <alignment horizontal="center" vertical="center"/>
    </xf>
    <xf numFmtId="166" fontId="13" fillId="0" borderId="1" applyAlignment="1" pivotButton="0" quotePrefix="0" xfId="0">
      <alignment vertical="center"/>
    </xf>
    <xf numFmtId="0" fontId="17" fillId="0" borderId="1" applyAlignment="1" pivotButton="0" quotePrefix="0" xfId="0">
      <alignment vertical="center" wrapText="1"/>
    </xf>
    <xf numFmtId="169" fontId="17" fillId="0" borderId="1" applyAlignment="1" pivotButton="0" quotePrefix="0" xfId="0">
      <alignment vertical="center" wrapText="1"/>
    </xf>
    <xf numFmtId="0" fontId="12" fillId="5" borderId="0" applyAlignment="1" pivotButton="0" quotePrefix="0" xfId="0">
      <alignment horizontal="center" vertical="center"/>
    </xf>
    <xf numFmtId="49" fontId="20" fillId="3" borderId="0" applyAlignment="1" pivotButton="0" quotePrefix="0" xfId="0">
      <alignment horizontal="center" vertical="center"/>
    </xf>
    <xf numFmtId="165" fontId="20" fillId="3" borderId="0" applyAlignment="1" pivotButton="0" quotePrefix="0" xfId="0">
      <alignment horizontal="center" vertical="center"/>
    </xf>
    <xf numFmtId="164" fontId="20" fillId="3" borderId="0" applyAlignment="1" pivotButton="0" quotePrefix="0" xfId="0">
      <alignment horizontal="center" vertical="center"/>
    </xf>
    <xf numFmtId="166" fontId="13" fillId="0" borderId="0" applyAlignment="1" pivotButton="0" quotePrefix="0" xfId="0">
      <alignment vertical="center"/>
    </xf>
    <xf numFmtId="169" fontId="20" fillId="3" borderId="0" applyAlignment="1" pivotButton="0" quotePrefix="0" xfId="0">
      <alignment horizontal="center" vertical="center"/>
    </xf>
    <xf numFmtId="166" fontId="20" fillId="3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49" fontId="20" fillId="3" borderId="1" applyAlignment="1" pivotButton="0" quotePrefix="0" xfId="0">
      <alignment horizontal="center" vertical="center"/>
    </xf>
    <xf numFmtId="165" fontId="20" fillId="3" borderId="1" applyAlignment="1" pivotButton="0" quotePrefix="0" xfId="0">
      <alignment horizontal="center" vertical="center"/>
    </xf>
    <xf numFmtId="164" fontId="20" fillId="3" borderId="1" applyAlignment="1" pivotButton="0" quotePrefix="0" xfId="0">
      <alignment horizontal="center" vertical="center"/>
    </xf>
    <xf numFmtId="166" fontId="13" fillId="0" borderId="1" applyAlignment="1" pivotButton="0" quotePrefix="0" xfId="0">
      <alignment vertical="center"/>
    </xf>
    <xf numFmtId="169" fontId="20" fillId="3" borderId="1" applyAlignment="1" pivotButton="0" quotePrefix="0" xfId="0">
      <alignment horizontal="center" vertical="center"/>
    </xf>
    <xf numFmtId="166" fontId="20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 wrapText="1"/>
    </xf>
    <xf numFmtId="0" fontId="14" fillId="6" borderId="0" applyAlignment="1" pivotButton="0" quotePrefix="0" xfId="0">
      <alignment vertical="center" wrapText="1"/>
    </xf>
    <xf numFmtId="164" fontId="15" fillId="0" borderId="0" applyAlignment="1" pivotButton="0" quotePrefix="0" xfId="0">
      <alignment vertical="center" wrapText="1"/>
    </xf>
    <xf numFmtId="164" fontId="14" fillId="0" borderId="0" applyAlignment="1" pivotButton="0" quotePrefix="0" xfId="0">
      <alignment vertical="center" wrapText="1"/>
    </xf>
    <xf numFmtId="0" fontId="13" fillId="6" borderId="0" applyAlignment="1" pivotButton="0" quotePrefix="0" xfId="0">
      <alignment vertical="center" wrapText="1"/>
    </xf>
    <xf numFmtId="164" fontId="15" fillId="6" borderId="0" applyAlignment="1" pivotButton="0" quotePrefix="0" xfId="0">
      <alignment vertical="center" wrapText="1"/>
    </xf>
    <xf numFmtId="164" fontId="14" fillId="6" borderId="0" applyAlignment="1" pivotButton="0" quotePrefix="0" xfId="0">
      <alignment vertical="center" wrapText="1"/>
    </xf>
    <xf numFmtId="165" fontId="15" fillId="0" borderId="0" applyAlignment="1" pivotButton="0" quotePrefix="0" xfId="0">
      <alignment vertical="center" wrapText="1"/>
    </xf>
    <xf numFmtId="165" fontId="14" fillId="0" borderId="0" applyAlignment="1" pivotButton="0" quotePrefix="0" xfId="0">
      <alignment vertical="center" wrapText="1"/>
    </xf>
    <xf numFmtId="165" fontId="14" fillId="6" borderId="0" applyAlignment="1" pivotButton="0" quotePrefix="0" xfId="0">
      <alignment vertical="center" wrapText="1"/>
    </xf>
    <xf numFmtId="166" fontId="14" fillId="0" borderId="0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164" fontId="15" fillId="0" borderId="1" applyAlignment="1" pivotButton="0" quotePrefix="0" xfId="0">
      <alignment vertical="center" wrapText="1"/>
    </xf>
    <xf numFmtId="164" fontId="14" fillId="0" borderId="1" applyAlignment="1" pivotButton="0" quotePrefix="0" xfId="0">
      <alignment vertical="center" wrapText="1"/>
    </xf>
    <xf numFmtId="0" fontId="13" fillId="6" borderId="1" applyAlignment="1" pivotButton="0" quotePrefix="0" xfId="0">
      <alignment vertical="center" wrapText="1"/>
    </xf>
    <xf numFmtId="164" fontId="15" fillId="6" borderId="1" applyAlignment="1" pivotButton="0" quotePrefix="0" xfId="0">
      <alignment vertical="center" wrapText="1"/>
    </xf>
    <xf numFmtId="164" fontId="14" fillId="6" borderId="1" applyAlignment="1" pivotButton="0" quotePrefix="0" xfId="0">
      <alignment vertical="center" wrapText="1"/>
    </xf>
    <xf numFmtId="165" fontId="15" fillId="0" borderId="1" applyAlignment="1" pivotButton="0" quotePrefix="0" xfId="0">
      <alignment vertical="center" wrapText="1"/>
    </xf>
    <xf numFmtId="165" fontId="14" fillId="0" borderId="1" applyAlignment="1" pivotButton="0" quotePrefix="0" xfId="0">
      <alignment vertical="center" wrapText="1"/>
    </xf>
    <xf numFmtId="165" fontId="14" fillId="6" borderId="1" applyAlignment="1" pivotButton="0" quotePrefix="0" xfId="0">
      <alignment vertical="center" wrapText="1"/>
    </xf>
    <xf numFmtId="166" fontId="14" fillId="0" borderId="1" applyAlignment="1" pivotButton="0" quotePrefix="0" xfId="0">
      <alignment vertical="center" wrapText="1"/>
    </xf>
    <xf numFmtId="164" fontId="13" fillId="0" borderId="0" applyAlignment="1" pivotButton="0" quotePrefix="0" xfId="0">
      <alignment vertical="center" wrapText="1"/>
    </xf>
    <xf numFmtId="167" fontId="13" fillId="0" borderId="0" applyAlignment="1" pivotButton="0" quotePrefix="0" xfId="0">
      <alignment vertical="center" wrapText="1"/>
    </xf>
    <xf numFmtId="165" fontId="13" fillId="0" borderId="0" applyAlignment="1" pivotButton="0" quotePrefix="0" xfId="0">
      <alignment vertical="center" wrapText="1"/>
    </xf>
    <xf numFmtId="164" fontId="13" fillId="0" borderId="1" applyAlignment="1" pivotButton="0" quotePrefix="0" xfId="0">
      <alignment vertical="center" wrapText="1"/>
    </xf>
    <xf numFmtId="167" fontId="13" fillId="0" borderId="1" applyAlignment="1" pivotButton="0" quotePrefix="0" xfId="0">
      <alignment vertical="center" wrapText="1"/>
    </xf>
    <xf numFmtId="165" fontId="13" fillId="0" borderId="1" applyAlignment="1" pivotButton="0" quotePrefix="0" xfId="0">
      <alignment vertical="center" wrapText="1"/>
    </xf>
    <xf numFmtId="169" fontId="15" fillId="0" borderId="0" applyAlignment="1" pivotButton="0" quotePrefix="0" xfId="0">
      <alignment vertical="center" wrapText="1"/>
    </xf>
    <xf numFmtId="166" fontId="15" fillId="0" borderId="0" applyAlignment="1" pivotButton="0" quotePrefix="0" xfId="0">
      <alignment vertical="center" wrapText="1"/>
    </xf>
    <xf numFmtId="0" fontId="13" fillId="8" borderId="0" applyAlignment="1" pivotButton="0" quotePrefix="0" xfId="0">
      <alignment vertical="center" wrapText="1"/>
    </xf>
    <xf numFmtId="169" fontId="15" fillId="0" borderId="1" applyAlignment="1" pivotButton="0" quotePrefix="0" xfId="0">
      <alignment vertical="center" wrapText="1"/>
    </xf>
    <xf numFmtId="166" fontId="15" fillId="0" borderId="1" applyAlignment="1" pivotButton="0" quotePrefix="0" xfId="0">
      <alignment vertical="center" wrapText="1"/>
    </xf>
    <xf numFmtId="0" fontId="13" fillId="8" borderId="1" applyAlignment="1" pivotButton="0" quotePrefix="0" xfId="0">
      <alignment vertical="center" wrapText="1"/>
    </xf>
    <xf numFmtId="0" fontId="13" fillId="5" borderId="0" applyAlignment="1" pivotButton="0" quotePrefix="0" xfId="0">
      <alignment vertical="center"/>
    </xf>
    <xf numFmtId="0" fontId="4" fillId="5" borderId="2" applyAlignment="1" pivotButton="0" quotePrefix="0" xfId="0">
      <alignment horizontal="center" vertical="center"/>
    </xf>
    <xf numFmtId="0" fontId="4" fillId="5" borderId="0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0" fontId="4" fillId="5" borderId="2" applyAlignment="1" pivotButton="0" quotePrefix="0" xfId="0">
      <alignment vertical="center" wrapText="1"/>
    </xf>
    <xf numFmtId="0" fontId="13" fillId="5" borderId="1" applyAlignment="1" pivotButton="0" quotePrefix="0" xfId="0">
      <alignment vertical="center"/>
    </xf>
    <xf numFmtId="0" fontId="4" fillId="5" borderId="3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0" fontId="4" fillId="5" borderId="3" applyAlignment="1" pivotButton="0" quotePrefix="0" xfId="0">
      <alignment vertical="center" wrapText="1"/>
    </xf>
    <xf numFmtId="164" fontId="15" fillId="0" borderId="0" applyAlignment="1" pivotButton="0" quotePrefix="0" xfId="0">
      <alignment vertical="center" wrapText="1"/>
    </xf>
    <xf numFmtId="164" fontId="14" fillId="0" borderId="0" applyAlignment="1" pivotButton="0" quotePrefix="0" xfId="0">
      <alignment vertical="center" wrapText="1"/>
    </xf>
    <xf numFmtId="164" fontId="15" fillId="6" borderId="0" applyAlignment="1" pivotButton="0" quotePrefix="0" xfId="0">
      <alignment vertical="center" wrapText="1"/>
    </xf>
    <xf numFmtId="164" fontId="14" fillId="6" borderId="0" applyAlignment="1" pivotButton="0" quotePrefix="0" xfId="0">
      <alignment vertical="center" wrapText="1"/>
    </xf>
    <xf numFmtId="165" fontId="15" fillId="0" borderId="0" applyAlignment="1" pivotButton="0" quotePrefix="0" xfId="0">
      <alignment vertical="center" wrapText="1"/>
    </xf>
    <xf numFmtId="165" fontId="14" fillId="0" borderId="0" applyAlignment="1" pivotButton="0" quotePrefix="0" xfId="0">
      <alignment vertical="center" wrapText="1"/>
    </xf>
    <xf numFmtId="165" fontId="14" fillId="6" borderId="0" applyAlignment="1" pivotButton="0" quotePrefix="0" xfId="0">
      <alignment vertical="center" wrapText="1"/>
    </xf>
    <xf numFmtId="166" fontId="14" fillId="0" borderId="0" applyAlignment="1" pivotButton="0" quotePrefix="0" xfId="0">
      <alignment vertical="center" wrapText="1"/>
    </xf>
    <xf numFmtId="165" fontId="1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 wrapText="1"/>
    </xf>
    <xf numFmtId="167" fontId="13" fillId="0" borderId="0" applyAlignment="1" pivotButton="0" quotePrefix="0" xfId="0">
      <alignment vertical="center" wrapText="1"/>
    </xf>
    <xf numFmtId="165" fontId="13" fillId="0" borderId="0" applyAlignment="1" pivotButton="0" quotePrefix="0" xfId="0">
      <alignment vertical="center" wrapText="1"/>
    </xf>
    <xf numFmtId="165" fontId="15" fillId="0" borderId="0" applyAlignment="1" pivotButton="0" quotePrefix="0" xfId="0">
      <alignment vertical="center"/>
    </xf>
    <xf numFmtId="164" fontId="15" fillId="0" borderId="0" applyAlignment="1" pivotButton="0" quotePrefix="0" xfId="0">
      <alignment vertical="center"/>
    </xf>
    <xf numFmtId="165" fontId="16" fillId="0" borderId="4" applyAlignment="1" pivotButton="0" quotePrefix="0" xfId="0">
      <alignment vertical="center"/>
    </xf>
    <xf numFmtId="164" fontId="16" fillId="0" borderId="4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5" fontId="17" fillId="0" borderId="0" applyAlignment="1" pivotButton="0" quotePrefix="0" xfId="0">
      <alignment vertical="center"/>
    </xf>
    <xf numFmtId="168" fontId="13" fillId="0" borderId="0" applyAlignment="1" pivotButton="0" quotePrefix="0" xfId="0">
      <alignment vertical="center"/>
    </xf>
    <xf numFmtId="165" fontId="19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69" fontId="15" fillId="0" borderId="0" applyAlignment="1" pivotButton="0" quotePrefix="0" xfId="0">
      <alignment vertical="center"/>
    </xf>
    <xf numFmtId="169" fontId="17" fillId="0" borderId="0" applyAlignment="1" pivotButton="0" quotePrefix="0" xfId="0">
      <alignment vertical="center"/>
    </xf>
    <xf numFmtId="166" fontId="16" fillId="0" borderId="4" applyAlignment="1" pivotButton="0" quotePrefix="0" xfId="0">
      <alignment vertical="center"/>
    </xf>
    <xf numFmtId="164" fontId="17" fillId="0" borderId="0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6" fillId="7" borderId="0" applyAlignment="1" pivotButton="0" quotePrefix="0" xfId="0">
      <alignment vertical="center"/>
    </xf>
    <xf numFmtId="169" fontId="15" fillId="0" borderId="0" applyAlignment="1" pivotButton="0" quotePrefix="0" xfId="0">
      <alignment vertical="center" wrapText="1"/>
    </xf>
    <xf numFmtId="166" fontId="15" fillId="0" borderId="0" applyAlignment="1" pivotButton="0" quotePrefix="0" xfId="0">
      <alignment vertical="center" wrapText="1"/>
    </xf>
    <xf numFmtId="49" fontId="20" fillId="3" borderId="1" applyAlignment="1" pivotButton="0" quotePrefix="0" xfId="0">
      <alignment horizontal="center" vertical="center"/>
    </xf>
    <xf numFmtId="165" fontId="20" fillId="3" borderId="1" applyAlignment="1" pivotButton="0" quotePrefix="0" xfId="0">
      <alignment horizontal="center" vertical="center"/>
    </xf>
    <xf numFmtId="164" fontId="20" fillId="3" borderId="1" applyAlignment="1" pivotButton="0" quotePrefix="0" xfId="0">
      <alignment horizontal="center" vertical="center"/>
    </xf>
    <xf numFmtId="166" fontId="13" fillId="0" borderId="0" applyAlignment="1" pivotButton="0" quotePrefix="0" xfId="0">
      <alignment vertical="center"/>
    </xf>
    <xf numFmtId="169" fontId="20" fillId="3" borderId="1" applyAlignment="1" pivotButton="0" quotePrefix="0" xfId="0">
      <alignment horizontal="center" vertical="center"/>
    </xf>
    <xf numFmtId="166" fontId="20" fillId="3" borderId="1" applyAlignment="1" pivotButton="0" quotePrefix="0" xfId="0">
      <alignment horizontal="center" vertical="center"/>
    </xf>
    <xf numFmtId="0" fontId="0" fillId="0" borderId="3" pivotButton="0" quotePrefix="0" xfId="0"/>
    <xf numFmtId="169" fontId="17" fillId="0" borderId="0" applyAlignment="1" pivotButton="0" quotePrefix="0" xfId="0">
      <alignment vertical="center" wrapText="1"/>
    </xf>
  </cellXfs>
  <cellStyles count="1">
    <cellStyle name="Normal" xfId="0"/>
  </cellStyles>
  <dxfs count="6">
    <dxf>
      <font>
        <b val="1"/>
        <color rgb="FFC94D4D"/>
      </font>
      <fill>
        <patternFill patternType="solid">
          <bgColor rgb="FFFBE7E7"/>
        </patternFill>
      </fill>
    </dxf>
    <dxf>
      <font>
        <b val="1"/>
        <color rgb="FFC88B25"/>
      </font>
      <fill>
        <patternFill patternType="solid">
          <bgColor rgb="FFFFF1D5"/>
        </patternFill>
      </fill>
    </dxf>
    <dxf>
      <font>
        <b val="1"/>
        <color rgb="FF258A61"/>
      </font>
      <fill>
        <patternFill patternType="solid">
          <bgColor rgb="FFE3F3EC"/>
        </patternFill>
      </fill>
    </dxf>
    <dxf>
      <font>
        <b val="1"/>
        <color rgb="FFC94D4D"/>
      </font>
      <fill>
        <patternFill patternType="solid">
          <bgColor rgb="FFFBE7E7"/>
        </patternFill>
      </fill>
    </dxf>
    <dxf>
      <font>
        <b val="1"/>
        <color rgb="FF258A61"/>
      </font>
      <fill>
        <patternFill patternType="solid">
          <bgColor rgb="FFE3F3EC"/>
        </patternFill>
      </fill>
    </dxf>
    <dxf>
      <font>
        <b val="1"/>
        <color rgb="FFC88B25"/>
      </font>
      <fill>
        <patternFill patternType="solid">
          <bgColor rgb="FFFFF1D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Chiffre d’affaires</v>
          </tx>
          <spPr>
            <a:ln>
              <a:prstDash val="solid"/>
            </a:ln>
          </spPr>
          <cat>
            <strRef>
              <f>'Dashboard'!$N$2:$AK$2</f>
              <strCache>
                <ptCount val="0"/>
              </strCache>
            </strRef>
          </cat>
          <val>
            <numRef>
              <f>'Dashboard'!$N$3:$AK$3</f>
              <numCache>
                <formatCode>#,##0</formatCode>
                <ptCount val="0"/>
              </numCache>
            </numRef>
          </val>
        </ser>
        <ser>
          <idx val="1"/>
          <order val="1"/>
          <tx>
            <v>Payouts</v>
          </tx>
          <spPr>
            <a:ln>
              <a:prstDash val="solid"/>
            </a:ln>
          </spPr>
          <cat>
            <strRef>
              <f>'Dashboard'!$N$2:$AK$2</f>
              <strCache>
                <ptCount val="0"/>
              </strCache>
            </strRef>
          </cat>
          <val>
            <numRef>
              <f>'Dashboard'!$N$4:$AK$4</f>
              <numCache>
                <formatCode>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ser>
          <idx val="0"/>
          <order val="0"/>
          <tx>
            <v>Couverture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'Dashboard'!$N$6:$AK$6</f>
              <strCache>
                <ptCount val="0"/>
              </strCache>
            </strRef>
          </cat>
          <val>
            <numRef>
              <f>'Dashboard'!$N$7:$AK$7</f>
              <numCache>
                <formatCode>0.0x</formatCode>
                <ptCount val="0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12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22" customWidth="1" min="1" max="1"/>
    <col width="6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15" customHeight="1">
      <c r="A1" s="404" t="inlineStr">
        <is>
          <t>WARIBA — Financial Model v1.0</t>
        </is>
      </c>
      <c r="B1" s="1" t="n"/>
      <c r="C1" s="1" t="n"/>
      <c r="D1" s="1" t="n"/>
      <c r="E1" s="1" t="n"/>
      <c r="F1" s="1" t="n"/>
      <c r="G1" s="1" t="n"/>
      <c r="H1" s="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  <c r="U1" s="161" t="n"/>
      <c r="V1" s="161" t="n"/>
      <c r="W1" s="161" t="n"/>
      <c r="X1" s="161" t="n"/>
      <c r="Y1" s="16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7" t="inlineStr">
        <is>
          <t>Modèle interne de planification. Il ne constitue ni une prévision garantie, ni un avis juridique, fiscal ou comptable.</t>
        </is>
      </c>
      <c r="B2" s="1" t="n"/>
      <c r="C2" s="1" t="n"/>
      <c r="D2" s="1" t="n"/>
      <c r="E2" s="1" t="n"/>
      <c r="F2" s="1" t="n"/>
      <c r="G2" s="1" t="n"/>
      <c r="H2" s="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57" t="n"/>
      <c r="B3" s="157" t="n"/>
      <c r="C3" s="157" t="n"/>
      <c r="D3" s="157" t="n"/>
      <c r="E3" s="157" t="n"/>
      <c r="F3" s="157" t="n"/>
      <c r="G3" s="157" t="n"/>
      <c r="H3" s="157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405" t="inlineStr">
        <is>
          <t>1. Source de vérité</t>
        </is>
      </c>
      <c r="B4" s="1" t="n"/>
      <c r="C4" s="1" t="n"/>
      <c r="D4" s="1" t="n"/>
      <c r="E4" s="1" t="n"/>
      <c r="F4" s="1" t="n"/>
      <c r="G4" s="1" t="n"/>
      <c r="H4" s="1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149" t="inlineStr">
        <is>
          <t>Élément</t>
        </is>
      </c>
      <c r="B5" s="149" t="inlineStr">
        <is>
          <t>Valeur</t>
        </is>
      </c>
      <c r="C5" s="157" t="n"/>
      <c r="D5" s="157" t="n"/>
      <c r="E5" s="157" t="n"/>
      <c r="F5" s="157" t="n"/>
      <c r="G5" s="157" t="n"/>
      <c r="H5" s="157" t="n"/>
      <c r="I5" s="161" t="n"/>
      <c r="J5" s="161" t="n"/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157" t="inlineStr">
        <is>
          <t>Marque</t>
        </is>
      </c>
      <c r="B6" s="157" t="inlineStr">
        <is>
          <t>WARIBA</t>
        </is>
      </c>
      <c r="C6" s="157" t="n"/>
      <c r="D6" s="157" t="n"/>
      <c r="E6" s="157" t="n"/>
      <c r="F6" s="157" t="n"/>
      <c r="G6" s="157" t="n"/>
      <c r="H6" s="157" t="n"/>
      <c r="I6" s="161" t="n"/>
      <c r="J6" s="161" t="n"/>
      <c r="K6" s="161" t="n"/>
      <c r="L6" s="161" t="n"/>
      <c r="M6" s="161" t="n"/>
      <c r="N6" s="161" t="n"/>
      <c r="O6" s="161" t="n"/>
      <c r="P6" s="161" t="n"/>
      <c r="Q6" s="161" t="n"/>
      <c r="R6" s="161" t="n"/>
      <c r="S6" s="161" t="n"/>
      <c r="T6" s="161" t="n"/>
      <c r="U6" s="161" t="n"/>
      <c r="V6" s="161" t="n"/>
      <c r="W6" s="161" t="n"/>
      <c r="X6" s="161" t="n"/>
      <c r="Y6" s="161" t="n"/>
      <c r="Z6" s="161" t="n"/>
      <c r="AA6" s="161" t="n"/>
      <c r="AB6" s="161" t="n"/>
      <c r="AC6" s="161" t="n"/>
      <c r="AD6" s="161" t="n"/>
      <c r="AE6" s="161" t="n"/>
      <c r="AF6" s="161" t="n"/>
      <c r="AG6" s="161" t="n"/>
      <c r="AH6" s="161" t="n"/>
      <c r="AI6" s="161" t="n"/>
      <c r="AJ6" s="161" t="n"/>
      <c r="AK6" s="161" t="n"/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157" t="inlineStr">
        <is>
          <t>Domaine</t>
        </is>
      </c>
      <c r="B7" s="157" t="inlineStr">
        <is>
          <t>wariba.app</t>
        </is>
      </c>
      <c r="C7" s="157" t="n"/>
      <c r="D7" s="157" t="n"/>
      <c r="E7" s="157" t="n"/>
      <c r="F7" s="157" t="n"/>
      <c r="G7" s="157" t="n"/>
      <c r="H7" s="157" t="n"/>
      <c r="I7" s="161" t="n"/>
      <c r="J7" s="161" t="n"/>
      <c r="K7" s="161" t="n"/>
      <c r="L7" s="161" t="n"/>
      <c r="M7" s="161" t="n"/>
      <c r="N7" s="161" t="n"/>
      <c r="O7" s="161" t="n"/>
      <c r="P7" s="161" t="n"/>
      <c r="Q7" s="161" t="n"/>
      <c r="R7" s="161" t="n"/>
      <c r="S7" s="161" t="n"/>
      <c r="T7" s="161" t="n"/>
      <c r="U7" s="161" t="n"/>
      <c r="V7" s="161" t="n"/>
      <c r="W7" s="161" t="n"/>
      <c r="X7" s="161" t="n"/>
      <c r="Y7" s="161" t="n"/>
      <c r="Z7" s="161" t="n"/>
      <c r="AA7" s="161" t="n"/>
      <c r="AB7" s="161" t="n"/>
      <c r="AC7" s="161" t="n"/>
      <c r="AD7" s="161" t="n"/>
      <c r="AE7" s="161" t="n"/>
      <c r="AF7" s="161" t="n"/>
      <c r="AG7" s="161" t="n"/>
      <c r="AH7" s="161" t="n"/>
      <c r="AI7" s="161" t="n"/>
      <c r="AJ7" s="161" t="n"/>
      <c r="AK7" s="161" t="n"/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157" t="inlineStr">
        <is>
          <t>Produit</t>
        </is>
      </c>
      <c r="B8" s="157" t="inlineStr">
        <is>
          <t>WARIBA ONE → WARIBA Performance → WARIBA Review</t>
        </is>
      </c>
      <c r="C8" s="157" t="n"/>
      <c r="D8" s="157" t="n"/>
      <c r="E8" s="157" t="n"/>
      <c r="F8" s="157" t="n"/>
      <c r="G8" s="157" t="n"/>
      <c r="H8" s="157" t="n"/>
      <c r="I8" s="161" t="n"/>
      <c r="J8" s="161" t="n"/>
      <c r="K8" s="161" t="n"/>
      <c r="L8" s="161" t="n"/>
      <c r="M8" s="161" t="n"/>
      <c r="N8" s="161" t="n"/>
      <c r="O8" s="161" t="n"/>
      <c r="P8" s="161" t="n"/>
      <c r="Q8" s="161" t="n"/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157" t="inlineStr">
        <is>
          <t>État du projet</t>
        </is>
      </c>
      <c r="B9" s="157" t="inlineStr">
        <is>
          <t>Dossier créé, aucun code commencé</t>
        </is>
      </c>
      <c r="C9" s="157" t="n"/>
      <c r="D9" s="157" t="n"/>
      <c r="E9" s="157" t="n"/>
      <c r="F9" s="157" t="n"/>
      <c r="G9" s="157" t="n"/>
      <c r="H9" s="157" t="n"/>
      <c r="I9" s="161" t="n"/>
      <c r="J9" s="161" t="n"/>
      <c r="K9" s="161" t="n"/>
      <c r="L9" s="161" t="n"/>
      <c r="M9" s="161" t="n"/>
      <c r="N9" s="161" t="n"/>
      <c r="O9" s="161" t="n"/>
      <c r="P9" s="161" t="n"/>
      <c r="Q9" s="161" t="n"/>
      <c r="R9" s="161" t="n"/>
      <c r="S9" s="161" t="n"/>
      <c r="T9" s="161" t="n"/>
      <c r="U9" s="161" t="n"/>
      <c r="V9" s="161" t="n"/>
      <c r="W9" s="161" t="n"/>
      <c r="X9" s="161" t="n"/>
      <c r="Y9" s="161" t="n"/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157" t="inlineStr">
        <is>
          <t>Rulebook</t>
        </is>
      </c>
      <c r="B10" s="157" t="inlineStr">
        <is>
          <t>WARIBA Program Rulebook v1.0</t>
        </is>
      </c>
      <c r="C10" s="157" t="n"/>
      <c r="D10" s="157" t="n"/>
      <c r="E10" s="157" t="n"/>
      <c r="F10" s="157" t="n"/>
      <c r="G10" s="157" t="n"/>
      <c r="H10" s="157" t="n"/>
      <c r="I10" s="161" t="n"/>
      <c r="J10" s="161" t="n"/>
      <c r="K10" s="161" t="n"/>
      <c r="L10" s="161" t="n"/>
      <c r="M10" s="161" t="n"/>
      <c r="N10" s="161" t="n"/>
      <c r="O10" s="161" t="n"/>
      <c r="P10" s="161" t="n"/>
      <c r="Q10" s="161" t="n"/>
      <c r="R10" s="161" t="n"/>
      <c r="S10" s="161" t="n"/>
      <c r="T10" s="161" t="n"/>
      <c r="U10" s="161" t="n"/>
      <c r="V10" s="161" t="n"/>
      <c r="W10" s="161" t="n"/>
      <c r="X10" s="161" t="n"/>
      <c r="Y10" s="161" t="n"/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157" t="inlineStr">
        <is>
          <t>Statut des prix/caps</t>
        </is>
      </c>
      <c r="B11" s="157" t="inlineStr">
        <is>
          <t>CANDIDATE</t>
        </is>
      </c>
      <c r="C11" s="157" t="n"/>
      <c r="D11" s="157" t="n"/>
      <c r="E11" s="157" t="n"/>
      <c r="F11" s="157" t="n"/>
      <c r="G11" s="157" t="n"/>
      <c r="H11" s="157" t="n"/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157" t="inlineStr">
        <is>
          <t>Usage du modèle</t>
        </is>
      </c>
      <c r="B12" s="157" t="inlineStr">
        <is>
          <t>Décider prix, caps, réserve, rythme de vente et gates</t>
        </is>
      </c>
      <c r="C12" s="157" t="n"/>
      <c r="D12" s="157" t="n"/>
      <c r="E12" s="157" t="n"/>
      <c r="F12" s="157" t="n"/>
      <c r="G12" s="157" t="n"/>
      <c r="H12" s="157" t="n"/>
      <c r="I12" s="161" t="n"/>
      <c r="J12" s="161" t="n"/>
      <c r="K12" s="161" t="n"/>
      <c r="L12" s="16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157" t="n"/>
      <c r="B13" s="157" t="n"/>
      <c r="C13" s="157" t="n"/>
      <c r="D13" s="157" t="n"/>
      <c r="E13" s="157" t="n"/>
      <c r="F13" s="157" t="n"/>
      <c r="G13" s="157" t="n"/>
      <c r="H13" s="157" t="n"/>
      <c r="I13" s="161" t="n"/>
      <c r="J13" s="161" t="n"/>
      <c r="K13" s="161" t="n"/>
      <c r="L13" s="161" t="n"/>
      <c r="M13" s="161" t="n"/>
      <c r="N13" s="161" t="n"/>
      <c r="O13" s="161" t="n"/>
      <c r="P13" s="161" t="n"/>
      <c r="Q13" s="161" t="n"/>
      <c r="R13" s="161" t="n"/>
      <c r="S13" s="161" t="n"/>
      <c r="T13" s="161" t="n"/>
      <c r="U13" s="161" t="n"/>
      <c r="V13" s="161" t="n"/>
      <c r="W13" s="161" t="n"/>
      <c r="X13" s="161" t="n"/>
      <c r="Y13" s="161" t="n"/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405" t="inlineStr">
        <is>
          <t>2. Mode d’emploi</t>
        </is>
      </c>
      <c r="B14" s="1" t="n"/>
      <c r="C14" s="1" t="n"/>
      <c r="D14" s="1" t="n"/>
      <c r="E14" s="1" t="n"/>
      <c r="F14" s="1" t="n"/>
      <c r="G14" s="1" t="n"/>
      <c r="H14" s="1" t="n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149" t="inlineStr">
        <is>
          <t>Étape</t>
        </is>
      </c>
      <c r="B15" s="149" t="inlineStr">
        <is>
          <t>Action</t>
        </is>
      </c>
      <c r="C15" s="157" t="str"/>
      <c r="D15" s="157" t="str"/>
      <c r="E15" s="157" t="str"/>
      <c r="F15" s="157" t="str"/>
      <c r="G15" s="157" t="str"/>
      <c r="H15" s="157" t="str"/>
      <c r="I15" s="161" t="n"/>
      <c r="J15" s="161" t="n"/>
      <c r="K15" s="161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157" t="inlineStr">
        <is>
          <t>1</t>
        </is>
      </c>
      <c r="B16" s="157" t="inlineStr">
        <is>
          <t>Choisir le scénario actif dans l’onglet Hypothèses.</t>
        </is>
      </c>
      <c r="C16" s="157" t="str"/>
      <c r="D16" s="157" t="str"/>
      <c r="E16" s="157" t="str"/>
      <c r="F16" s="157" t="str"/>
      <c r="G16" s="157" t="str"/>
      <c r="H16" s="157" t="str"/>
      <c r="I16" s="161" t="n"/>
      <c r="J16" s="161" t="n"/>
      <c r="K16" s="161" t="n"/>
      <c r="L16" s="161" t="n"/>
      <c r="M16" s="161" t="n"/>
      <c r="N16" s="161" t="n"/>
      <c r="O16" s="161" t="n"/>
      <c r="P16" s="161" t="n"/>
      <c r="Q16" s="161" t="n"/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157" t="inlineStr">
        <is>
          <t>2</t>
        </is>
      </c>
      <c r="B17" s="157" t="inlineStr">
        <is>
          <t>Modifier uniquement les cellules en texte bleu.</t>
        </is>
      </c>
      <c r="C17" s="157" t="str"/>
      <c r="D17" s="157" t="str"/>
      <c r="E17" s="157" t="str"/>
      <c r="F17" s="157" t="str"/>
      <c r="G17" s="157" t="str"/>
      <c r="H17" s="157" t="str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  <c r="S17" s="161" t="n"/>
      <c r="T17" s="161" t="n"/>
      <c r="U17" s="161" t="n"/>
      <c r="V17" s="161" t="n"/>
      <c r="W17" s="161" t="n"/>
      <c r="X17" s="161" t="n"/>
      <c r="Y17" s="161" t="n"/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15" customHeight="1">
      <c r="A18" s="157" t="inlineStr">
        <is>
          <t>3</t>
        </is>
      </c>
      <c r="B18" s="157" t="inlineStr">
        <is>
          <t>Remplacer les hypothèses management par les données de bêta.</t>
        </is>
      </c>
      <c r="C18" s="157" t="str"/>
      <c r="D18" s="157" t="str"/>
      <c r="E18" s="157" t="str"/>
      <c r="F18" s="157" t="str"/>
      <c r="G18" s="157" t="str"/>
      <c r="H18" s="157" t="str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15" customHeight="1">
      <c r="A19" s="157" t="inlineStr">
        <is>
          <t>4</t>
        </is>
      </c>
      <c r="B19" s="157" t="inlineStr">
        <is>
          <t>Contrôler le Dashboard, la Cohorte 1000 et les Stress Tests.</t>
        </is>
      </c>
      <c r="C19" s="157" t="str"/>
      <c r="D19" s="157" t="str"/>
      <c r="E19" s="157" t="str"/>
      <c r="F19" s="157" t="str"/>
      <c r="G19" s="157" t="str"/>
      <c r="H19" s="157" t="str"/>
      <c r="I19" s="161" t="n"/>
      <c r="J19" s="161" t="n"/>
      <c r="K19" s="161" t="n"/>
      <c r="L19" s="16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15" customHeight="1">
      <c r="A20" s="157" t="inlineStr">
        <is>
          <t>5</t>
        </is>
      </c>
      <c r="B20" s="157" t="inlineStr">
        <is>
          <t>Ne pas figer les prix ou caps tant que le scénario Stress n’est pas soutenable.</t>
        </is>
      </c>
      <c r="C20" s="157" t="str"/>
      <c r="D20" s="157" t="str"/>
      <c r="E20" s="157" t="str"/>
      <c r="F20" s="157" t="str"/>
      <c r="G20" s="157" t="str"/>
      <c r="H20" s="157" t="str"/>
      <c r="I20" s="161" t="n"/>
      <c r="J20" s="161" t="n"/>
      <c r="K20" s="161" t="n"/>
      <c r="L20" s="16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15" customHeight="1">
      <c r="A21" s="157" t="inlineStr">
        <is>
          <t>6</t>
        </is>
      </c>
      <c r="B21" s="157" t="inlineStr">
        <is>
          <t>Mettre à jour le Decision Log après toute modification commerciale.</t>
        </is>
      </c>
      <c r="C21" s="157" t="str"/>
      <c r="D21" s="157" t="str"/>
      <c r="E21" s="157" t="str"/>
      <c r="F21" s="157" t="str"/>
      <c r="G21" s="157" t="str"/>
      <c r="H21" s="157" t="str"/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15" customHeight="1">
      <c r="A22" s="157" t="inlineStr">
        <is>
          <t>7</t>
        </is>
      </c>
      <c r="B22" s="157" t="inlineStr">
        <is>
          <t>Conserver une réserve payout séparée de la trésorerie d’exploitation.</t>
        </is>
      </c>
      <c r="C22" s="157" t="str"/>
      <c r="D22" s="157" t="str"/>
      <c r="E22" s="157" t="str"/>
      <c r="F22" s="157" t="str"/>
      <c r="G22" s="157" t="str"/>
      <c r="H22" s="157" t="str"/>
      <c r="I22" s="161" t="n"/>
      <c r="J22" s="161" t="n"/>
      <c r="K22" s="161" t="n"/>
      <c r="L22" s="16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57" t="n"/>
      <c r="B23" s="157" t="n"/>
      <c r="C23" s="157" t="n"/>
      <c r="D23" s="157" t="n"/>
      <c r="E23" s="157" t="n"/>
      <c r="F23" s="157" t="n"/>
      <c r="G23" s="157" t="n"/>
      <c r="H23" s="157" t="n"/>
      <c r="I23" s="161" t="n"/>
      <c r="J23" s="161" t="n"/>
      <c r="K23" s="161" t="n"/>
      <c r="L23" s="161" t="n"/>
      <c r="M23" s="161" t="n"/>
      <c r="N23" s="161" t="n"/>
      <c r="O23" s="161" t="n"/>
      <c r="P23" s="161" t="n"/>
      <c r="Q23" s="161" t="n"/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405" t="inlineStr">
        <is>
          <t>3. Convention de couleurs</t>
        </is>
      </c>
      <c r="B24" s="1" t="n"/>
      <c r="C24" s="1" t="n"/>
      <c r="D24" s="1" t="n"/>
      <c r="E24" s="1" t="n"/>
      <c r="F24" s="1" t="n"/>
      <c r="G24" s="1" t="n"/>
      <c r="H24" s="1" t="n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149" t="inlineStr">
        <is>
          <t>Couleur</t>
        </is>
      </c>
      <c r="B25" s="149" t="inlineStr">
        <is>
          <t>Signification</t>
        </is>
      </c>
      <c r="C25" s="149" t="inlineStr">
        <is>
          <t>Exemple</t>
        </is>
      </c>
      <c r="D25" s="157" t="n"/>
      <c r="E25" s="157" t="n"/>
      <c r="F25" s="157" t="n"/>
      <c r="G25" s="157" t="n"/>
      <c r="H25" s="157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157" t="inlineStr">
        <is>
          <t>Bleu</t>
        </is>
      </c>
      <c r="B26" s="157" t="inlineStr">
        <is>
          <t>Entrée modifiable</t>
        </is>
      </c>
      <c r="C26" s="157" t="inlineStr">
        <is>
          <t>Taux de réussite</t>
        </is>
      </c>
      <c r="D26" s="157" t="n"/>
      <c r="E26" s="157" t="n"/>
      <c r="F26" s="157" t="n"/>
      <c r="G26" s="157" t="n"/>
      <c r="H26" s="157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157" t="inlineStr">
        <is>
          <t>Vert</t>
        </is>
      </c>
      <c r="B27" s="157" t="inlineStr">
        <is>
          <t>Lien vers un autre onglet</t>
        </is>
      </c>
      <c r="C27" s="157" t="inlineStr">
        <is>
          <t>Prix moyen pondéré</t>
        </is>
      </c>
      <c r="D27" s="157" t="n"/>
      <c r="E27" s="157" t="n"/>
      <c r="F27" s="157" t="n"/>
      <c r="G27" s="157" t="n"/>
      <c r="H27" s="157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157" t="inlineStr">
        <is>
          <t>Noir</t>
        </is>
      </c>
      <c r="B28" s="157" t="inlineStr">
        <is>
          <t>Formule locale</t>
        </is>
      </c>
      <c r="C28" s="157" t="inlineStr">
        <is>
          <t>Contribution</t>
        </is>
      </c>
      <c r="D28" s="157" t="n"/>
      <c r="E28" s="157" t="n"/>
      <c r="F28" s="157" t="n"/>
      <c r="G28" s="157" t="n"/>
      <c r="H28" s="157" t="n"/>
      <c r="I28" s="161" t="n"/>
      <c r="J28" s="161" t="n"/>
      <c r="K28" s="161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157" t="inlineStr">
        <is>
          <t>Fond jaune</t>
        </is>
      </c>
      <c r="B29" s="157" t="inlineStr">
        <is>
          <t>Hypothèse critique à confirmer</t>
        </is>
      </c>
      <c r="C29" s="157" t="inlineStr">
        <is>
          <t>Taxe, PSP, FX</t>
        </is>
      </c>
      <c r="D29" s="157" t="n"/>
      <c r="E29" s="157" t="n"/>
      <c r="F29" s="157" t="n"/>
      <c r="G29" s="157" t="n"/>
      <c r="H29" s="157" t="n"/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57" t="inlineStr">
        <is>
          <t>Rouge entre parenthèses</t>
        </is>
      </c>
      <c r="B30" s="157" t="inlineStr">
        <is>
          <t>Valeur négative</t>
        </is>
      </c>
      <c r="C30" s="157" t="inlineStr">
        <is>
          <t>Coût ou sortie de trésorerie</t>
        </is>
      </c>
      <c r="D30" s="157" t="n"/>
      <c r="E30" s="157" t="n"/>
      <c r="F30" s="157" t="n"/>
      <c r="G30" s="157" t="n"/>
      <c r="H30" s="157" t="n"/>
      <c r="I30" s="161" t="n"/>
      <c r="J30" s="161" t="n"/>
      <c r="K30" s="161" t="n"/>
      <c r="L30" s="161" t="n"/>
      <c r="M30" s="161" t="n"/>
      <c r="N30" s="161" t="n"/>
      <c r="O30" s="161" t="n"/>
      <c r="P30" s="161" t="n"/>
      <c r="Q30" s="161" t="n"/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157" t="n"/>
      <c r="B31" s="157" t="n"/>
      <c r="C31" s="157" t="n"/>
      <c r="D31" s="157" t="n"/>
      <c r="E31" s="157" t="n"/>
      <c r="F31" s="157" t="n"/>
      <c r="G31" s="157" t="n"/>
      <c r="H31" s="157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405" t="inlineStr">
        <is>
          <t>4. Lecture des résultats</t>
        </is>
      </c>
      <c r="B32" s="1" t="n"/>
      <c r="C32" s="1" t="n"/>
      <c r="D32" s="1" t="n"/>
      <c r="E32" s="1" t="n"/>
      <c r="F32" s="1" t="n"/>
      <c r="G32" s="1" t="n"/>
      <c r="H32" s="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149" t="inlineStr">
        <is>
          <t>Indicateur</t>
        </is>
      </c>
      <c r="B33" s="149" t="inlineStr">
        <is>
          <t>Interprétation</t>
        </is>
      </c>
      <c r="C33" s="157" t="str"/>
      <c r="D33" s="157" t="str"/>
      <c r="E33" s="157" t="str"/>
      <c r="F33" s="157" t="str"/>
      <c r="G33" s="157" t="str"/>
      <c r="H33" s="157" t="str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1" t="n"/>
      <c r="V33" s="161" t="n"/>
      <c r="W33" s="161" t="n"/>
      <c r="X33" s="161" t="n"/>
      <c r="Y33" s="161" t="n"/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157" t="inlineStr">
        <is>
          <t>Contribution par achat</t>
        </is>
      </c>
      <c r="B34" s="157" t="inlineStr">
        <is>
          <t>Montant restant après coûts variables et payout attendu, avant OPEX fixe.</t>
        </is>
      </c>
      <c r="C34" s="157" t="str"/>
      <c r="D34" s="157" t="str"/>
      <c r="E34" s="157" t="str"/>
      <c r="F34" s="157" t="str"/>
      <c r="G34" s="157" t="str"/>
      <c r="H34" s="157" t="str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157" t="inlineStr">
        <is>
          <t>Break-even mensuel</t>
        </is>
      </c>
      <c r="B35" s="157" t="inlineStr">
        <is>
          <t>Nombre d’achats requis pour couvrir l’OPEX fixe.</t>
        </is>
      </c>
      <c r="C35" s="157" t="str"/>
      <c r="D35" s="157" t="str"/>
      <c r="E35" s="157" t="str"/>
      <c r="F35" s="157" t="str"/>
      <c r="G35" s="157" t="str"/>
      <c r="H35" s="157" t="str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157" t="inlineStr">
        <is>
          <t>Couverture réserve</t>
        </is>
      </c>
      <c r="B36" s="157" t="inlineStr">
        <is>
          <t>Réserve disponible ÷ payouts projetés sur les 30 prochains jours.</t>
        </is>
      </c>
      <c r="C36" s="157" t="str"/>
      <c r="D36" s="157" t="str"/>
      <c r="E36" s="157" t="str"/>
      <c r="F36" s="157" t="str"/>
      <c r="G36" s="157" t="str"/>
      <c r="H36" s="157" t="str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157" t="inlineStr">
        <is>
          <t>Réserve / 1 000 achats</t>
        </is>
      </c>
      <c r="B37" s="157" t="inlineStr">
        <is>
          <t>Réserve prudentielle à 2,0x pour une cohorte de 1 000 achats.</t>
        </is>
      </c>
      <c r="C37" s="157" t="str"/>
      <c r="D37" s="157" t="str"/>
      <c r="E37" s="157" t="str"/>
      <c r="F37" s="157" t="str"/>
      <c r="G37" s="157" t="str"/>
      <c r="H37" s="157" t="str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57" t="inlineStr">
        <is>
          <t>25K Gate</t>
        </is>
      </c>
      <c r="B38" s="157" t="inlineStr">
        <is>
          <t>Ouverture du 25K uniquement si couverture et trésorerie respectent les seuils.</t>
        </is>
      </c>
      <c r="C38" s="157" t="str"/>
      <c r="D38" s="157" t="str"/>
      <c r="E38" s="157" t="str"/>
      <c r="F38" s="157" t="str"/>
      <c r="G38" s="157" t="str"/>
      <c r="H38" s="157" t="str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57" t="inlineStr">
        <is>
          <t>Max safe sales</t>
        </is>
      </c>
      <c r="B39" s="157" t="inlineStr">
        <is>
          <t>Volume conservateur supportable par la réserve actuelle.</t>
        </is>
      </c>
      <c r="C39" s="157" t="str"/>
      <c r="D39" s="157" t="str"/>
      <c r="E39" s="157" t="str"/>
      <c r="F39" s="157" t="str"/>
      <c r="G39" s="157" t="str"/>
      <c r="H39" s="157" t="str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57" t="n"/>
      <c r="B40" s="157" t="n"/>
      <c r="C40" s="157" t="n"/>
      <c r="D40" s="157" t="n"/>
      <c r="E40" s="157" t="n"/>
      <c r="F40" s="157" t="n"/>
      <c r="G40" s="157" t="n"/>
      <c r="H40" s="157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157" t="n"/>
      <c r="B41" s="157" t="n"/>
      <c r="C41" s="157" t="n"/>
      <c r="D41" s="157" t="n"/>
      <c r="E41" s="157" t="n"/>
      <c r="F41" s="157" t="n"/>
      <c r="G41" s="157" t="n"/>
      <c r="H41" s="157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  <c r="S41" s="161" t="n"/>
      <c r="T41" s="161" t="n"/>
      <c r="U41" s="161" t="n"/>
      <c r="V41" s="161" t="n"/>
      <c r="W41" s="161" t="n"/>
      <c r="X41" s="161" t="n"/>
      <c r="Y41" s="16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57" t="n"/>
      <c r="B42" s="157" t="n"/>
      <c r="C42" s="157" t="n"/>
      <c r="D42" s="157" t="n"/>
      <c r="E42" s="157" t="n"/>
      <c r="F42" s="157" t="n"/>
      <c r="G42" s="157" t="n"/>
      <c r="H42" s="157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  <c r="S42" s="161" t="n"/>
      <c r="T42" s="161" t="n"/>
      <c r="U42" s="161" t="n"/>
      <c r="V42" s="161" t="n"/>
      <c r="W42" s="161" t="n"/>
      <c r="X42" s="161" t="n"/>
      <c r="Y42" s="161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57" t="n"/>
      <c r="B43" s="157" t="n"/>
      <c r="C43" s="157" t="n"/>
      <c r="D43" s="157" t="n"/>
      <c r="E43" s="157" t="n"/>
      <c r="F43" s="157" t="n"/>
      <c r="G43" s="157" t="n"/>
      <c r="H43" s="157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57" t="n"/>
      <c r="B44" s="157" t="n"/>
      <c r="C44" s="157" t="n"/>
      <c r="D44" s="157" t="n"/>
      <c r="E44" s="157" t="n"/>
      <c r="F44" s="157" t="n"/>
      <c r="G44" s="157" t="n"/>
      <c r="H44" s="157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57" t="n"/>
      <c r="B45" s="157" t="n"/>
      <c r="C45" s="157" t="n"/>
      <c r="D45" s="157" t="n"/>
      <c r="E45" s="157" t="n"/>
      <c r="F45" s="157" t="n"/>
      <c r="G45" s="157" t="n"/>
      <c r="H45" s="157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157" t="n"/>
      <c r="B46" s="157" t="n"/>
      <c r="C46" s="157" t="n"/>
      <c r="D46" s="157" t="n"/>
      <c r="E46" s="157" t="n"/>
      <c r="F46" s="157" t="n"/>
      <c r="G46" s="157" t="n"/>
      <c r="H46" s="157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57" t="n"/>
      <c r="B47" s="157" t="n"/>
      <c r="C47" s="157" t="n"/>
      <c r="D47" s="157" t="n"/>
      <c r="E47" s="157" t="n"/>
      <c r="F47" s="157" t="n"/>
      <c r="G47" s="157" t="n"/>
      <c r="H47" s="157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157" t="n"/>
      <c r="B48" s="157" t="n"/>
      <c r="C48" s="157" t="n"/>
      <c r="D48" s="157" t="n"/>
      <c r="E48" s="157" t="n"/>
      <c r="F48" s="157" t="n"/>
      <c r="G48" s="157" t="n"/>
      <c r="H48" s="157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57" t="n"/>
      <c r="B49" s="157" t="n"/>
      <c r="C49" s="157" t="n"/>
      <c r="D49" s="157" t="n"/>
      <c r="E49" s="157" t="n"/>
      <c r="F49" s="157" t="n"/>
      <c r="G49" s="157" t="n"/>
      <c r="H49" s="157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57" t="n"/>
      <c r="B50" s="157" t="n"/>
      <c r="C50" s="157" t="n"/>
      <c r="D50" s="157" t="n"/>
      <c r="E50" s="157" t="n"/>
      <c r="F50" s="157" t="n"/>
      <c r="G50" s="157" t="n"/>
      <c r="H50" s="157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6">
    <mergeCell ref="A4:H4"/>
    <mergeCell ref="A24:H24"/>
    <mergeCell ref="A2:H2"/>
    <mergeCell ref="A14:H14"/>
    <mergeCell ref="A1:H1"/>
    <mergeCell ref="A32:H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28" customWidth="1" min="4" max="4"/>
    <col width="13" customWidth="1" min="5" max="5"/>
    <col width="13" customWidth="1" min="6" max="6"/>
    <col width="13" customWidth="1" min="7" max="7"/>
    <col width="36" customWidth="1" min="8" max="8"/>
  </cols>
  <sheetData>
    <row r="1" ht="15" customHeight="1">
      <c r="A1" s="404" t="inlineStr">
        <is>
          <t>WARIBA — Hypothèses et scénarios</t>
        </is>
      </c>
      <c r="B1" s="1" t="n"/>
      <c r="C1" s="1" t="n"/>
      <c r="D1" s="1" t="n"/>
      <c r="E1" s="1" t="n"/>
      <c r="F1" s="1" t="n"/>
      <c r="G1" s="1" t="n"/>
      <c r="H1" s="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  <c r="U1" s="161" t="n"/>
      <c r="V1" s="161" t="n"/>
      <c r="W1" s="161" t="n"/>
      <c r="X1" s="161" t="n"/>
      <c r="Y1" s="16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7" t="inlineStr">
        <is>
          <t>Les valeurs sont des hypothèses de travail. Les cellules bleues doivent être remplacées progressivement par les données de bêta et les devis fournisseurs.</t>
        </is>
      </c>
      <c r="B2" s="1" t="n"/>
      <c r="C2" s="1" t="n"/>
      <c r="D2" s="1" t="n"/>
      <c r="E2" s="1" t="n"/>
      <c r="F2" s="1" t="n"/>
      <c r="G2" s="1" t="n"/>
      <c r="H2" s="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57" t="inlineStr">
        <is>
          <t>Scénario actif</t>
        </is>
      </c>
      <c r="B3" s="406" t="inlineStr">
        <is>
          <t>Base</t>
        </is>
      </c>
      <c r="C3" s="157" t="n"/>
      <c r="D3" s="157" t="n"/>
      <c r="E3" s="157" t="n"/>
      <c r="F3" s="157" t="n"/>
      <c r="G3" s="157" t="n"/>
      <c r="H3" s="157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157" t="n"/>
      <c r="B4" s="157" t="n"/>
      <c r="C4" s="157" t="n"/>
      <c r="D4" s="157" t="n"/>
      <c r="E4" s="157" t="n"/>
      <c r="F4" s="157" t="n"/>
      <c r="G4" s="157" t="n"/>
      <c r="H4" s="157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405" t="inlineStr">
        <is>
          <t>A. Hypothèses économiques</t>
        </is>
      </c>
      <c r="B5" s="1" t="n"/>
      <c r="C5" s="1" t="n"/>
      <c r="D5" s="1" t="n"/>
      <c r="E5" s="1" t="n"/>
      <c r="F5" s="1" t="n"/>
      <c r="G5" s="1" t="n"/>
      <c r="H5" s="1" t="n"/>
      <c r="I5" s="161" t="n"/>
      <c r="J5" s="161" t="n"/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149" t="inlineStr">
        <is>
          <t>Hypothèse</t>
        </is>
      </c>
      <c r="B6" s="149" t="inlineStr">
        <is>
          <t>Valeur active</t>
        </is>
      </c>
      <c r="C6" s="149" t="inlineStr">
        <is>
          <t>Unité</t>
        </is>
      </c>
      <c r="D6" s="149" t="inlineStr">
        <is>
          <t>Source / statut</t>
        </is>
      </c>
      <c r="E6" s="149" t="inlineStr">
        <is>
          <t>Base</t>
        </is>
      </c>
      <c r="F6" s="149" t="inlineStr">
        <is>
          <t>Upside</t>
        </is>
      </c>
      <c r="G6" s="149" t="inlineStr">
        <is>
          <t>Stress</t>
        </is>
      </c>
      <c r="H6" s="149" t="inlineStr">
        <is>
          <t>Commentaire</t>
        </is>
      </c>
      <c r="I6" s="161" t="n"/>
      <c r="J6" s="161" t="n"/>
      <c r="K6" s="161" t="n"/>
      <c r="L6" s="161" t="n"/>
      <c r="M6" s="161" t="n"/>
      <c r="N6" s="161" t="n"/>
      <c r="O6" s="161" t="n"/>
      <c r="P6" s="161" t="n"/>
      <c r="Q6" s="161" t="n"/>
      <c r="R6" s="161" t="n"/>
      <c r="S6" s="161" t="n"/>
      <c r="T6" s="161" t="n"/>
      <c r="U6" s="161" t="n"/>
      <c r="V6" s="161" t="n"/>
      <c r="W6" s="161" t="n"/>
      <c r="X6" s="161" t="n"/>
      <c r="Y6" s="161" t="n"/>
      <c r="Z6" s="161" t="n"/>
      <c r="AA6" s="161" t="n"/>
      <c r="AB6" s="161" t="n"/>
      <c r="AC6" s="161" t="n"/>
      <c r="AD6" s="161" t="n"/>
      <c r="AE6" s="161" t="n"/>
      <c r="AF6" s="161" t="n"/>
      <c r="AG6" s="161" t="n"/>
      <c r="AH6" s="161" t="n"/>
      <c r="AI6" s="161" t="n"/>
      <c r="AJ6" s="161" t="n"/>
      <c r="AK6" s="161" t="n"/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157" t="inlineStr">
        <is>
          <t>Taux de réussite de l’évaluation</t>
        </is>
      </c>
      <c r="B7" s="448">
        <f>IF($B$3="Base",E7,IF($B$3="Upside",F7,G7))</f>
        <v/>
      </c>
      <c r="C7" s="157" t="inlineStr">
        <is>
          <t>% achats</t>
        </is>
      </c>
      <c r="D7" s="157" t="inlineStr">
        <is>
          <t>Management — à calibrer</t>
        </is>
      </c>
      <c r="E7" s="449" t="n">
        <v>0.08</v>
      </c>
      <c r="F7" s="449" t="n">
        <v>0.05</v>
      </c>
      <c r="G7" s="449" t="n">
        <v>0.14</v>
      </c>
      <c r="H7" s="157" t="inlineStr">
        <is>
          <t>Plus le taux augmente, plus la charge payout future augmente.</t>
        </is>
      </c>
      <c r="I7" s="161" t="n"/>
      <c r="J7" s="161" t="n"/>
      <c r="K7" s="161" t="n"/>
      <c r="L7" s="161" t="n"/>
      <c r="M7" s="161" t="n"/>
      <c r="N7" s="161" t="n"/>
      <c r="O7" s="161" t="n"/>
      <c r="P7" s="161" t="n"/>
      <c r="Q7" s="161" t="n"/>
      <c r="R7" s="161" t="n"/>
      <c r="S7" s="161" t="n"/>
      <c r="T7" s="161" t="n"/>
      <c r="U7" s="161" t="n"/>
      <c r="V7" s="161" t="n"/>
      <c r="W7" s="161" t="n"/>
      <c r="X7" s="161" t="n"/>
      <c r="Y7" s="161" t="n"/>
      <c r="Z7" s="161" t="n"/>
      <c r="AA7" s="161" t="n"/>
      <c r="AB7" s="161" t="n"/>
      <c r="AC7" s="161" t="n"/>
      <c r="AD7" s="161" t="n"/>
      <c r="AE7" s="161" t="n"/>
      <c r="AF7" s="161" t="n"/>
      <c r="AG7" s="161" t="n"/>
      <c r="AH7" s="161" t="n"/>
      <c r="AI7" s="161" t="n"/>
      <c r="AJ7" s="161" t="n"/>
      <c r="AK7" s="161" t="n"/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157" t="inlineStr">
        <is>
          <t>Accès au payout #1 après passage</t>
        </is>
      </c>
      <c r="B8" s="448">
        <f>IF($B$3="Base",E8,IF($B$3="Upside",F8,G8))</f>
        <v/>
      </c>
      <c r="C8" s="157" t="inlineStr">
        <is>
          <t>% passés</t>
        </is>
      </c>
      <c r="D8" s="157" t="inlineStr">
        <is>
          <t>Management — à calibrer</t>
        </is>
      </c>
      <c r="E8" s="449" t="n">
        <v>0.35</v>
      </c>
      <c r="F8" s="449" t="n">
        <v>0.25</v>
      </c>
      <c r="G8" s="449" t="n">
        <v>0.5</v>
      </c>
      <c r="H8" s="157" t="inlineStr">
        <is>
          <t>Part des comptes Performance atteignant le premier payout.</t>
        </is>
      </c>
      <c r="I8" s="161" t="n"/>
      <c r="J8" s="161" t="n"/>
      <c r="K8" s="161" t="n"/>
      <c r="L8" s="161" t="n"/>
      <c r="M8" s="161" t="n"/>
      <c r="N8" s="161" t="n"/>
      <c r="O8" s="161" t="n"/>
      <c r="P8" s="161" t="n"/>
      <c r="Q8" s="161" t="n"/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157" t="inlineStr">
        <is>
          <t>Transition payout #1 → #2</t>
        </is>
      </c>
      <c r="B9" s="448">
        <f>IF($B$3="Base",E9,IF($B$3="Upside",F9,G9))</f>
        <v/>
      </c>
      <c r="C9" s="157" t="inlineStr">
        <is>
          <t>%</t>
        </is>
      </c>
      <c r="D9" s="157" t="inlineStr">
        <is>
          <t>Management — à calibrer</t>
        </is>
      </c>
      <c r="E9" s="449" t="n">
        <v>0.55</v>
      </c>
      <c r="F9" s="449" t="n">
        <v>0.45</v>
      </c>
      <c r="G9" s="449" t="n">
        <v>0.65</v>
      </c>
      <c r="H9" s="157" t="str"/>
      <c r="I9" s="161" t="n"/>
      <c r="J9" s="161" t="n"/>
      <c r="K9" s="161" t="n"/>
      <c r="L9" s="161" t="n"/>
      <c r="M9" s="161" t="n"/>
      <c r="N9" s="161" t="n"/>
      <c r="O9" s="161" t="n"/>
      <c r="P9" s="161" t="n"/>
      <c r="Q9" s="161" t="n"/>
      <c r="R9" s="161" t="n"/>
      <c r="S9" s="161" t="n"/>
      <c r="T9" s="161" t="n"/>
      <c r="U9" s="161" t="n"/>
      <c r="V9" s="161" t="n"/>
      <c r="W9" s="161" t="n"/>
      <c r="X9" s="161" t="n"/>
      <c r="Y9" s="161" t="n"/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157" t="inlineStr">
        <is>
          <t>Transition payout #2 → #3</t>
        </is>
      </c>
      <c r="B10" s="448">
        <f>IF($B$3="Base",E10,IF($B$3="Upside",F10,G10))</f>
        <v/>
      </c>
      <c r="C10" s="157" t="inlineStr">
        <is>
          <t>%</t>
        </is>
      </c>
      <c r="D10" s="157" t="inlineStr">
        <is>
          <t>Management — à calibrer</t>
        </is>
      </c>
      <c r="E10" s="449" t="n">
        <v>0.5</v>
      </c>
      <c r="F10" s="449" t="n">
        <v>0.4</v>
      </c>
      <c r="G10" s="449" t="n">
        <v>0.6</v>
      </c>
      <c r="H10" s="157" t="str"/>
      <c r="I10" s="161" t="n"/>
      <c r="J10" s="161" t="n"/>
      <c r="K10" s="161" t="n"/>
      <c r="L10" s="161" t="n"/>
      <c r="M10" s="161" t="n"/>
      <c r="N10" s="161" t="n"/>
      <c r="O10" s="161" t="n"/>
      <c r="P10" s="161" t="n"/>
      <c r="Q10" s="161" t="n"/>
      <c r="R10" s="161" t="n"/>
      <c r="S10" s="161" t="n"/>
      <c r="T10" s="161" t="n"/>
      <c r="U10" s="161" t="n"/>
      <c r="V10" s="161" t="n"/>
      <c r="W10" s="161" t="n"/>
      <c r="X10" s="161" t="n"/>
      <c r="Y10" s="161" t="n"/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157" t="inlineStr">
        <is>
          <t>Transition payout #3 → #4</t>
        </is>
      </c>
      <c r="B11" s="448">
        <f>IF($B$3="Base",E11,IF($B$3="Upside",F11,G11))</f>
        <v/>
      </c>
      <c r="C11" s="157" t="inlineStr">
        <is>
          <t>%</t>
        </is>
      </c>
      <c r="D11" s="157" t="inlineStr">
        <is>
          <t>Management — à calibrer</t>
        </is>
      </c>
      <c r="E11" s="449" t="n">
        <v>0.45</v>
      </c>
      <c r="F11" s="449" t="n">
        <v>0.35</v>
      </c>
      <c r="G11" s="449" t="n">
        <v>0.55</v>
      </c>
      <c r="H11" s="157" t="str"/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157" t="inlineStr">
        <is>
          <t>Transition payout #4 → #5</t>
        </is>
      </c>
      <c r="B12" s="448">
        <f>IF($B$3="Base",E12,IF($B$3="Upside",F12,G12))</f>
        <v/>
      </c>
      <c r="C12" s="157" t="inlineStr">
        <is>
          <t>%</t>
        </is>
      </c>
      <c r="D12" s="157" t="inlineStr">
        <is>
          <t>Management — à calibrer</t>
        </is>
      </c>
      <c r="E12" s="449" t="n">
        <v>0.4</v>
      </c>
      <c r="F12" s="449" t="n">
        <v>0.3</v>
      </c>
      <c r="G12" s="449" t="n">
        <v>0.5</v>
      </c>
      <c r="H12" s="157" t="str"/>
      <c r="I12" s="161" t="n"/>
      <c r="J12" s="161" t="n"/>
      <c r="K12" s="161" t="n"/>
      <c r="L12" s="16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157" t="inlineStr">
        <is>
          <t>Utilisation moyenne des caps</t>
        </is>
      </c>
      <c r="B13" s="448">
        <f>IF($B$3="Base",E13,IF($B$3="Upside",F13,G13))</f>
        <v/>
      </c>
      <c r="C13" s="157" t="inlineStr">
        <is>
          <t>% cap</t>
        </is>
      </c>
      <c r="D13" s="157" t="inlineStr">
        <is>
          <t>Management — à calibrer</t>
        </is>
      </c>
      <c r="E13" s="449" t="n">
        <v>0.7</v>
      </c>
      <c r="F13" s="449" t="n">
        <v>0.55</v>
      </c>
      <c r="G13" s="449" t="n">
        <v>0.9</v>
      </c>
      <c r="H13" s="157" t="inlineStr">
        <is>
          <t>Payout Base moyen en % du cap applicable.</t>
        </is>
      </c>
      <c r="I13" s="161" t="n"/>
      <c r="J13" s="161" t="n"/>
      <c r="K13" s="161" t="n"/>
      <c r="L13" s="161" t="n"/>
      <c r="M13" s="161" t="n"/>
      <c r="N13" s="161" t="n"/>
      <c r="O13" s="161" t="n"/>
      <c r="P13" s="161" t="n"/>
      <c r="Q13" s="161" t="n"/>
      <c r="R13" s="161" t="n"/>
      <c r="S13" s="161" t="n"/>
      <c r="T13" s="161" t="n"/>
      <c r="U13" s="161" t="n"/>
      <c r="V13" s="161" t="n"/>
      <c r="W13" s="161" t="n"/>
      <c r="X13" s="161" t="n"/>
      <c r="Y13" s="161" t="n"/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157" t="inlineStr">
        <is>
          <t>Remboursements / chargebacks</t>
        </is>
      </c>
      <c r="B14" s="448">
        <f>IF($B$3="Base",E14,IF($B$3="Upside",F14,G14))</f>
        <v/>
      </c>
      <c r="C14" s="157" t="inlineStr">
        <is>
          <t>% CA</t>
        </is>
      </c>
      <c r="D14" s="157" t="inlineStr">
        <is>
          <t>PSP réel requis</t>
        </is>
      </c>
      <c r="E14" s="449" t="n">
        <v>0.015</v>
      </c>
      <c r="F14" s="449" t="n">
        <v>0.01</v>
      </c>
      <c r="G14" s="449" t="n">
        <v>0.03</v>
      </c>
      <c r="H14" s="157" t="str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409" t="inlineStr">
        <is>
          <t>Frais PSP encaissement</t>
        </is>
      </c>
      <c r="B15" s="450">
        <f>IF($B$3="Base",E15,IF($B$3="Upside",F15,G15))</f>
        <v/>
      </c>
      <c r="C15" s="409" t="inlineStr">
        <is>
          <t>% encaissement</t>
        </is>
      </c>
      <c r="D15" s="409" t="inlineStr">
        <is>
          <t>Devis PSP requis</t>
        </is>
      </c>
      <c r="E15" s="451" t="n">
        <v>0.035</v>
      </c>
      <c r="F15" s="451" t="n">
        <v>0.03</v>
      </c>
      <c r="G15" s="451" t="n">
        <v>0.045</v>
      </c>
      <c r="H15" s="409" t="str"/>
      <c r="I15" s="161" t="n"/>
      <c r="J15" s="161" t="n"/>
      <c r="K15" s="161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157" t="inlineStr">
        <is>
          <t>CAC moyen par nouvel acheteur</t>
        </is>
      </c>
      <c r="B16" s="452">
        <f>IF($B$3="Base",E16,IF($B$3="Upside",F16,G16))</f>
        <v/>
      </c>
      <c r="C16" s="157" t="inlineStr">
        <is>
          <t>FCFA</t>
        </is>
      </c>
      <c r="D16" s="157" t="inlineStr">
        <is>
          <t>Management — à calibrer</t>
        </is>
      </c>
      <c r="E16" s="453" t="n">
        <v>4500</v>
      </c>
      <c r="F16" s="453" t="n">
        <v>3500</v>
      </c>
      <c r="G16" s="453" t="n">
        <v>7000</v>
      </c>
      <c r="H16" s="157" t="str"/>
      <c r="I16" s="161" t="n"/>
      <c r="J16" s="161" t="n"/>
      <c r="K16" s="161" t="n"/>
      <c r="L16" s="161" t="n"/>
      <c r="M16" s="161" t="n"/>
      <c r="N16" s="161" t="n"/>
      <c r="O16" s="161" t="n"/>
      <c r="P16" s="161" t="n"/>
      <c r="Q16" s="161" t="n"/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157" t="inlineStr">
        <is>
          <t>Support variable par achat</t>
        </is>
      </c>
      <c r="B17" s="452">
        <f>IF($B$3="Base",E17,IF($B$3="Upside",F17,G17))</f>
        <v/>
      </c>
      <c r="C17" s="157" t="inlineStr">
        <is>
          <t>FCFA</t>
        </is>
      </c>
      <c r="D17" s="157" t="inlineStr">
        <is>
          <t>Management — à calibrer</t>
        </is>
      </c>
      <c r="E17" s="453" t="n">
        <v>700</v>
      </c>
      <c r="F17" s="453" t="n">
        <v>500</v>
      </c>
      <c r="G17" s="453" t="n">
        <v>1000</v>
      </c>
      <c r="H17" s="157" t="str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  <c r="S17" s="161" t="n"/>
      <c r="T17" s="161" t="n"/>
      <c r="U17" s="161" t="n"/>
      <c r="V17" s="161" t="n"/>
      <c r="W17" s="161" t="n"/>
      <c r="X17" s="161" t="n"/>
      <c r="Y17" s="161" t="n"/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15" customHeight="1">
      <c r="A18" s="157" t="inlineStr">
        <is>
          <t>KYC / contrôle par compte réussi</t>
        </is>
      </c>
      <c r="B18" s="452">
        <f>IF($B$3="Base",E18,IF($B$3="Upside",F18,G18))</f>
        <v/>
      </c>
      <c r="C18" s="157" t="inlineStr">
        <is>
          <t>FCFA</t>
        </is>
      </c>
      <c r="D18" s="157" t="inlineStr">
        <is>
          <t>Devis fournisseur requis</t>
        </is>
      </c>
      <c r="E18" s="453" t="n">
        <v>2000</v>
      </c>
      <c r="F18" s="453" t="n">
        <v>1500</v>
      </c>
      <c r="G18" s="453" t="n">
        <v>3000</v>
      </c>
      <c r="H18" s="157" t="str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15" customHeight="1">
      <c r="A19" s="409" t="inlineStr">
        <is>
          <t>Frais de transfert payout</t>
        </is>
      </c>
      <c r="B19" s="450">
        <f>IF($B$3="Base",E19,IF($B$3="Upside",F19,G19))</f>
        <v/>
      </c>
      <c r="C19" s="409" t="inlineStr">
        <is>
          <t>% trader cash</t>
        </is>
      </c>
      <c r="D19" s="409" t="inlineStr">
        <is>
          <t>Devis rail payout requis</t>
        </is>
      </c>
      <c r="E19" s="451" t="n">
        <v>0.02</v>
      </c>
      <c r="F19" s="451" t="n">
        <v>0.015</v>
      </c>
      <c r="G19" s="451" t="n">
        <v>0.03</v>
      </c>
      <c r="H19" s="409" t="str"/>
      <c r="I19" s="161" t="n"/>
      <c r="J19" s="161" t="n"/>
      <c r="K19" s="161" t="n"/>
      <c r="L19" s="16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15" customHeight="1">
      <c r="A20" s="157" t="inlineStr">
        <is>
          <t>Pertes fraude / paiement</t>
        </is>
      </c>
      <c r="B20" s="448">
        <f>IF($B$3="Base",E20,IF($B$3="Upside",F20,G20))</f>
        <v/>
      </c>
      <c r="C20" s="157" t="inlineStr">
        <is>
          <t>% CA</t>
        </is>
      </c>
      <c r="D20" s="157" t="inlineStr">
        <is>
          <t>Management — à calibrer</t>
        </is>
      </c>
      <c r="E20" s="449" t="n">
        <v>0.005</v>
      </c>
      <c r="F20" s="449" t="n">
        <v>0.002</v>
      </c>
      <c r="G20" s="449" t="n">
        <v>0.015</v>
      </c>
      <c r="H20" s="157" t="str"/>
      <c r="I20" s="161" t="n"/>
      <c r="J20" s="161" t="n"/>
      <c r="K20" s="161" t="n"/>
      <c r="L20" s="16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15" customHeight="1">
      <c r="A21" s="157" t="inlineStr">
        <is>
          <t>Commission affiliation</t>
        </is>
      </c>
      <c r="B21" s="448">
        <f>IF($B$3="Base",E21,IF($B$3="Upside",F21,G21))</f>
        <v/>
      </c>
      <c r="C21" s="157" t="inlineStr">
        <is>
          <t>% CA</t>
        </is>
      </c>
      <c r="D21" s="157" t="inlineStr">
        <is>
          <t>Affiliation différée V1</t>
        </is>
      </c>
      <c r="E21" s="449" t="n">
        <v>0</v>
      </c>
      <c r="F21" s="449" t="n">
        <v>0</v>
      </c>
      <c r="G21" s="449" t="n">
        <v>0</v>
      </c>
      <c r="H21" s="157" t="inlineStr">
        <is>
          <t>Mettre à jour uniquement après preuve opérationnelle.</t>
        </is>
      </c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15" customHeight="1">
      <c r="A22" s="157" t="inlineStr">
        <is>
          <t>Repurchase mensuel</t>
        </is>
      </c>
      <c r="B22" s="448">
        <f>IF($B$3="Base",E22,IF($B$3="Upside",F22,G22))</f>
        <v/>
      </c>
      <c r="C22" s="157" t="inlineStr">
        <is>
          <t>% achats mois précédent échoués</t>
        </is>
      </c>
      <c r="D22" s="157" t="inlineStr">
        <is>
          <t>Management — à calibrer</t>
        </is>
      </c>
      <c r="E22" s="449" t="n">
        <v>0.25</v>
      </c>
      <c r="F22" s="449" t="n">
        <v>0.15</v>
      </c>
      <c r="G22" s="449" t="n">
        <v>0.4</v>
      </c>
      <c r="H22" s="157" t="inlineStr">
        <is>
          <t>Le modèle ne doit pas dépendre des échecs répétés.</t>
        </is>
      </c>
      <c r="I22" s="161" t="n"/>
      <c r="J22" s="161" t="n"/>
      <c r="K22" s="161" t="n"/>
      <c r="L22" s="16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57" t="inlineStr">
        <is>
          <t>Part des encaissements versée en réserve</t>
        </is>
      </c>
      <c r="B23" s="448">
        <f>IF($B$3="Base",E23,IF($B$3="Upside",F23,G23))</f>
        <v/>
      </c>
      <c r="C23" s="157" t="inlineStr">
        <is>
          <t>% cash net</t>
        </is>
      </c>
      <c r="D23" s="157" t="inlineStr">
        <is>
          <t>Politique trésorerie</t>
        </is>
      </c>
      <c r="E23" s="449" t="n">
        <v>0.35</v>
      </c>
      <c r="F23" s="449" t="n">
        <v>0.3</v>
      </c>
      <c r="G23" s="449" t="n">
        <v>0.45</v>
      </c>
      <c r="H23" s="157" t="str"/>
      <c r="I23" s="161" t="n"/>
      <c r="J23" s="161" t="n"/>
      <c r="K23" s="161" t="n"/>
      <c r="L23" s="161" t="n"/>
      <c r="M23" s="161" t="n"/>
      <c r="N23" s="161" t="n"/>
      <c r="O23" s="161" t="n"/>
      <c r="P23" s="161" t="n"/>
      <c r="Q23" s="161" t="n"/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157" t="inlineStr">
        <is>
          <t>OPEX fixe mensuel</t>
        </is>
      </c>
      <c r="B24" s="452">
        <f>IF($B$3="Base",E24,IF($B$3="Upside",F24,G24))</f>
        <v/>
      </c>
      <c r="C24" s="157" t="inlineStr">
        <is>
          <t>FCFA / mois</t>
        </is>
      </c>
      <c r="D24" s="157" t="inlineStr">
        <is>
          <t>Infra + équipe + données + juridique</t>
        </is>
      </c>
      <c r="E24" s="453" t="n">
        <v>900000</v>
      </c>
      <c r="F24" s="453" t="n">
        <v>700000</v>
      </c>
      <c r="G24" s="453" t="n">
        <v>1300000</v>
      </c>
      <c r="H24" s="157" t="str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409" t="inlineStr">
        <is>
          <t>Provision fiscale</t>
        </is>
      </c>
      <c r="B25" s="450">
        <f>IF($B$3="Base",E25,IF($B$3="Upside",F25,G25))</f>
        <v/>
      </c>
      <c r="C25" s="409" t="inlineStr">
        <is>
          <t>% CA</t>
        </is>
      </c>
      <c r="D25" s="409" t="inlineStr">
        <is>
          <t>À confirmer par conseil fiscal</t>
        </is>
      </c>
      <c r="E25" s="451" t="n">
        <v>0</v>
      </c>
      <c r="F25" s="451" t="n">
        <v>0</v>
      </c>
      <c r="G25" s="451" t="n">
        <v>0.05</v>
      </c>
      <c r="H25" s="409" t="inlineStr">
        <is>
          <t>Hypothèse critique — ne pas interpréter comme avis fiscal.</t>
        </is>
      </c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157" t="n"/>
      <c r="B26" s="157" t="n"/>
      <c r="C26" s="157" t="n"/>
      <c r="D26" s="157" t="n"/>
      <c r="E26" s="157" t="n"/>
      <c r="F26" s="157" t="n"/>
      <c r="G26" s="157" t="n"/>
      <c r="H26" s="157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157" t="n"/>
      <c r="B27" s="157" t="n"/>
      <c r="C27" s="157" t="n"/>
      <c r="D27" s="157" t="n"/>
      <c r="E27" s="157" t="n"/>
      <c r="F27" s="157" t="n"/>
      <c r="G27" s="157" t="n"/>
      <c r="H27" s="157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405" t="inlineStr">
        <is>
          <t>B. Produits, prix et caps</t>
        </is>
      </c>
      <c r="B28" s="1" t="n"/>
      <c r="C28" s="1" t="n"/>
      <c r="D28" s="1" t="n"/>
      <c r="E28" s="1" t="n"/>
      <c r="F28" s="1" t="n"/>
      <c r="G28" s="1" t="n"/>
      <c r="H28" s="1" t="n"/>
      <c r="I28" s="161" t="n"/>
      <c r="J28" s="161" t="n"/>
      <c r="K28" s="161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149" t="inlineStr">
        <is>
          <t>Compte</t>
        </is>
      </c>
      <c r="B29" s="149" t="inlineStr">
        <is>
          <t>Prix (FCFA)</t>
        </is>
      </c>
      <c r="C29" s="149" t="inlineStr">
        <is>
          <t>Mix ventes</t>
        </is>
      </c>
      <c r="D29" s="149" t="inlineStr">
        <is>
          <t>Statut</t>
        </is>
      </c>
      <c r="E29" s="149" t="inlineStr">
        <is>
          <t>Cap P1–P2 (USD)</t>
        </is>
      </c>
      <c r="F29" s="149" t="inlineStr">
        <is>
          <t>Cap P3–P4 (USD)</t>
        </is>
      </c>
      <c r="G29" s="149" t="inlineStr">
        <is>
          <t>Cap P5 (USD)</t>
        </is>
      </c>
      <c r="H29" s="149" t="inlineStr">
        <is>
          <t>Nominal (USD)</t>
        </is>
      </c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57" t="inlineStr">
        <is>
          <t>5K</t>
        </is>
      </c>
      <c r="B30" s="453" t="n">
        <v>22500</v>
      </c>
      <c r="C30" s="449" t="n">
        <v>0.45</v>
      </c>
      <c r="D30" s="157" t="inlineStr">
        <is>
          <t>CANDIDATE</t>
        </is>
      </c>
      <c r="E30" s="453" t="n">
        <v>100</v>
      </c>
      <c r="F30" s="453" t="n">
        <v>150</v>
      </c>
      <c r="G30" s="453" t="n">
        <v>250</v>
      </c>
      <c r="H30" s="453" t="n">
        <v>5000</v>
      </c>
      <c r="I30" s="161" t="n"/>
      <c r="J30" s="161" t="n"/>
      <c r="K30" s="161" t="n"/>
      <c r="L30" s="161" t="n"/>
      <c r="M30" s="161" t="n"/>
      <c r="N30" s="161" t="n"/>
      <c r="O30" s="161" t="n"/>
      <c r="P30" s="161" t="n"/>
      <c r="Q30" s="161" t="n"/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157" t="inlineStr">
        <is>
          <t>10K</t>
        </is>
      </c>
      <c r="B31" s="453" t="n">
        <v>39900</v>
      </c>
      <c r="C31" s="449" t="n">
        <v>0.45</v>
      </c>
      <c r="D31" s="157" t="inlineStr">
        <is>
          <t>CANDIDATE — principal</t>
        </is>
      </c>
      <c r="E31" s="453" t="n">
        <v>200</v>
      </c>
      <c r="F31" s="453" t="n">
        <v>300</v>
      </c>
      <c r="G31" s="453" t="n">
        <v>500</v>
      </c>
      <c r="H31" s="453" t="n">
        <v>10000</v>
      </c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157" t="inlineStr">
        <is>
          <t>25K</t>
        </is>
      </c>
      <c r="B32" s="453" t="n">
        <v>84900</v>
      </c>
      <c r="C32" s="449" t="n">
        <v>0.1</v>
      </c>
      <c r="D32" s="157" t="inlineStr">
        <is>
          <t>CANDIDATE — désactivé (feature flag)</t>
        </is>
      </c>
      <c r="E32" s="453" t="n">
        <v>400</v>
      </c>
      <c r="F32" s="453" t="n">
        <v>600</v>
      </c>
      <c r="G32" s="453" t="n">
        <v>1000</v>
      </c>
      <c r="H32" s="453" t="n">
        <v>25000</v>
      </c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157" t="n"/>
      <c r="B33" s="157" t="n"/>
      <c r="C33" s="157" t="n"/>
      <c r="D33" s="157" t="n"/>
      <c r="E33" s="157" t="n"/>
      <c r="F33" s="157" t="n"/>
      <c r="G33" s="157" t="n"/>
      <c r="H33" s="157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1" t="n"/>
      <c r="V33" s="161" t="n"/>
      <c r="W33" s="161" t="n"/>
      <c r="X33" s="161" t="n"/>
      <c r="Y33" s="161" t="n"/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149" t="inlineStr">
        <is>
          <t>Hypothèse</t>
        </is>
      </c>
      <c r="B34" s="149" t="inlineStr">
        <is>
          <t>Valeur</t>
        </is>
      </c>
      <c r="C34" s="149" t="inlineStr">
        <is>
          <t>Unité</t>
        </is>
      </c>
      <c r="D34" s="149" t="inlineStr">
        <is>
          <t>Source / statut</t>
        </is>
      </c>
      <c r="E34" s="157" t="n"/>
      <c r="F34" s="157" t="n"/>
      <c r="G34" s="157" t="n"/>
      <c r="H34" s="157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409" t="inlineStr">
        <is>
          <t>Taux de change FCFA / USD</t>
        </is>
      </c>
      <c r="B35" s="454" t="n">
        <v>600</v>
      </c>
      <c r="C35" s="409" t="inlineStr">
        <is>
          <t>FCFA par USD</t>
        </is>
      </c>
      <c r="D35" s="409" t="inlineStr">
        <is>
          <t>Hypothèse arrondie — mise à jour obligatoire</t>
        </is>
      </c>
      <c r="E35" s="157" t="n"/>
      <c r="F35" s="157" t="n"/>
      <c r="G35" s="157" t="n"/>
      <c r="H35" s="157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157" t="inlineStr">
        <is>
          <t>Trésorerie d’exploitation initiale</t>
        </is>
      </c>
      <c r="B36" s="453" t="n">
        <v>1000000</v>
      </c>
      <c r="C36" s="157" t="inlineStr">
        <is>
          <t>FCFA</t>
        </is>
      </c>
      <c r="D36" s="157" t="inlineStr">
        <is>
          <t>Management</t>
        </is>
      </c>
      <c r="E36" s="157" t="n"/>
      <c r="F36" s="157" t="n"/>
      <c r="G36" s="157" t="n"/>
      <c r="H36" s="157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157" t="inlineStr">
        <is>
          <t>Réserve payout initiale</t>
        </is>
      </c>
      <c r="B37" s="453" t="n">
        <v>2000000</v>
      </c>
      <c r="C37" s="157" t="inlineStr">
        <is>
          <t>FCFA</t>
        </is>
      </c>
      <c r="D37" s="157" t="inlineStr">
        <is>
          <t>Management</t>
        </is>
      </c>
      <c r="E37" s="157" t="n"/>
      <c r="F37" s="157" t="n"/>
      <c r="G37" s="157" t="n"/>
      <c r="H37" s="157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57" t="inlineStr">
        <is>
          <t>Couverture cible</t>
        </is>
      </c>
      <c r="B38" s="455" t="n">
        <v>2</v>
      </c>
      <c r="C38" s="157" t="inlineStr">
        <is>
          <t>x payouts 30j</t>
        </is>
      </c>
      <c r="D38" s="157" t="inlineStr">
        <is>
          <t>Rulebook v1.0</t>
        </is>
      </c>
      <c r="E38" s="157" t="n"/>
      <c r="F38" s="157" t="n"/>
      <c r="G38" s="157" t="n"/>
      <c r="H38" s="157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57" t="n"/>
      <c r="B39" s="157" t="n"/>
      <c r="C39" s="157" t="n"/>
      <c r="D39" s="157" t="n"/>
      <c r="E39" s="157" t="n"/>
      <c r="F39" s="157" t="n"/>
      <c r="G39" s="157" t="n"/>
      <c r="H39" s="157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57" t="n"/>
      <c r="B40" s="157" t="n"/>
      <c r="C40" s="157" t="n"/>
      <c r="D40" s="157" t="n"/>
      <c r="E40" s="157" t="n"/>
      <c r="F40" s="157" t="n"/>
      <c r="G40" s="157" t="n"/>
      <c r="H40" s="157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405" t="inlineStr">
        <is>
          <t>C. Nouveaux acheteurs mensuels — scénario de lancement</t>
        </is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49" t="inlineStr">
        <is>
          <t>Mois</t>
        </is>
      </c>
      <c r="B42" s="149" t="inlineStr">
        <is>
          <t>M1</t>
        </is>
      </c>
      <c r="C42" s="149" t="inlineStr">
        <is>
          <t>M2</t>
        </is>
      </c>
      <c r="D42" s="149" t="inlineStr">
        <is>
          <t>M3</t>
        </is>
      </c>
      <c r="E42" s="149" t="inlineStr">
        <is>
          <t>M4</t>
        </is>
      </c>
      <c r="F42" s="149" t="inlineStr">
        <is>
          <t>M5</t>
        </is>
      </c>
      <c r="G42" s="149" t="inlineStr">
        <is>
          <t>M6</t>
        </is>
      </c>
      <c r="H42" s="149" t="inlineStr">
        <is>
          <t>M7</t>
        </is>
      </c>
      <c r="I42" s="164" t="inlineStr">
        <is>
          <t>M8</t>
        </is>
      </c>
      <c r="J42" s="164" t="inlineStr">
        <is>
          <t>M9</t>
        </is>
      </c>
      <c r="K42" s="164" t="inlineStr">
        <is>
          <t>M10</t>
        </is>
      </c>
      <c r="L42" s="164" t="inlineStr">
        <is>
          <t>M11</t>
        </is>
      </c>
      <c r="M42" s="164" t="inlineStr">
        <is>
          <t>M12</t>
        </is>
      </c>
      <c r="N42" s="164" t="inlineStr">
        <is>
          <t>M13</t>
        </is>
      </c>
      <c r="O42" s="164" t="inlineStr">
        <is>
          <t>M14</t>
        </is>
      </c>
      <c r="P42" s="164" t="inlineStr">
        <is>
          <t>M15</t>
        </is>
      </c>
      <c r="Q42" s="164" t="inlineStr">
        <is>
          <t>M16</t>
        </is>
      </c>
      <c r="R42" s="164" t="inlineStr">
        <is>
          <t>M17</t>
        </is>
      </c>
      <c r="S42" s="164" t="inlineStr">
        <is>
          <t>M18</t>
        </is>
      </c>
      <c r="T42" s="164" t="inlineStr">
        <is>
          <t>M19</t>
        </is>
      </c>
      <c r="U42" s="164" t="inlineStr">
        <is>
          <t>M20</t>
        </is>
      </c>
      <c r="V42" s="164" t="inlineStr">
        <is>
          <t>M21</t>
        </is>
      </c>
      <c r="W42" s="164" t="inlineStr">
        <is>
          <t>M22</t>
        </is>
      </c>
      <c r="X42" s="164" t="inlineStr">
        <is>
          <t>M23</t>
        </is>
      </c>
      <c r="Y42" s="164" t="inlineStr">
        <is>
          <t>M24</t>
        </is>
      </c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57" t="inlineStr">
        <is>
          <t>Nouveaux acheteurs</t>
        </is>
      </c>
      <c r="B43" s="453" t="n">
        <v>25</v>
      </c>
      <c r="C43" s="453" t="n">
        <v>40</v>
      </c>
      <c r="D43" s="453" t="n">
        <v>60</v>
      </c>
      <c r="E43" s="453" t="n">
        <v>80</v>
      </c>
      <c r="F43" s="453" t="n">
        <v>100</v>
      </c>
      <c r="G43" s="453" t="n">
        <v>130</v>
      </c>
      <c r="H43" s="453" t="n">
        <v>160</v>
      </c>
      <c r="I43" s="456" t="n">
        <v>200</v>
      </c>
      <c r="J43" s="456" t="n">
        <v>240</v>
      </c>
      <c r="K43" s="456" t="n">
        <v>280</v>
      </c>
      <c r="L43" s="456" t="n">
        <v>320</v>
      </c>
      <c r="M43" s="456" t="n">
        <v>360</v>
      </c>
      <c r="N43" s="456" t="n">
        <v>400</v>
      </c>
      <c r="O43" s="456" t="n">
        <v>450</v>
      </c>
      <c r="P43" s="456" t="n">
        <v>500</v>
      </c>
      <c r="Q43" s="456" t="n">
        <v>550</v>
      </c>
      <c r="R43" s="456" t="n">
        <v>600</v>
      </c>
      <c r="S43" s="456" t="n">
        <v>650</v>
      </c>
      <c r="T43" s="456" t="n">
        <v>700</v>
      </c>
      <c r="U43" s="456" t="n">
        <v>750</v>
      </c>
      <c r="V43" s="456" t="n">
        <v>800</v>
      </c>
      <c r="W43" s="456" t="n">
        <v>850</v>
      </c>
      <c r="X43" s="456" t="n">
        <v>900</v>
      </c>
      <c r="Y43" s="456" t="n">
        <v>1000</v>
      </c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457" t="inlineStr">
        <is>
          <t>D. Grille candidate v1.1 — référence (5 paliers)</t>
        </is>
      </c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61" t="inlineStr">
        <is>
          <t>Non câblé dans les formules ci-dessus (limitées à 5K/10K/25K) — référence en attendant l’extension du modèle par le WARIBA Actuarial &amp; Risk Model v1.0.</t>
        </is>
      </c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457" t="inlineStr">
        <is>
          <t>Compte</t>
        </is>
      </c>
      <c r="B48" s="457" t="inlineStr">
        <is>
          <t>Prix public (FCFA)</t>
        </is>
      </c>
      <c r="C48" s="457" t="inlineStr">
        <is>
          <t>Prix fondateur (FCFA)</t>
        </is>
      </c>
      <c r="D48" s="457" t="inlineStr">
        <is>
          <t>Équivalent USD indicatif</t>
        </is>
      </c>
      <c r="E48" s="457" t="inlineStr">
        <is>
          <t>Statut</t>
        </is>
      </c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61" t="inlineStr">
        <is>
          <t>5K</t>
        </is>
      </c>
      <c r="B49" s="458" t="n">
        <v>22500</v>
      </c>
      <c r="C49" s="458" t="n">
        <v>16900</v>
      </c>
      <c r="D49" s="161" t="inlineStr">
        <is>
          <t>≈ 39 USD</t>
        </is>
      </c>
      <c r="E49" s="161" t="inlineStr">
        <is>
          <t>CANDIDATE</t>
        </is>
      </c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61" t="inlineStr">
        <is>
          <t>10K</t>
        </is>
      </c>
      <c r="B50" s="458" t="n">
        <v>39900</v>
      </c>
      <c r="C50" s="458" t="n">
        <v>34900</v>
      </c>
      <c r="D50" s="161" t="inlineStr">
        <is>
          <t>≈ 69 USD</t>
        </is>
      </c>
      <c r="E50" s="161" t="inlineStr">
        <is>
          <t>CANDIDATE — principal</t>
        </is>
      </c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inlineStr">
        <is>
          <t>25K</t>
        </is>
      </c>
      <c r="B51" s="458" t="n">
        <v>84900</v>
      </c>
      <c r="C51" s="458" t="n">
        <v>74900</v>
      </c>
      <c r="D51" s="161" t="inlineStr">
        <is>
          <t>≈ 148 USD</t>
        </is>
      </c>
      <c r="E51" s="161" t="inlineStr">
        <is>
          <t>CANDIDATE — désactivé (feature flag)</t>
        </is>
      </c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inlineStr">
        <is>
          <t>50K</t>
        </is>
      </c>
      <c r="B52" s="458" t="n">
        <v>144900</v>
      </c>
      <c r="C52" s="458" t="n">
        <v>124900</v>
      </c>
      <c r="D52" s="161" t="inlineStr">
        <is>
          <t>≈ 252 USD</t>
        </is>
      </c>
      <c r="E52" s="161" t="inlineStr">
        <is>
          <t>CANDIDATE — désactivé (feature flag)</t>
        </is>
      </c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inlineStr">
        <is>
          <t>100K</t>
        </is>
      </c>
      <c r="B53" s="458" t="n">
        <v>259900</v>
      </c>
      <c r="C53" s="458" t="n">
        <v>229900</v>
      </c>
      <c r="D53" s="161" t="inlineStr">
        <is>
          <t>≈ 452 USD</t>
        </is>
      </c>
      <c r="E53" s="161" t="inlineStr">
        <is>
          <t>CANDIDATE — désactivé (feature flag)</t>
        </is>
      </c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inlineStr">
        <is>
          <t>PRICE_STATUS = CANDIDATE_PENDING_ACTUARIAL_MODEL</t>
        </is>
      </c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inlineStr">
        <is>
          <t>Commercial currency: XOF · Settlement currency: XOF · USD equivalent: informational only.</t>
        </is>
      </c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5">
    <mergeCell ref="A1:H1"/>
    <mergeCell ref="A41:Y41"/>
    <mergeCell ref="A2:H2"/>
    <mergeCell ref="A28:H28"/>
    <mergeCell ref="A5:H5"/>
  </mergeCells>
  <dataValidations count="1">
    <dataValidation sqref="B3" showDropDown="0" showInputMessage="0" showErrorMessage="0" allowBlank="0" type="list">
      <formula1>"Base,Upside,Stress"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42" customWidth="1" min="4" max="4"/>
  </cols>
  <sheetData>
    <row r="1" ht="15" customHeight="1">
      <c r="A1" s="404" t="inlineStr">
        <is>
          <t>WARIBA — Règles commerciales et paramètres du programme</t>
        </is>
      </c>
      <c r="B1" s="1" t="n"/>
      <c r="C1" s="1" t="n"/>
      <c r="D1" s="1" t="n"/>
      <c r="E1" s="1" t="n"/>
      <c r="F1" s="1" t="n"/>
      <c r="G1" s="1" t="n"/>
      <c r="H1" s="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  <c r="U1" s="161" t="n"/>
      <c r="V1" s="161" t="n"/>
      <c r="W1" s="161" t="n"/>
      <c r="X1" s="161" t="n"/>
      <c r="Y1" s="16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7" t="inlineStr">
        <is>
          <t>Résumé financier du Rulebook. Le Rulebook Markdown reste la référence textuelle complète.</t>
        </is>
      </c>
      <c r="B2" s="1" t="n"/>
      <c r="C2" s="1" t="n"/>
      <c r="D2" s="1" t="n"/>
      <c r="E2" s="1" t="n"/>
      <c r="F2" s="1" t="n"/>
      <c r="G2" s="1" t="n"/>
      <c r="H2" s="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57" t="n"/>
      <c r="B3" s="157" t="n"/>
      <c r="C3" s="157" t="n"/>
      <c r="D3" s="157" t="n"/>
      <c r="E3" s="157" t="n"/>
      <c r="F3" s="157" t="n"/>
      <c r="G3" s="157" t="n"/>
      <c r="H3" s="157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405" t="inlineStr">
        <is>
          <t>A. WARIBA ONE</t>
        </is>
      </c>
      <c r="B4" s="1" t="n"/>
      <c r="C4" s="1" t="n"/>
      <c r="D4" s="1" t="n"/>
      <c r="E4" s="1" t="n"/>
      <c r="F4" s="1" t="n"/>
      <c r="G4" s="1" t="n"/>
      <c r="H4" s="1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149" t="inlineStr">
        <is>
          <t>Paramètre</t>
        </is>
      </c>
      <c r="B5" s="149" t="inlineStr">
        <is>
          <t>Valeur</t>
        </is>
      </c>
      <c r="C5" s="149" t="inlineStr">
        <is>
          <t>Statut</t>
        </is>
      </c>
      <c r="D5" s="149" t="inlineStr">
        <is>
          <t>Effet économique</t>
        </is>
      </c>
      <c r="E5" s="157" t="n"/>
      <c r="F5" s="157" t="n"/>
      <c r="G5" s="157" t="n"/>
      <c r="H5" s="157" t="n"/>
      <c r="I5" s="161" t="n"/>
      <c r="J5" s="161" t="n"/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157" t="inlineStr">
        <is>
          <t>Phases</t>
        </is>
      </c>
      <c r="B6" s="157" t="n">
        <v>1</v>
      </c>
      <c r="C6" s="157" t="inlineStr">
        <is>
          <t>CANDIDATE</t>
        </is>
      </c>
      <c r="D6" s="157" t="inlineStr">
        <is>
          <t>Une seule vente et un seul passage</t>
        </is>
      </c>
      <c r="E6" s="157" t="n"/>
      <c r="F6" s="157" t="n"/>
      <c r="G6" s="157" t="n"/>
      <c r="H6" s="157" t="n"/>
      <c r="I6" s="161" t="n"/>
      <c r="J6" s="161" t="n"/>
      <c r="K6" s="161" t="n"/>
      <c r="L6" s="161" t="n"/>
      <c r="M6" s="161" t="n"/>
      <c r="N6" s="161" t="n"/>
      <c r="O6" s="161" t="n"/>
      <c r="P6" s="161" t="n"/>
      <c r="Q6" s="161" t="n"/>
      <c r="R6" s="161" t="n"/>
      <c r="S6" s="161" t="n"/>
      <c r="T6" s="161" t="n"/>
      <c r="U6" s="161" t="n"/>
      <c r="V6" s="161" t="n"/>
      <c r="W6" s="161" t="n"/>
      <c r="X6" s="161" t="n"/>
      <c r="Y6" s="161" t="n"/>
      <c r="Z6" s="161" t="n"/>
      <c r="AA6" s="161" t="n"/>
      <c r="AB6" s="161" t="n"/>
      <c r="AC6" s="161" t="n"/>
      <c r="AD6" s="161" t="n"/>
      <c r="AE6" s="161" t="n"/>
      <c r="AF6" s="161" t="n"/>
      <c r="AG6" s="161" t="n"/>
      <c r="AH6" s="161" t="n"/>
      <c r="AI6" s="161" t="n"/>
      <c r="AJ6" s="161" t="n"/>
      <c r="AK6" s="161" t="n"/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157" t="inlineStr">
        <is>
          <t>Target</t>
        </is>
      </c>
      <c r="B7" s="459" t="n">
        <v>0.08</v>
      </c>
      <c r="C7" s="157" t="inlineStr">
        <is>
          <t>CANDIDATE</t>
        </is>
      </c>
      <c r="D7" s="157" t="inlineStr">
        <is>
          <t>Influe sur le taux de réussite</t>
        </is>
      </c>
      <c r="E7" s="157" t="n"/>
      <c r="F7" s="157" t="n"/>
      <c r="G7" s="157" t="n"/>
      <c r="H7" s="157" t="n"/>
      <c r="I7" s="161" t="n"/>
      <c r="J7" s="161" t="n"/>
      <c r="K7" s="161" t="n"/>
      <c r="L7" s="161" t="n"/>
      <c r="M7" s="161" t="n"/>
      <c r="N7" s="161" t="n"/>
      <c r="O7" s="161" t="n"/>
      <c r="P7" s="161" t="n"/>
      <c r="Q7" s="161" t="n"/>
      <c r="R7" s="161" t="n"/>
      <c r="S7" s="161" t="n"/>
      <c r="T7" s="161" t="n"/>
      <c r="U7" s="161" t="n"/>
      <c r="V7" s="161" t="n"/>
      <c r="W7" s="161" t="n"/>
      <c r="X7" s="161" t="n"/>
      <c r="Y7" s="161" t="n"/>
      <c r="Z7" s="161" t="n"/>
      <c r="AA7" s="161" t="n"/>
      <c r="AB7" s="161" t="n"/>
      <c r="AC7" s="161" t="n"/>
      <c r="AD7" s="161" t="n"/>
      <c r="AE7" s="161" t="n"/>
      <c r="AF7" s="161" t="n"/>
      <c r="AG7" s="161" t="n"/>
      <c r="AH7" s="161" t="n"/>
      <c r="AI7" s="161" t="n"/>
      <c r="AJ7" s="161" t="n"/>
      <c r="AK7" s="161" t="n"/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157" t="inlineStr">
        <is>
          <t>DLL</t>
        </is>
      </c>
      <c r="B8" s="459" t="n">
        <v>0.04</v>
      </c>
      <c r="C8" s="157" t="inlineStr">
        <is>
          <t>CANDIDATE</t>
        </is>
      </c>
      <c r="D8" s="157" t="inlineStr">
        <is>
          <t>Soft lock</t>
        </is>
      </c>
      <c r="E8" s="157" t="n"/>
      <c r="F8" s="157" t="n"/>
      <c r="G8" s="157" t="n"/>
      <c r="H8" s="157" t="n"/>
      <c r="I8" s="161" t="n"/>
      <c r="J8" s="161" t="n"/>
      <c r="K8" s="161" t="n"/>
      <c r="L8" s="161" t="n"/>
      <c r="M8" s="161" t="n"/>
      <c r="N8" s="161" t="n"/>
      <c r="O8" s="161" t="n"/>
      <c r="P8" s="161" t="n"/>
      <c r="Q8" s="161" t="n"/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157" t="inlineStr">
        <is>
          <t>Maximum Loss</t>
        </is>
      </c>
      <c r="B9" s="459" t="n">
        <v>0.08</v>
      </c>
      <c r="C9" s="157" t="inlineStr">
        <is>
          <t>CANDIDATE</t>
        </is>
      </c>
      <c r="D9" s="157" t="inlineStr">
        <is>
          <t>Hard breach statique</t>
        </is>
      </c>
      <c r="E9" s="157" t="n"/>
      <c r="F9" s="157" t="n"/>
      <c r="G9" s="157" t="n"/>
      <c r="H9" s="157" t="n"/>
      <c r="I9" s="161" t="n"/>
      <c r="J9" s="161" t="n"/>
      <c r="K9" s="161" t="n"/>
      <c r="L9" s="161" t="n"/>
      <c r="M9" s="161" t="n"/>
      <c r="N9" s="161" t="n"/>
      <c r="O9" s="161" t="n"/>
      <c r="P9" s="161" t="n"/>
      <c r="Q9" s="161" t="n"/>
      <c r="R9" s="161" t="n"/>
      <c r="S9" s="161" t="n"/>
      <c r="T9" s="161" t="n"/>
      <c r="U9" s="161" t="n"/>
      <c r="V9" s="161" t="n"/>
      <c r="W9" s="161" t="n"/>
      <c r="X9" s="161" t="n"/>
      <c r="Y9" s="161" t="n"/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157" t="inlineStr">
        <is>
          <t>Consistance</t>
        </is>
      </c>
      <c r="B10" s="459" t="n">
        <v>0.4</v>
      </c>
      <c r="C10" s="157" t="inlineStr">
        <is>
          <t>CANDIDATE</t>
        </is>
      </c>
      <c r="D10" s="157" t="inlineStr">
        <is>
          <t>Retarde le passage, ne breach pas</t>
        </is>
      </c>
      <c r="E10" s="157" t="n"/>
      <c r="F10" s="157" t="n"/>
      <c r="G10" s="157" t="n"/>
      <c r="H10" s="157" t="n"/>
      <c r="I10" s="161" t="n"/>
      <c r="J10" s="161" t="n"/>
      <c r="K10" s="161" t="n"/>
      <c r="L10" s="161" t="n"/>
      <c r="M10" s="161" t="n"/>
      <c r="N10" s="161" t="n"/>
      <c r="O10" s="161" t="n"/>
      <c r="P10" s="161" t="n"/>
      <c r="Q10" s="161" t="n"/>
      <c r="R10" s="161" t="n"/>
      <c r="S10" s="161" t="n"/>
      <c r="T10" s="161" t="n"/>
      <c r="U10" s="161" t="n"/>
      <c r="V10" s="161" t="n"/>
      <c r="W10" s="161" t="n"/>
      <c r="X10" s="161" t="n"/>
      <c r="Y10" s="161" t="n"/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157" t="inlineStr">
        <is>
          <t>Jours minimums</t>
        </is>
      </c>
      <c r="B11" s="157" t="n">
        <v>4</v>
      </c>
      <c r="C11" s="157" t="inlineStr">
        <is>
          <t>CANDIDATE</t>
        </is>
      </c>
      <c r="D11" s="157" t="inlineStr">
        <is>
          <t>Réduit le passage instantané</t>
        </is>
      </c>
      <c r="E11" s="157" t="n"/>
      <c r="F11" s="157" t="n"/>
      <c r="G11" s="157" t="n"/>
      <c r="H11" s="157" t="n"/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157" t="inlineStr">
        <is>
          <t>Journées qualifiées</t>
        </is>
      </c>
      <c r="B12" s="157" t="n">
        <v>3</v>
      </c>
      <c r="C12" s="157" t="inlineStr">
        <is>
          <t>CANDIDATE</t>
        </is>
      </c>
      <c r="D12" s="157" t="inlineStr">
        <is>
          <t>0,20 % minimum</t>
        </is>
      </c>
      <c r="E12" s="157" t="n"/>
      <c r="F12" s="157" t="n"/>
      <c r="G12" s="157" t="n"/>
      <c r="H12" s="157" t="n"/>
      <c r="I12" s="161" t="n"/>
      <c r="J12" s="161" t="n"/>
      <c r="K12" s="161" t="n"/>
      <c r="L12" s="16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157" t="inlineStr">
        <is>
          <t>Minimum journée qualifiée</t>
        </is>
      </c>
      <c r="B13" s="460" t="n">
        <v>0.002</v>
      </c>
      <c r="C13" s="157" t="inlineStr">
        <is>
          <t>CANDIDATE</t>
        </is>
      </c>
      <c r="D13" s="157" t="inlineStr">
        <is>
          <t>Sur nominal</t>
        </is>
      </c>
      <c r="E13" s="157" t="n"/>
      <c r="F13" s="157" t="n"/>
      <c r="G13" s="157" t="n"/>
      <c r="H13" s="157" t="n"/>
      <c r="I13" s="161" t="n"/>
      <c r="J13" s="161" t="n"/>
      <c r="K13" s="161" t="n"/>
      <c r="L13" s="161" t="n"/>
      <c r="M13" s="161" t="n"/>
      <c r="N13" s="161" t="n"/>
      <c r="O13" s="161" t="n"/>
      <c r="P13" s="161" t="n"/>
      <c r="Q13" s="161" t="n"/>
      <c r="R13" s="161" t="n"/>
      <c r="S13" s="161" t="n"/>
      <c r="T13" s="161" t="n"/>
      <c r="U13" s="161" t="n"/>
      <c r="V13" s="161" t="n"/>
      <c r="W13" s="161" t="n"/>
      <c r="X13" s="161" t="n"/>
      <c r="Y13" s="161" t="n"/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157" t="inlineStr">
        <is>
          <t>Durée</t>
        </is>
      </c>
      <c r="B14" s="157" t="inlineStr">
        <is>
          <t>Illimitée</t>
        </is>
      </c>
      <c r="C14" s="157" t="inlineStr">
        <is>
          <t>LOCKED</t>
        </is>
      </c>
      <c r="D14" s="157" t="inlineStr">
        <is>
          <t>Aucun abonnement mensuel</t>
        </is>
      </c>
      <c r="E14" s="157" t="n"/>
      <c r="F14" s="157" t="n"/>
      <c r="G14" s="157" t="n"/>
      <c r="H14" s="157" t="n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157" t="inlineStr">
        <is>
          <t>Frais d’activation</t>
        </is>
      </c>
      <c r="B15" s="461" t="n">
        <v>0</v>
      </c>
      <c r="C15" s="157" t="inlineStr">
        <is>
          <t>LOCKED</t>
        </is>
      </c>
      <c r="D15" s="157" t="inlineStr">
        <is>
          <t>Aucune recette secondaire</t>
        </is>
      </c>
      <c r="E15" s="157" t="n"/>
      <c r="F15" s="157" t="n"/>
      <c r="G15" s="157" t="n"/>
      <c r="H15" s="157" t="n"/>
      <c r="I15" s="161" t="n"/>
      <c r="J15" s="161" t="n"/>
      <c r="K15" s="161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157" t="inlineStr">
        <is>
          <t>Trailing drawdown</t>
        </is>
      </c>
      <c r="B16" s="157" t="inlineStr">
        <is>
          <t>Non</t>
        </is>
      </c>
      <c r="C16" s="157" t="inlineStr">
        <is>
          <t>LOCKED</t>
        </is>
      </c>
      <c r="D16" s="157" t="inlineStr">
        <is>
          <t>Positionnement de confiance</t>
        </is>
      </c>
      <c r="E16" s="157" t="n"/>
      <c r="F16" s="157" t="n"/>
      <c r="G16" s="157" t="n"/>
      <c r="H16" s="157" t="n"/>
      <c r="I16" s="161" t="n"/>
      <c r="J16" s="161" t="n"/>
      <c r="K16" s="161" t="n"/>
      <c r="L16" s="161" t="n"/>
      <c r="M16" s="161" t="n"/>
      <c r="N16" s="161" t="n"/>
      <c r="O16" s="161" t="n"/>
      <c r="P16" s="161" t="n"/>
      <c r="Q16" s="161" t="n"/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157" t="n"/>
      <c r="B17" s="157" t="n"/>
      <c r="C17" s="157" t="n"/>
      <c r="D17" s="157" t="n"/>
      <c r="E17" s="157" t="n"/>
      <c r="F17" s="157" t="n"/>
      <c r="G17" s="157" t="n"/>
      <c r="H17" s="157" t="n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  <c r="S17" s="161" t="n"/>
      <c r="T17" s="161" t="n"/>
      <c r="U17" s="161" t="n"/>
      <c r="V17" s="161" t="n"/>
      <c r="W17" s="161" t="n"/>
      <c r="X17" s="161" t="n"/>
      <c r="Y17" s="161" t="n"/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15" customHeight="1">
      <c r="A18" s="405" t="inlineStr">
        <is>
          <t>B. WARIBA Performance</t>
        </is>
      </c>
      <c r="B18" s="1" t="n"/>
      <c r="C18" s="1" t="n"/>
      <c r="D18" s="1" t="n"/>
      <c r="E18" s="1" t="n"/>
      <c r="F18" s="1" t="n"/>
      <c r="G18" s="1" t="n"/>
      <c r="H18" s="1" t="n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15" customHeight="1">
      <c r="A19" s="149" t="inlineStr">
        <is>
          <t>Paramètre</t>
        </is>
      </c>
      <c r="B19" s="149" t="inlineStr">
        <is>
          <t>Valeur</t>
        </is>
      </c>
      <c r="C19" s="149" t="inlineStr">
        <is>
          <t>Statut</t>
        </is>
      </c>
      <c r="D19" s="149" t="inlineStr">
        <is>
          <t>Effet économique</t>
        </is>
      </c>
      <c r="E19" s="157" t="n"/>
      <c r="F19" s="157" t="n"/>
      <c r="G19" s="157" t="n"/>
      <c r="H19" s="157" t="n"/>
      <c r="I19" s="161" t="n"/>
      <c r="J19" s="161" t="n"/>
      <c r="K19" s="161" t="n"/>
      <c r="L19" s="16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15" customHeight="1">
      <c r="A20" s="157" t="inlineStr">
        <is>
          <t>Nature</t>
        </is>
      </c>
      <c r="B20" s="157" t="inlineStr">
        <is>
          <t>Simulé</t>
        </is>
      </c>
      <c r="C20" s="157" t="inlineStr">
        <is>
          <t>LOCKED</t>
        </is>
      </c>
      <c r="D20" s="157" t="inlineStr">
        <is>
          <t>Aucun capital réel au lancement</t>
        </is>
      </c>
      <c r="E20" s="157" t="n"/>
      <c r="F20" s="157" t="n"/>
      <c r="G20" s="157" t="n"/>
      <c r="H20" s="157" t="n"/>
      <c r="I20" s="161" t="n"/>
      <c r="J20" s="161" t="n"/>
      <c r="K20" s="161" t="n"/>
      <c r="L20" s="16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15" customHeight="1">
      <c r="A21" s="157" t="inlineStr">
        <is>
          <t>DLL</t>
        </is>
      </c>
      <c r="B21" s="459" t="n">
        <v>0.03</v>
      </c>
      <c r="C21" s="157" t="inlineStr">
        <is>
          <t>CANDIDATE</t>
        </is>
      </c>
      <c r="D21" s="157" t="inlineStr">
        <is>
          <t>Soft lock</t>
        </is>
      </c>
      <c r="E21" s="157" t="n"/>
      <c r="F21" s="157" t="n"/>
      <c r="G21" s="157" t="n"/>
      <c r="H21" s="157" t="n"/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15" customHeight="1">
      <c r="A22" s="157" t="inlineStr">
        <is>
          <t>Maximum Loss</t>
        </is>
      </c>
      <c r="B22" s="459" t="n">
        <v>0.06</v>
      </c>
      <c r="C22" s="157" t="inlineStr">
        <is>
          <t>CANDIDATE</t>
        </is>
      </c>
      <c r="D22" s="157" t="inlineStr">
        <is>
          <t>Hard breach statique</t>
        </is>
      </c>
      <c r="E22" s="157" t="n"/>
      <c r="F22" s="157" t="n"/>
      <c r="G22" s="157" t="n"/>
      <c r="H22" s="157" t="n"/>
      <c r="I22" s="161" t="n"/>
      <c r="J22" s="161" t="n"/>
      <c r="K22" s="161" t="n"/>
      <c r="L22" s="16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57" t="inlineStr">
        <is>
          <t>Consistance</t>
        </is>
      </c>
      <c r="B23" s="459" t="n">
        <v>0.4</v>
      </c>
      <c r="C23" s="157" t="inlineStr">
        <is>
          <t>CANDIDATE</t>
        </is>
      </c>
      <c r="D23" s="157" t="inlineStr">
        <is>
          <t>Par cycle</t>
        </is>
      </c>
      <c r="E23" s="157" t="n"/>
      <c r="F23" s="157" t="n"/>
      <c r="G23" s="157" t="n"/>
      <c r="H23" s="157" t="n"/>
      <c r="I23" s="161" t="n"/>
      <c r="J23" s="161" t="n"/>
      <c r="K23" s="161" t="n"/>
      <c r="L23" s="161" t="n"/>
      <c r="M23" s="161" t="n"/>
      <c r="N23" s="161" t="n"/>
      <c r="O23" s="161" t="n"/>
      <c r="P23" s="161" t="n"/>
      <c r="Q23" s="161" t="n"/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157" t="inlineStr">
        <is>
          <t>Journées qualifiées</t>
        </is>
      </c>
      <c r="B24" s="157" t="n">
        <v>5</v>
      </c>
      <c r="C24" s="157" t="inlineStr">
        <is>
          <t>CANDIDATE</t>
        </is>
      </c>
      <c r="D24" s="157" t="inlineStr">
        <is>
          <t>Par cycle</t>
        </is>
      </c>
      <c r="E24" s="157" t="n"/>
      <c r="F24" s="157" t="n"/>
      <c r="G24" s="157" t="n"/>
      <c r="H24" s="157" t="n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157" t="inlineStr">
        <is>
          <t>Minimum journée qualifiée</t>
        </is>
      </c>
      <c r="B25" s="459" t="n">
        <v>0.003</v>
      </c>
      <c r="C25" s="157" t="inlineStr">
        <is>
          <t>CANDIDATE</t>
        </is>
      </c>
      <c r="D25" s="157" t="inlineStr">
        <is>
          <t>Sur nominal</t>
        </is>
      </c>
      <c r="E25" s="157" t="n"/>
      <c r="F25" s="157" t="n"/>
      <c r="G25" s="157" t="n"/>
      <c r="H25" s="157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157" t="inlineStr">
        <is>
          <t>Threshold payout #1</t>
        </is>
      </c>
      <c r="B26" s="459" t="n">
        <v>0.04</v>
      </c>
      <c r="C26" s="157" t="inlineStr">
        <is>
          <t>CANDIDATE</t>
        </is>
      </c>
      <c r="D26" s="157" t="inlineStr">
        <is>
          <t>Premier cycle plus exigeant</t>
        </is>
      </c>
      <c r="E26" s="157" t="n"/>
      <c r="F26" s="157" t="n"/>
      <c r="G26" s="157" t="n"/>
      <c r="H26" s="157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157" t="inlineStr">
        <is>
          <t>Threshold payout #2–#5</t>
        </is>
      </c>
      <c r="B27" s="459" t="n">
        <v>0.03</v>
      </c>
      <c r="C27" s="157" t="inlineStr">
        <is>
          <t>CANDIDATE</t>
        </is>
      </c>
      <c r="D27" s="157" t="inlineStr">
        <is>
          <t>Nouveau profit par cycle</t>
        </is>
      </c>
      <c r="E27" s="157" t="n"/>
      <c r="F27" s="157" t="n"/>
      <c r="G27" s="157" t="n"/>
      <c r="H27" s="157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157" t="inlineStr">
        <is>
          <t>Maximum distribuable</t>
        </is>
      </c>
      <c r="B28" s="459" t="n">
        <v>0.5</v>
      </c>
      <c r="C28" s="157" t="inlineStr">
        <is>
          <t>CANDIDATE</t>
        </is>
      </c>
      <c r="D28" s="157" t="inlineStr">
        <is>
          <t>Du profit net du cycle</t>
        </is>
      </c>
      <c r="E28" s="157" t="n"/>
      <c r="F28" s="157" t="n"/>
      <c r="G28" s="157" t="n"/>
      <c r="H28" s="157" t="n"/>
      <c r="I28" s="161" t="n"/>
      <c r="J28" s="161" t="n"/>
      <c r="K28" s="161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157" t="inlineStr">
        <is>
          <t>Split #1–#4</t>
        </is>
      </c>
      <c r="B29" s="459" t="n">
        <v>0.8</v>
      </c>
      <c r="C29" s="157" t="inlineStr">
        <is>
          <t>CANDIDATE</t>
        </is>
      </c>
      <c r="D29" s="157" t="inlineStr">
        <is>
          <t>Trader cash</t>
        </is>
      </c>
      <c r="E29" s="157" t="n"/>
      <c r="F29" s="157" t="n"/>
      <c r="G29" s="157" t="n"/>
      <c r="H29" s="157" t="n"/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57" t="inlineStr">
        <is>
          <t>Split #5</t>
        </is>
      </c>
      <c r="B30" s="459" t="n">
        <v>0.9</v>
      </c>
      <c r="C30" s="157" t="inlineStr">
        <is>
          <t>CANDIDATE</t>
        </is>
      </c>
      <c r="D30" s="157" t="inlineStr">
        <is>
          <t>Trader cash</t>
        </is>
      </c>
      <c r="E30" s="157" t="n"/>
      <c r="F30" s="157" t="n"/>
      <c r="G30" s="157" t="n"/>
      <c r="H30" s="157" t="n"/>
      <c r="I30" s="161" t="n"/>
      <c r="J30" s="161" t="n"/>
      <c r="K30" s="161" t="n"/>
      <c r="L30" s="161" t="n"/>
      <c r="M30" s="161" t="n"/>
      <c r="N30" s="161" t="n"/>
      <c r="O30" s="161" t="n"/>
      <c r="P30" s="161" t="n"/>
      <c r="Q30" s="161" t="n"/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157" t="inlineStr">
        <is>
          <t>Cycles avant Review</t>
        </is>
      </c>
      <c r="B31" s="157" t="n">
        <v>5</v>
      </c>
      <c r="C31" s="157" t="inlineStr">
        <is>
          <t>CANDIDATE</t>
        </is>
      </c>
      <c r="D31" s="157" t="inlineStr">
        <is>
          <t>Aucun Live garanti</t>
        </is>
      </c>
      <c r="E31" s="157" t="n"/>
      <c r="F31" s="157" t="n"/>
      <c r="G31" s="157" t="n"/>
      <c r="H31" s="157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157" t="n"/>
      <c r="B32" s="157" t="n"/>
      <c r="C32" s="157" t="n"/>
      <c r="D32" s="157" t="n"/>
      <c r="E32" s="157" t="n"/>
      <c r="F32" s="157" t="n"/>
      <c r="G32" s="157" t="n"/>
      <c r="H32" s="157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157" t="n"/>
      <c r="B33" s="157" t="n"/>
      <c r="C33" s="157" t="n"/>
      <c r="D33" s="157" t="n"/>
      <c r="E33" s="157" t="n"/>
      <c r="F33" s="157" t="n"/>
      <c r="G33" s="157" t="n"/>
      <c r="H33" s="157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1" t="n"/>
      <c r="V33" s="161" t="n"/>
      <c r="W33" s="161" t="n"/>
      <c r="X33" s="161" t="n"/>
      <c r="Y33" s="161" t="n"/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157" t="n"/>
      <c r="B34" s="157" t="n"/>
      <c r="C34" s="157" t="n"/>
      <c r="D34" s="157" t="n"/>
      <c r="E34" s="157" t="n"/>
      <c r="F34" s="157" t="n"/>
      <c r="G34" s="157" t="n"/>
      <c r="H34" s="157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405" t="inlineStr">
        <is>
          <t>C. Instruments V1</t>
        </is>
      </c>
      <c r="B35" s="1" t="n"/>
      <c r="C35" s="1" t="n"/>
      <c r="D35" s="1" t="n"/>
      <c r="E35" s="1" t="n"/>
      <c r="F35" s="1" t="n"/>
      <c r="G35" s="1" t="n"/>
      <c r="H35" s="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149" t="inlineStr">
        <is>
          <t>Symbole</t>
        </is>
      </c>
      <c r="B36" s="149" t="inlineStr">
        <is>
          <t>Classe</t>
        </is>
      </c>
      <c r="C36" s="149" t="inlineStr">
        <is>
          <t>Levier ONE</t>
        </is>
      </c>
      <c r="D36" s="149" t="inlineStr">
        <is>
          <t>Levier Performance</t>
        </is>
      </c>
      <c r="E36" s="157" t="n"/>
      <c r="F36" s="157" t="n"/>
      <c r="G36" s="157" t="n"/>
      <c r="H36" s="157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157" t="inlineStr">
        <is>
          <t>EURUSD</t>
        </is>
      </c>
      <c r="B37" s="157" t="inlineStr">
        <is>
          <t>Forex majeur</t>
        </is>
      </c>
      <c r="C37" s="157" t="inlineStr">
        <is>
          <t>1:50</t>
        </is>
      </c>
      <c r="D37" s="157" t="inlineStr">
        <is>
          <t>1:30</t>
        </is>
      </c>
      <c r="E37" s="157" t="n"/>
      <c r="F37" s="157" t="n"/>
      <c r="G37" s="157" t="n"/>
      <c r="H37" s="157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57" t="inlineStr">
        <is>
          <t>GBPUSD</t>
        </is>
      </c>
      <c r="B38" s="157" t="inlineStr">
        <is>
          <t>Forex majeur</t>
        </is>
      </c>
      <c r="C38" s="157" t="inlineStr">
        <is>
          <t>1:50</t>
        </is>
      </c>
      <c r="D38" s="157" t="inlineStr">
        <is>
          <t>1:30</t>
        </is>
      </c>
      <c r="E38" s="157" t="n"/>
      <c r="F38" s="157" t="n"/>
      <c r="G38" s="157" t="n"/>
      <c r="H38" s="157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57" t="inlineStr">
        <is>
          <t>USDJPY</t>
        </is>
      </c>
      <c r="B39" s="157" t="inlineStr">
        <is>
          <t>Forex majeur</t>
        </is>
      </c>
      <c r="C39" s="157" t="inlineStr">
        <is>
          <t>1:50</t>
        </is>
      </c>
      <c r="D39" s="157" t="inlineStr">
        <is>
          <t>1:30</t>
        </is>
      </c>
      <c r="E39" s="157" t="n"/>
      <c r="F39" s="157" t="n"/>
      <c r="G39" s="157" t="n"/>
      <c r="H39" s="157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57" t="inlineStr">
        <is>
          <t>XAUUSD</t>
        </is>
      </c>
      <c r="B40" s="157" t="inlineStr">
        <is>
          <t>Or</t>
        </is>
      </c>
      <c r="C40" s="157" t="inlineStr">
        <is>
          <t>1:20</t>
        </is>
      </c>
      <c r="D40" s="157" t="inlineStr">
        <is>
          <t>1:10</t>
        </is>
      </c>
      <c r="E40" s="157" t="n"/>
      <c r="F40" s="157" t="n"/>
      <c r="G40" s="157" t="n"/>
      <c r="H40" s="157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157" t="inlineStr">
        <is>
          <t>NAS100</t>
        </is>
      </c>
      <c r="B41" s="157" t="inlineStr">
        <is>
          <t>Indice</t>
        </is>
      </c>
      <c r="C41" s="157" t="inlineStr">
        <is>
          <t>1:20</t>
        </is>
      </c>
      <c r="D41" s="157" t="inlineStr">
        <is>
          <t>1:10</t>
        </is>
      </c>
      <c r="E41" s="157" t="n"/>
      <c r="F41" s="157" t="n"/>
      <c r="G41" s="157" t="n"/>
      <c r="H41" s="157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  <c r="S41" s="161" t="n"/>
      <c r="T41" s="161" t="n"/>
      <c r="U41" s="161" t="n"/>
      <c r="V41" s="161" t="n"/>
      <c r="W41" s="161" t="n"/>
      <c r="X41" s="161" t="n"/>
      <c r="Y41" s="16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57" t="n"/>
      <c r="B42" s="157" t="n"/>
      <c r="C42" s="157" t="n"/>
      <c r="D42" s="157" t="n"/>
      <c r="E42" s="157" t="n"/>
      <c r="F42" s="157" t="n"/>
      <c r="G42" s="157" t="n"/>
      <c r="H42" s="157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  <c r="S42" s="161" t="n"/>
      <c r="T42" s="161" t="n"/>
      <c r="U42" s="161" t="n"/>
      <c r="V42" s="161" t="n"/>
      <c r="W42" s="161" t="n"/>
      <c r="X42" s="161" t="n"/>
      <c r="Y42" s="161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57" t="n"/>
      <c r="B43" s="157" t="n"/>
      <c r="C43" s="157" t="n"/>
      <c r="D43" s="157" t="n"/>
      <c r="E43" s="157" t="n"/>
      <c r="F43" s="157" t="n"/>
      <c r="G43" s="157" t="n"/>
      <c r="H43" s="157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57" t="n"/>
      <c r="B44" s="157" t="n"/>
      <c r="C44" s="157" t="n"/>
      <c r="D44" s="157" t="n"/>
      <c r="E44" s="157" t="n"/>
      <c r="F44" s="157" t="n"/>
      <c r="G44" s="157" t="n"/>
      <c r="H44" s="157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57" t="n"/>
      <c r="B45" s="157" t="n"/>
      <c r="C45" s="157" t="n"/>
      <c r="D45" s="157" t="n"/>
      <c r="E45" s="157" t="n"/>
      <c r="F45" s="157" t="n"/>
      <c r="G45" s="157" t="n"/>
      <c r="H45" s="157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157" t="n"/>
      <c r="B46" s="157" t="n"/>
      <c r="C46" s="157" t="n"/>
      <c r="D46" s="157" t="n"/>
      <c r="E46" s="157" t="n"/>
      <c r="F46" s="157" t="n"/>
      <c r="G46" s="157" t="n"/>
      <c r="H46" s="157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57" t="n"/>
      <c r="B47" s="157" t="n"/>
      <c r="C47" s="157" t="n"/>
      <c r="D47" s="157" t="n"/>
      <c r="E47" s="157" t="n"/>
      <c r="F47" s="157" t="n"/>
      <c r="G47" s="157" t="n"/>
      <c r="H47" s="157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157" t="n"/>
      <c r="B48" s="157" t="n"/>
      <c r="C48" s="157" t="n"/>
      <c r="D48" s="157" t="n"/>
      <c r="E48" s="157" t="n"/>
      <c r="F48" s="157" t="n"/>
      <c r="G48" s="157" t="n"/>
      <c r="H48" s="157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57" t="n"/>
      <c r="B49" s="157" t="n"/>
      <c r="C49" s="157" t="n"/>
      <c r="D49" s="157" t="n"/>
      <c r="E49" s="157" t="n"/>
      <c r="F49" s="157" t="n"/>
      <c r="G49" s="157" t="n"/>
      <c r="H49" s="157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57" t="n"/>
      <c r="B50" s="157" t="n"/>
      <c r="C50" s="157" t="n"/>
      <c r="D50" s="157" t="n"/>
      <c r="E50" s="157" t="n"/>
      <c r="F50" s="157" t="n"/>
      <c r="G50" s="157" t="n"/>
      <c r="H50" s="157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5">
    <mergeCell ref="A18:H18"/>
    <mergeCell ref="A4:H4"/>
    <mergeCell ref="A35:H35"/>
    <mergeCell ref="A2:H2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6" customWidth="1" min="4" max="4"/>
    <col width="16" customWidth="1" min="5" max="5"/>
    <col width="30" customWidth="1" min="6" max="6"/>
    <col width="16" customWidth="1" min="7" max="7"/>
  </cols>
  <sheetData>
    <row r="1" ht="15" customHeight="1">
      <c r="A1" s="401" t="inlineStr">
        <is>
          <t>WARIBA — Économie unitaire par achat</t>
        </is>
      </c>
      <c r="B1" s="1" t="n"/>
      <c r="C1" s="1" t="n"/>
      <c r="D1" s="1" t="n"/>
      <c r="E1" s="1" t="n"/>
      <c r="F1" s="1" t="n"/>
      <c r="G1" s="1" t="n"/>
      <c r="H1" s="16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  <c r="U1" s="161" t="n"/>
      <c r="V1" s="161" t="n"/>
      <c r="W1" s="161" t="n"/>
      <c r="X1" s="161" t="n"/>
      <c r="Y1" s="16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61" t="n"/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61" t="inlineStr">
        <is>
          <t>Scénario actif</t>
        </is>
      </c>
      <c r="B3" s="288">
        <f>'Hypothèses'!B3</f>
        <v/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161" t="n"/>
      <c r="B4" s="161" t="n"/>
      <c r="C4" s="161" t="n"/>
      <c r="D4" s="161" t="n"/>
      <c r="E4" s="161" t="n"/>
      <c r="F4" s="161" t="n"/>
      <c r="G4" s="161" t="n"/>
      <c r="H4" s="161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168" t="inlineStr">
        <is>
          <t>A. Revenu et coûts variables</t>
        </is>
      </c>
      <c r="B5" s="1" t="n"/>
      <c r="C5" s="1" t="n"/>
      <c r="D5" s="1" t="n"/>
      <c r="E5" s="1" t="n"/>
      <c r="F5" s="1" t="n"/>
      <c r="G5" s="1" t="n"/>
      <c r="H5" s="161" t="n"/>
      <c r="I5" s="161" t="n"/>
      <c r="J5" s="161" t="n"/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164" t="inlineStr">
        <is>
          <t>Métrique</t>
        </is>
      </c>
      <c r="B6" s="164" t="inlineStr">
        <is>
          <t>Montant (FCFA)</t>
        </is>
      </c>
      <c r="C6" s="164" t="inlineStr">
        <is>
          <t>% prix moyen</t>
        </is>
      </c>
      <c r="D6" s="164" t="inlineStr">
        <is>
          <t>Nature</t>
        </is>
      </c>
      <c r="E6" s="164" t="inlineStr">
        <is>
          <t>Source</t>
        </is>
      </c>
      <c r="F6" s="164" t="inlineStr">
        <is>
          <t>Lecture</t>
        </is>
      </c>
      <c r="G6" s="164" t="inlineStr">
        <is>
          <t>Statut</t>
        </is>
      </c>
      <c r="H6" s="161" t="n"/>
      <c r="I6" s="161" t="n"/>
      <c r="J6" s="161" t="n"/>
      <c r="K6" s="161" t="n"/>
      <c r="L6" s="161" t="n"/>
      <c r="M6" s="161" t="n"/>
      <c r="N6" s="161" t="n"/>
      <c r="O6" s="161" t="n"/>
      <c r="P6" s="161" t="n"/>
      <c r="Q6" s="161" t="n"/>
      <c r="R6" s="161" t="n"/>
      <c r="S6" s="161" t="n"/>
      <c r="T6" s="161" t="n"/>
      <c r="U6" s="161" t="n"/>
      <c r="V6" s="161" t="n"/>
      <c r="W6" s="161" t="n"/>
      <c r="X6" s="161" t="n"/>
      <c r="Y6" s="161" t="n"/>
      <c r="Z6" s="161" t="n"/>
      <c r="AA6" s="161" t="n"/>
      <c r="AB6" s="161" t="n"/>
      <c r="AC6" s="161" t="n"/>
      <c r="AD6" s="161" t="n"/>
      <c r="AE6" s="161" t="n"/>
      <c r="AF6" s="161" t="n"/>
      <c r="AG6" s="161" t="n"/>
      <c r="AH6" s="161" t="n"/>
      <c r="AI6" s="161" t="n"/>
      <c r="AJ6" s="161" t="n"/>
      <c r="AK6" s="161" t="n"/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161" t="inlineStr">
        <is>
          <t>Prix moyen pondéré</t>
        </is>
      </c>
      <c r="B7" s="462">
        <f>SUMPRODUCT('Hypothèses'!B30:B32,'Hypothèses'!C30:C32)</f>
        <v/>
      </c>
      <c r="C7" s="463">
        <f>B7/B7</f>
        <v/>
      </c>
      <c r="D7" s="161" t="inlineStr">
        <is>
          <t>Revenu</t>
        </is>
      </c>
      <c r="E7" s="161" t="inlineStr">
        <is>
          <t>Offre</t>
        </is>
      </c>
      <c r="F7" s="161" t="inlineStr">
        <is>
          <t>Prix moyen par achat</t>
        </is>
      </c>
      <c r="G7" s="161" t="inlineStr">
        <is>
          <t>Calculé</t>
        </is>
      </c>
      <c r="H7" s="161" t="n"/>
      <c r="I7" s="161" t="n"/>
      <c r="J7" s="161" t="n"/>
      <c r="K7" s="161" t="n"/>
      <c r="L7" s="161" t="n"/>
      <c r="M7" s="161" t="n"/>
      <c r="N7" s="161" t="n"/>
      <c r="O7" s="161" t="n"/>
      <c r="P7" s="161" t="n"/>
      <c r="Q7" s="161" t="n"/>
      <c r="R7" s="161" t="n"/>
      <c r="S7" s="161" t="n"/>
      <c r="T7" s="161" t="n"/>
      <c r="U7" s="161" t="n"/>
      <c r="V7" s="161" t="n"/>
      <c r="W7" s="161" t="n"/>
      <c r="X7" s="161" t="n"/>
      <c r="Y7" s="161" t="n"/>
      <c r="Z7" s="161" t="n"/>
      <c r="AA7" s="161" t="n"/>
      <c r="AB7" s="161" t="n"/>
      <c r="AC7" s="161" t="n"/>
      <c r="AD7" s="161" t="n"/>
      <c r="AE7" s="161" t="n"/>
      <c r="AF7" s="161" t="n"/>
      <c r="AG7" s="161" t="n"/>
      <c r="AH7" s="161" t="n"/>
      <c r="AI7" s="161" t="n"/>
      <c r="AJ7" s="161" t="n"/>
      <c r="AK7" s="161" t="n"/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161" t="inlineStr">
        <is>
          <t>Remboursements / chargebacks</t>
        </is>
      </c>
      <c r="B8" s="462">
        <f>-B7*'Hypothèses'!B14</f>
        <v/>
      </c>
      <c r="C8" s="463">
        <f>-B8/B7</f>
        <v/>
      </c>
      <c r="D8" s="161" t="inlineStr">
        <is>
          <t>Coût</t>
        </is>
      </c>
      <c r="E8" s="161" t="inlineStr">
        <is>
          <t>Hypothèses</t>
        </is>
      </c>
      <c r="F8" s="161" t="str"/>
      <c r="G8" s="161" t="inlineStr">
        <is>
          <t>Calculé</t>
        </is>
      </c>
      <c r="H8" s="161" t="n"/>
      <c r="I8" s="161" t="n"/>
      <c r="J8" s="161" t="n"/>
      <c r="K8" s="161" t="n"/>
      <c r="L8" s="161" t="n"/>
      <c r="M8" s="161" t="n"/>
      <c r="N8" s="161" t="n"/>
      <c r="O8" s="161" t="n"/>
      <c r="P8" s="161" t="n"/>
      <c r="Q8" s="161" t="n"/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161" t="inlineStr">
        <is>
          <t>Frais PSP</t>
        </is>
      </c>
      <c r="B9" s="462">
        <f>-((B7+B8)*'Hypothèses'!B15)</f>
        <v/>
      </c>
      <c r="C9" s="463">
        <f>-B9/B7</f>
        <v/>
      </c>
      <c r="D9" s="161" t="inlineStr">
        <is>
          <t>Coût</t>
        </is>
      </c>
      <c r="E9" s="161" t="inlineStr">
        <is>
          <t>Hypothèses</t>
        </is>
      </c>
      <c r="F9" s="161" t="str"/>
      <c r="G9" s="161" t="inlineStr">
        <is>
          <t>Calculé</t>
        </is>
      </c>
      <c r="H9" s="161" t="n"/>
      <c r="I9" s="161" t="n"/>
      <c r="J9" s="161" t="n"/>
      <c r="K9" s="161" t="n"/>
      <c r="L9" s="161" t="n"/>
      <c r="M9" s="161" t="n"/>
      <c r="N9" s="161" t="n"/>
      <c r="O9" s="161" t="n"/>
      <c r="P9" s="161" t="n"/>
      <c r="Q9" s="161" t="n"/>
      <c r="R9" s="161" t="n"/>
      <c r="S9" s="161" t="n"/>
      <c r="T9" s="161" t="n"/>
      <c r="U9" s="161" t="n"/>
      <c r="V9" s="161" t="n"/>
      <c r="W9" s="161" t="n"/>
      <c r="X9" s="161" t="n"/>
      <c r="Y9" s="161" t="n"/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161" t="inlineStr">
        <is>
          <t>Provision fiscale</t>
        </is>
      </c>
      <c r="B10" s="462">
        <f>-B7*'Hypothèses'!B25</f>
        <v/>
      </c>
      <c r="C10" s="463">
        <f>-B10/B7</f>
        <v/>
      </c>
      <c r="D10" s="161" t="inlineStr">
        <is>
          <t>Provision</t>
        </is>
      </c>
      <c r="E10" s="161" t="inlineStr">
        <is>
          <t>Hypothèses</t>
        </is>
      </c>
      <c r="F10" s="161" t="inlineStr">
        <is>
          <t>À confirmer</t>
        </is>
      </c>
      <c r="G10" s="161" t="inlineStr">
        <is>
          <t>OPEN</t>
        </is>
      </c>
      <c r="H10" s="161" t="n"/>
      <c r="I10" s="161" t="n"/>
      <c r="J10" s="161" t="n"/>
      <c r="K10" s="161" t="n"/>
      <c r="L10" s="161" t="n"/>
      <c r="M10" s="161" t="n"/>
      <c r="N10" s="161" t="n"/>
      <c r="O10" s="161" t="n"/>
      <c r="P10" s="161" t="n"/>
      <c r="Q10" s="161" t="n"/>
      <c r="R10" s="161" t="n"/>
      <c r="S10" s="161" t="n"/>
      <c r="T10" s="161" t="n"/>
      <c r="U10" s="161" t="n"/>
      <c r="V10" s="161" t="n"/>
      <c r="W10" s="161" t="n"/>
      <c r="X10" s="161" t="n"/>
      <c r="Y10" s="161" t="n"/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161" t="inlineStr">
        <is>
          <t>CAC</t>
        </is>
      </c>
      <c r="B11" s="462">
        <f>-'Hypothèses'!B16</f>
        <v/>
      </c>
      <c r="C11" s="463">
        <f>-B11/B7</f>
        <v/>
      </c>
      <c r="D11" s="161" t="inlineStr">
        <is>
          <t>Coût</t>
        </is>
      </c>
      <c r="E11" s="161" t="inlineStr">
        <is>
          <t>Hypothèses</t>
        </is>
      </c>
      <c r="F11" s="161" t="str"/>
      <c r="G11" s="161" t="inlineStr">
        <is>
          <t>Calculé</t>
        </is>
      </c>
      <c r="H11" s="161" t="n"/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161" t="inlineStr">
        <is>
          <t>Support variable</t>
        </is>
      </c>
      <c r="B12" s="462">
        <f>-'Hypothèses'!B17</f>
        <v/>
      </c>
      <c r="C12" s="463">
        <f>-B12/B7</f>
        <v/>
      </c>
      <c r="D12" s="161" t="inlineStr">
        <is>
          <t>Coût</t>
        </is>
      </c>
      <c r="E12" s="161" t="inlineStr">
        <is>
          <t>Hypothèses</t>
        </is>
      </c>
      <c r="F12" s="161" t="str"/>
      <c r="G12" s="161" t="inlineStr">
        <is>
          <t>Calculé</t>
        </is>
      </c>
      <c r="H12" s="161" t="n"/>
      <c r="I12" s="161" t="n"/>
      <c r="J12" s="161" t="n"/>
      <c r="K12" s="161" t="n"/>
      <c r="L12" s="16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161" t="inlineStr">
        <is>
          <t>KYC / contrôle attendu</t>
        </is>
      </c>
      <c r="B13" s="462">
        <f>-'Hypothèses'!B7*'Hypothèses'!B18</f>
        <v/>
      </c>
      <c r="C13" s="463">
        <f>-B13/B7</f>
        <v/>
      </c>
      <c r="D13" s="161" t="inlineStr">
        <is>
          <t>Coût</t>
        </is>
      </c>
      <c r="E13" s="161" t="inlineStr">
        <is>
          <t>Hypothèses</t>
        </is>
      </c>
      <c r="F13" s="161" t="inlineStr">
        <is>
          <t>Pass rate × coût KYC</t>
        </is>
      </c>
      <c r="G13" s="161" t="inlineStr">
        <is>
          <t>Calculé</t>
        </is>
      </c>
      <c r="H13" s="161" t="n"/>
      <c r="I13" s="161" t="n"/>
      <c r="J13" s="161" t="n"/>
      <c r="K13" s="161" t="n"/>
      <c r="L13" s="161" t="n"/>
      <c r="M13" s="161" t="n"/>
      <c r="N13" s="161" t="n"/>
      <c r="O13" s="161" t="n"/>
      <c r="P13" s="161" t="n"/>
      <c r="Q13" s="161" t="n"/>
      <c r="R13" s="161" t="n"/>
      <c r="S13" s="161" t="n"/>
      <c r="T13" s="161" t="n"/>
      <c r="U13" s="161" t="n"/>
      <c r="V13" s="161" t="n"/>
      <c r="W13" s="161" t="n"/>
      <c r="X13" s="161" t="n"/>
      <c r="Y13" s="161" t="n"/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161" t="inlineStr">
        <is>
          <t>Fraude / paiement</t>
        </is>
      </c>
      <c r="B14" s="462">
        <f>-B7*'Hypothèses'!B20</f>
        <v/>
      </c>
      <c r="C14" s="463">
        <f>-B14/B7</f>
        <v/>
      </c>
      <c r="D14" s="161" t="inlineStr">
        <is>
          <t>Coût</t>
        </is>
      </c>
      <c r="E14" s="161" t="inlineStr">
        <is>
          <t>Hypothèses</t>
        </is>
      </c>
      <c r="F14" s="161" t="str"/>
      <c r="G14" s="161" t="inlineStr">
        <is>
          <t>Calculé</t>
        </is>
      </c>
      <c r="H14" s="161" t="n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161" t="inlineStr">
        <is>
          <t>Affiliation</t>
        </is>
      </c>
      <c r="B15" s="462">
        <f>-B7*'Hypothèses'!B21</f>
        <v/>
      </c>
      <c r="C15" s="463">
        <f>-B15/B7</f>
        <v/>
      </c>
      <c r="D15" s="161" t="inlineStr">
        <is>
          <t>Coût</t>
        </is>
      </c>
      <c r="E15" s="161" t="inlineStr">
        <is>
          <t>Hypothèses</t>
        </is>
      </c>
      <c r="F15" s="161" t="inlineStr">
        <is>
          <t>0 % en V1</t>
        </is>
      </c>
      <c r="G15" s="161" t="inlineStr">
        <is>
          <t>Calculé</t>
        </is>
      </c>
      <c r="H15" s="161" t="n"/>
      <c r="I15" s="161" t="n"/>
      <c r="J15" s="161" t="n"/>
      <c r="K15" s="161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161" t="n"/>
      <c r="B16" s="161" t="n"/>
      <c r="C16" s="161" t="n"/>
      <c r="D16" s="161" t="n"/>
      <c r="E16" s="161" t="n"/>
      <c r="F16" s="161" t="n"/>
      <c r="G16" s="161" t="n"/>
      <c r="H16" s="161" t="n"/>
      <c r="I16" s="161" t="n"/>
      <c r="J16" s="161" t="n"/>
      <c r="K16" s="161" t="n"/>
      <c r="L16" s="161" t="n"/>
      <c r="M16" s="161" t="n"/>
      <c r="N16" s="161" t="n"/>
      <c r="O16" s="161" t="n"/>
      <c r="P16" s="161" t="n"/>
      <c r="Q16" s="161" t="n"/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289" t="inlineStr">
        <is>
          <t>Encaissement / contribution avant payouts</t>
        </is>
      </c>
      <c r="B17" s="464">
        <f>SUM(B7:B15)</f>
        <v/>
      </c>
      <c r="C17" s="465">
        <f>B17/B7</f>
        <v/>
      </c>
      <c r="D17" s="289" t="str"/>
      <c r="E17" s="289" t="str"/>
      <c r="F17" s="289" t="str"/>
      <c r="G17" s="289" t="str"/>
      <c r="H17" s="161" t="n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  <c r="S17" s="161" t="n"/>
      <c r="T17" s="161" t="n"/>
      <c r="U17" s="161" t="n"/>
      <c r="V17" s="161" t="n"/>
      <c r="W17" s="161" t="n"/>
      <c r="X17" s="161" t="n"/>
      <c r="Y17" s="161" t="n"/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15" customHeight="1">
      <c r="A18" s="161" t="n"/>
      <c r="B18" s="161" t="n"/>
      <c r="C18" s="161" t="n"/>
      <c r="D18" s="161" t="n"/>
      <c r="E18" s="161" t="n"/>
      <c r="F18" s="161" t="n"/>
      <c r="G18" s="161" t="n"/>
      <c r="H18" s="161" t="n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15" customHeight="1">
      <c r="A19" s="161" t="n"/>
      <c r="B19" s="161" t="n"/>
      <c r="C19" s="161" t="n"/>
      <c r="D19" s="161" t="n"/>
      <c r="E19" s="161" t="n"/>
      <c r="F19" s="161" t="n"/>
      <c r="G19" s="161" t="n"/>
      <c r="H19" s="161" t="n"/>
      <c r="I19" s="161" t="n"/>
      <c r="J19" s="161" t="n"/>
      <c r="K19" s="161" t="n"/>
      <c r="L19" s="16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15" customHeight="1">
      <c r="A20" s="168" t="inlineStr">
        <is>
          <t>B. Probabilités et coût attendu des payouts</t>
        </is>
      </c>
      <c r="B20" s="1" t="n"/>
      <c r="C20" s="1" t="n"/>
      <c r="D20" s="1" t="n"/>
      <c r="E20" s="1" t="n"/>
      <c r="F20" s="1" t="n"/>
      <c r="G20" s="1" t="n"/>
      <c r="H20" s="161" t="n"/>
      <c r="I20" s="161" t="n"/>
      <c r="J20" s="161" t="n"/>
      <c r="K20" s="161" t="n"/>
      <c r="L20" s="16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15" customHeight="1">
      <c r="A21" s="164" t="inlineStr">
        <is>
          <t>Cycle</t>
        </is>
      </c>
      <c r="B21" s="164" t="inlineStr">
        <is>
          <t>Probabilité par achat</t>
        </is>
      </c>
      <c r="C21" s="164" t="inlineStr">
        <is>
          <t>Cap moyen (FCFA)</t>
        </is>
      </c>
      <c r="D21" s="164" t="inlineStr">
        <is>
          <t>Utilisation</t>
        </is>
      </c>
      <c r="E21" s="164" t="inlineStr">
        <is>
          <t>Split trader</t>
        </is>
      </c>
      <c r="F21" s="164" t="inlineStr">
        <is>
          <t>Cash payout / achat</t>
        </is>
      </c>
      <c r="G21" s="164" t="inlineStr">
        <is>
          <t>Lag</t>
        </is>
      </c>
      <c r="H21" s="161" t="n"/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15" customHeight="1">
      <c r="A22" s="161" t="inlineStr">
        <is>
          <t>Payout #1</t>
        </is>
      </c>
      <c r="B22" s="463">
        <f>'Hypothèses'!B7*'Hypothèses'!B8</f>
        <v/>
      </c>
      <c r="C22" s="462">
        <f>SUMPRODUCT('Hypothèses'!C30:C32,'Hypothèses'!E30:E32)*'Hypothèses'!B35</f>
        <v/>
      </c>
      <c r="D22" s="463">
        <f>'Hypothèses'!B13</f>
        <v/>
      </c>
      <c r="E22" s="466" t="n">
        <v>0.8</v>
      </c>
      <c r="F22" s="467">
        <f>B22*C22*D22*E22*(1+'Hypothèses'!B19)</f>
        <v/>
      </c>
      <c r="G22" s="468" t="n">
        <v>2</v>
      </c>
      <c r="H22" s="161" t="n"/>
      <c r="I22" s="161" t="n"/>
      <c r="J22" s="161" t="n"/>
      <c r="K22" s="161" t="n"/>
      <c r="L22" s="16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61" t="inlineStr">
        <is>
          <t>Payout #2</t>
        </is>
      </c>
      <c r="B23" s="463">
        <f>B22*'Hypothèses'!B9</f>
        <v/>
      </c>
      <c r="C23" s="462">
        <f>SUMPRODUCT('Hypothèses'!C30:C32,'Hypothèses'!E30:E32)*'Hypothèses'!B35</f>
        <v/>
      </c>
      <c r="D23" s="463">
        <f>'Hypothèses'!B13</f>
        <v/>
      </c>
      <c r="E23" s="466" t="n">
        <v>0.8</v>
      </c>
      <c r="F23" s="467">
        <f>B23*C23*D23*E23*(1+'Hypothèses'!B19)</f>
        <v/>
      </c>
      <c r="G23" s="468" t="n">
        <v>3</v>
      </c>
      <c r="H23" s="161" t="n"/>
      <c r="I23" s="161" t="n"/>
      <c r="J23" s="161" t="n"/>
      <c r="K23" s="161" t="n"/>
      <c r="L23" s="161" t="n"/>
      <c r="M23" s="161" t="n"/>
      <c r="N23" s="161" t="n"/>
      <c r="O23" s="161" t="n"/>
      <c r="P23" s="161" t="n"/>
      <c r="Q23" s="161" t="n"/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161" t="inlineStr">
        <is>
          <t>Payout #3</t>
        </is>
      </c>
      <c r="B24" s="463">
        <f>B23*'Hypothèses'!B10</f>
        <v/>
      </c>
      <c r="C24" s="462">
        <f>SUMPRODUCT('Hypothèses'!C30:C32,'Hypothèses'!F30:F32)*'Hypothèses'!B35</f>
        <v/>
      </c>
      <c r="D24" s="463">
        <f>'Hypothèses'!B13</f>
        <v/>
      </c>
      <c r="E24" s="466" t="n">
        <v>0.8</v>
      </c>
      <c r="F24" s="467">
        <f>B24*C24*D24*E24*(1+'Hypothèses'!B19)</f>
        <v/>
      </c>
      <c r="G24" s="468" t="n">
        <v>4</v>
      </c>
      <c r="H24" s="161" t="n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161" t="inlineStr">
        <is>
          <t>Payout #4</t>
        </is>
      </c>
      <c r="B25" s="463">
        <f>B24*'Hypothèses'!B11</f>
        <v/>
      </c>
      <c r="C25" s="462">
        <f>SUMPRODUCT('Hypothèses'!C30:C32,'Hypothèses'!F30:F32)*'Hypothèses'!B35</f>
        <v/>
      </c>
      <c r="D25" s="463">
        <f>'Hypothèses'!B13</f>
        <v/>
      </c>
      <c r="E25" s="466" t="n">
        <v>0.8</v>
      </c>
      <c r="F25" s="467">
        <f>B25*C25*D25*E25*(1+'Hypothèses'!B19)</f>
        <v/>
      </c>
      <c r="G25" s="468" t="n">
        <v>5</v>
      </c>
      <c r="H25" s="161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161" t="inlineStr">
        <is>
          <t>Payout #5</t>
        </is>
      </c>
      <c r="B26" s="463">
        <f>B25*'Hypothèses'!B12</f>
        <v/>
      </c>
      <c r="C26" s="462">
        <f>SUMPRODUCT('Hypothèses'!C30:C32,'Hypothèses'!G30:G32)*'Hypothèses'!B35</f>
        <v/>
      </c>
      <c r="D26" s="463">
        <f>'Hypothèses'!B13</f>
        <v/>
      </c>
      <c r="E26" s="466" t="n">
        <v>0.9</v>
      </c>
      <c r="F26" s="467">
        <f>B26*C26*D26*E26*(1+'Hypothèses'!B19)</f>
        <v/>
      </c>
      <c r="G26" s="468" t="n">
        <v>6</v>
      </c>
      <c r="H26" s="161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161" t="n"/>
      <c r="B27" s="161" t="n"/>
      <c r="C27" s="161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289" t="inlineStr">
        <is>
          <t>Coût payout attendu par achat</t>
        </is>
      </c>
      <c r="B28" s="464">
        <f>SUM(F22:F26)</f>
        <v/>
      </c>
      <c r="C28" s="465">
        <f>B28/B7</f>
        <v/>
      </c>
      <c r="D28" s="289" t="str"/>
      <c r="E28" s="289" t="str"/>
      <c r="F28" s="289" t="str"/>
      <c r="G28" s="289" t="str"/>
      <c r="H28" s="161" t="n"/>
      <c r="I28" s="161" t="n"/>
      <c r="J28" s="161" t="n"/>
      <c r="K28" s="161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61" t="n"/>
      <c r="B30" s="161" t="n"/>
      <c r="C30" s="161" t="n"/>
      <c r="D30" s="161" t="n"/>
      <c r="E30" s="161" t="n"/>
      <c r="F30" s="161" t="n"/>
      <c r="G30" s="161" t="n"/>
      <c r="H30" s="161" t="n"/>
      <c r="I30" s="161" t="n"/>
      <c r="J30" s="161" t="n"/>
      <c r="K30" s="161" t="n"/>
      <c r="L30" s="161" t="n"/>
      <c r="M30" s="161" t="n"/>
      <c r="N30" s="161" t="n"/>
      <c r="O30" s="161" t="n"/>
      <c r="P30" s="161" t="n"/>
      <c r="Q30" s="161" t="n"/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168" t="inlineStr">
        <is>
          <t>C. Contribution et capacité</t>
        </is>
      </c>
      <c r="B31" s="1" t="n"/>
      <c r="C31" s="1" t="n"/>
      <c r="D31" s="1" t="n"/>
      <c r="E31" s="1" t="n"/>
      <c r="F31" s="1" t="n"/>
      <c r="G31" s="1" t="n"/>
      <c r="H31" s="161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294" t="inlineStr">
        <is>
          <t>Contribution après payouts</t>
        </is>
      </c>
      <c r="B32" s="469">
        <f>B17-B28</f>
        <v/>
      </c>
      <c r="C32" s="294" t="inlineStr">
        <is>
          <t>FCFA / achat</t>
        </is>
      </c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294" t="inlineStr">
        <is>
          <t>Marge de contribution</t>
        </is>
      </c>
      <c r="B33" s="470">
        <f>B32/B7</f>
        <v/>
      </c>
      <c r="C33" s="294" t="inlineStr">
        <is>
          <t>%</t>
        </is>
      </c>
      <c r="D33" s="161" t="n"/>
      <c r="E33" s="161" t="n"/>
      <c r="F33" s="161" t="n"/>
      <c r="G33" s="161" t="n"/>
      <c r="H33" s="161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1" t="n"/>
      <c r="V33" s="161" t="n"/>
      <c r="W33" s="161" t="n"/>
      <c r="X33" s="161" t="n"/>
      <c r="Y33" s="161" t="n"/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294" t="inlineStr">
        <is>
          <t>Seuil de rentabilité mensuel</t>
        </is>
      </c>
      <c r="B34" s="471">
        <f>IF(B32&gt;0,'Hypothèses'!B24/B32,0)</f>
        <v/>
      </c>
      <c r="C34" s="294" t="inlineStr">
        <is>
          <t>achats / mois</t>
        </is>
      </c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294" t="inlineStr">
        <is>
          <t>Réserve recommandée / 1 000 achats</t>
        </is>
      </c>
      <c r="B35" s="469">
        <f>B28*1000*'Hypothèses'!B38</f>
        <v/>
      </c>
      <c r="C35" s="294" t="inlineStr">
        <is>
          <t>FCFA</t>
        </is>
      </c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294" t="inlineStr">
        <is>
          <t>Contribution / 1 000 achats avant OPEX</t>
        </is>
      </c>
      <c r="B36" s="469">
        <f>B32*1000</f>
        <v/>
      </c>
      <c r="C36" s="294" t="inlineStr">
        <is>
          <t>FCFA</t>
        </is>
      </c>
      <c r="D36" s="161" t="n"/>
      <c r="E36" s="161" t="n"/>
      <c r="F36" s="161" t="n"/>
      <c r="G36" s="161" t="n"/>
      <c r="H36" s="161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294" t="inlineStr">
        <is>
          <t>Max safe sales — réserve initiale</t>
        </is>
      </c>
      <c r="B37" s="471">
        <f>IF(B28&gt;0,'Hypothèses'!B37/(B28*'Hypothèses'!B38),0)</f>
        <v/>
      </c>
      <c r="C37" s="294" t="inlineStr">
        <is>
          <t>achats</t>
        </is>
      </c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  <c r="S41" s="161" t="n"/>
      <c r="T41" s="161" t="n"/>
      <c r="U41" s="161" t="n"/>
      <c r="V41" s="161" t="n"/>
      <c r="W41" s="161" t="n"/>
      <c r="X41" s="161" t="n"/>
      <c r="Y41" s="16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  <c r="S42" s="161" t="n"/>
      <c r="T42" s="161" t="n"/>
      <c r="U42" s="161" t="n"/>
      <c r="V42" s="161" t="n"/>
      <c r="W42" s="161" t="n"/>
      <c r="X42" s="161" t="n"/>
      <c r="Y42" s="161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4">
    <mergeCell ref="A20:G20"/>
    <mergeCell ref="A31:G31"/>
    <mergeCell ref="A1:G1"/>
    <mergeCell ref="A5:G5"/>
  </mergeCells>
  <conditionalFormatting sqref="B32:B33">
    <cfRule type="colorScale" priority="1">
      <colorScale>
        <cfvo type="min"/>
        <cfvo type="percentile" val="50"/>
        <cfvo type="max"/>
        <color rgb="FFFBE7E7"/>
        <color rgb="FFFFF1D5"/>
        <color rgb="FFE3F3EC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15" customHeight="1">
      <c r="A1" s="401" t="inlineStr">
        <is>
          <t>WARIBA — Économie d’une cohorte de 1 000 achats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  <c r="U1" s="161" t="n"/>
      <c r="V1" s="161" t="n"/>
      <c r="W1" s="161" t="n"/>
      <c r="X1" s="161" t="n"/>
      <c r="Y1" s="16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67" t="inlineStr">
        <is>
          <t>La cohorte transforme les probabilités en nombres de comptes, recettes, coûts et besoins de réserve.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168" t="inlineStr">
        <is>
          <t>A. Funnel Evaluation → Payout #5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164" t="inlineStr">
        <is>
          <t>Étape</t>
        </is>
      </c>
      <c r="B5" s="164" t="inlineStr">
        <is>
          <t>Probabilité / achat</t>
        </is>
      </c>
      <c r="C5" s="164" t="inlineStr">
        <is>
          <t>Comptes attendus</t>
        </is>
      </c>
      <c r="D5" s="164" t="inlineStr">
        <is>
          <t>Cap moyen</t>
        </is>
      </c>
      <c r="E5" s="164" t="inlineStr">
        <is>
          <t>Utilisation</t>
        </is>
      </c>
      <c r="F5" s="164" t="inlineStr">
        <is>
          <t>Payout Base</t>
        </is>
      </c>
      <c r="G5" s="164" t="inlineStr">
        <is>
          <t>Split trader</t>
        </is>
      </c>
      <c r="H5" s="164" t="inlineStr">
        <is>
          <t>Trader Cash</t>
        </is>
      </c>
      <c r="I5" s="164" t="inlineStr">
        <is>
          <t>Frais payout</t>
        </is>
      </c>
      <c r="J5" s="164" t="inlineStr">
        <is>
          <t>Cash total</t>
        </is>
      </c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161" t="inlineStr">
        <is>
          <t>Payout #1</t>
        </is>
      </c>
      <c r="B6" s="463">
        <f>'Économie Unitaire'!B22</f>
        <v/>
      </c>
      <c r="C6" s="472">
        <f>B6*1000</f>
        <v/>
      </c>
      <c r="D6" s="462">
        <f>'Économie Unitaire'!C22</f>
        <v/>
      </c>
      <c r="E6" s="463">
        <f>'Hypothèses'!B13</f>
        <v/>
      </c>
      <c r="F6" s="462">
        <f>C6*D6*E6</f>
        <v/>
      </c>
      <c r="G6" s="463">
        <f>'Économie Unitaire'!E22</f>
        <v/>
      </c>
      <c r="H6" s="462">
        <f>F6*G6</f>
        <v/>
      </c>
      <c r="I6" s="462">
        <f>H6*'Hypothèses'!B19</f>
        <v/>
      </c>
      <c r="J6" s="462">
        <f>H6+I6</f>
        <v/>
      </c>
      <c r="K6" s="161" t="n"/>
      <c r="L6" s="161" t="n"/>
      <c r="M6" s="161" t="n"/>
      <c r="N6" s="161" t="n"/>
      <c r="O6" s="161" t="n"/>
      <c r="P6" s="161" t="n"/>
      <c r="Q6" s="161" t="n"/>
      <c r="R6" s="161" t="n"/>
      <c r="S6" s="161" t="n"/>
      <c r="T6" s="161" t="n"/>
      <c r="U6" s="161" t="n"/>
      <c r="V6" s="161" t="n"/>
      <c r="W6" s="161" t="n"/>
      <c r="X6" s="161" t="n"/>
      <c r="Y6" s="161" t="n"/>
      <c r="Z6" s="161" t="n"/>
      <c r="AA6" s="161" t="n"/>
      <c r="AB6" s="161" t="n"/>
      <c r="AC6" s="161" t="n"/>
      <c r="AD6" s="161" t="n"/>
      <c r="AE6" s="161" t="n"/>
      <c r="AF6" s="161" t="n"/>
      <c r="AG6" s="161" t="n"/>
      <c r="AH6" s="161" t="n"/>
      <c r="AI6" s="161" t="n"/>
      <c r="AJ6" s="161" t="n"/>
      <c r="AK6" s="161" t="n"/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161" t="inlineStr">
        <is>
          <t>Payout #2</t>
        </is>
      </c>
      <c r="B7" s="463">
        <f>'Économie Unitaire'!B23</f>
        <v/>
      </c>
      <c r="C7" s="472">
        <f>B7*1000</f>
        <v/>
      </c>
      <c r="D7" s="462">
        <f>'Économie Unitaire'!C23</f>
        <v/>
      </c>
      <c r="E7" s="463">
        <f>'Hypothèses'!B13</f>
        <v/>
      </c>
      <c r="F7" s="462">
        <f>C7*D7*E7</f>
        <v/>
      </c>
      <c r="G7" s="463">
        <f>'Économie Unitaire'!E23</f>
        <v/>
      </c>
      <c r="H7" s="462">
        <f>F7*G7</f>
        <v/>
      </c>
      <c r="I7" s="462">
        <f>H7*'Hypothèses'!B19</f>
        <v/>
      </c>
      <c r="J7" s="462">
        <f>H7+I7</f>
        <v/>
      </c>
      <c r="K7" s="161" t="n"/>
      <c r="L7" s="161" t="n"/>
      <c r="M7" s="161" t="n"/>
      <c r="N7" s="161" t="n"/>
      <c r="O7" s="161" t="n"/>
      <c r="P7" s="161" t="n"/>
      <c r="Q7" s="161" t="n"/>
      <c r="R7" s="161" t="n"/>
      <c r="S7" s="161" t="n"/>
      <c r="T7" s="161" t="n"/>
      <c r="U7" s="161" t="n"/>
      <c r="V7" s="161" t="n"/>
      <c r="W7" s="161" t="n"/>
      <c r="X7" s="161" t="n"/>
      <c r="Y7" s="161" t="n"/>
      <c r="Z7" s="161" t="n"/>
      <c r="AA7" s="161" t="n"/>
      <c r="AB7" s="161" t="n"/>
      <c r="AC7" s="161" t="n"/>
      <c r="AD7" s="161" t="n"/>
      <c r="AE7" s="161" t="n"/>
      <c r="AF7" s="161" t="n"/>
      <c r="AG7" s="161" t="n"/>
      <c r="AH7" s="161" t="n"/>
      <c r="AI7" s="161" t="n"/>
      <c r="AJ7" s="161" t="n"/>
      <c r="AK7" s="161" t="n"/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161" t="inlineStr">
        <is>
          <t>Payout #3</t>
        </is>
      </c>
      <c r="B8" s="463">
        <f>'Économie Unitaire'!B24</f>
        <v/>
      </c>
      <c r="C8" s="472">
        <f>B8*1000</f>
        <v/>
      </c>
      <c r="D8" s="462">
        <f>'Économie Unitaire'!C24</f>
        <v/>
      </c>
      <c r="E8" s="463">
        <f>'Hypothèses'!B13</f>
        <v/>
      </c>
      <c r="F8" s="462">
        <f>C8*D8*E8</f>
        <v/>
      </c>
      <c r="G8" s="463">
        <f>'Économie Unitaire'!E24</f>
        <v/>
      </c>
      <c r="H8" s="462">
        <f>F8*G8</f>
        <v/>
      </c>
      <c r="I8" s="462">
        <f>H8*'Hypothèses'!B19</f>
        <v/>
      </c>
      <c r="J8" s="462">
        <f>H8+I8</f>
        <v/>
      </c>
      <c r="K8" s="161" t="n"/>
      <c r="L8" s="161" t="n"/>
      <c r="M8" s="161" t="n"/>
      <c r="N8" s="161" t="n"/>
      <c r="O8" s="161" t="n"/>
      <c r="P8" s="161" t="n"/>
      <c r="Q8" s="161" t="n"/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161" t="inlineStr">
        <is>
          <t>Payout #4</t>
        </is>
      </c>
      <c r="B9" s="463">
        <f>'Économie Unitaire'!B25</f>
        <v/>
      </c>
      <c r="C9" s="472">
        <f>B9*1000</f>
        <v/>
      </c>
      <c r="D9" s="462">
        <f>'Économie Unitaire'!C25</f>
        <v/>
      </c>
      <c r="E9" s="463">
        <f>'Hypothèses'!B13</f>
        <v/>
      </c>
      <c r="F9" s="462">
        <f>C9*D9*E9</f>
        <v/>
      </c>
      <c r="G9" s="463">
        <f>'Économie Unitaire'!E25</f>
        <v/>
      </c>
      <c r="H9" s="462">
        <f>F9*G9</f>
        <v/>
      </c>
      <c r="I9" s="462">
        <f>H9*'Hypothèses'!B19</f>
        <v/>
      </c>
      <c r="J9" s="462">
        <f>H9+I9</f>
        <v/>
      </c>
      <c r="K9" s="161" t="n"/>
      <c r="L9" s="161" t="n"/>
      <c r="M9" s="161" t="n"/>
      <c r="N9" s="161" t="n"/>
      <c r="O9" s="161" t="n"/>
      <c r="P9" s="161" t="n"/>
      <c r="Q9" s="161" t="n"/>
      <c r="R9" s="161" t="n"/>
      <c r="S9" s="161" t="n"/>
      <c r="T9" s="161" t="n"/>
      <c r="U9" s="161" t="n"/>
      <c r="V9" s="161" t="n"/>
      <c r="W9" s="161" t="n"/>
      <c r="X9" s="161" t="n"/>
      <c r="Y9" s="161" t="n"/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161" t="inlineStr">
        <is>
          <t>Payout #5</t>
        </is>
      </c>
      <c r="B10" s="463">
        <f>'Économie Unitaire'!B26</f>
        <v/>
      </c>
      <c r="C10" s="472">
        <f>B10*1000</f>
        <v/>
      </c>
      <c r="D10" s="462">
        <f>'Économie Unitaire'!C26</f>
        <v/>
      </c>
      <c r="E10" s="463">
        <f>'Hypothèses'!B13</f>
        <v/>
      </c>
      <c r="F10" s="462">
        <f>C10*D10*E10</f>
        <v/>
      </c>
      <c r="G10" s="463">
        <f>'Économie Unitaire'!E26</f>
        <v/>
      </c>
      <c r="H10" s="462">
        <f>F10*G10</f>
        <v/>
      </c>
      <c r="I10" s="462">
        <f>H10*'Hypothèses'!B19</f>
        <v/>
      </c>
      <c r="J10" s="462">
        <f>H10+I10</f>
        <v/>
      </c>
      <c r="K10" s="161" t="n"/>
      <c r="L10" s="161" t="n"/>
      <c r="M10" s="161" t="n"/>
      <c r="N10" s="161" t="n"/>
      <c r="O10" s="161" t="n"/>
      <c r="P10" s="161" t="n"/>
      <c r="Q10" s="161" t="n"/>
      <c r="R10" s="161" t="n"/>
      <c r="S10" s="161" t="n"/>
      <c r="T10" s="161" t="n"/>
      <c r="U10" s="161" t="n"/>
      <c r="V10" s="161" t="n"/>
      <c r="W10" s="161" t="n"/>
      <c r="X10" s="161" t="n"/>
      <c r="Y10" s="161" t="n"/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161" t="n"/>
      <c r="B11" s="161" t="n"/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289" t="inlineStr">
        <is>
          <t>Total cash payouts</t>
        </is>
      </c>
      <c r="B12" s="289" t="str"/>
      <c r="C12" s="289" t="str"/>
      <c r="D12" s="289" t="str"/>
      <c r="E12" s="289" t="str"/>
      <c r="F12" s="289" t="str"/>
      <c r="G12" s="289" t="str"/>
      <c r="H12" s="289" t="str"/>
      <c r="I12" s="289" t="str"/>
      <c r="J12" s="464">
        <f>SUM(J6:J10)</f>
        <v/>
      </c>
      <c r="K12" s="161" t="n"/>
      <c r="L12" s="16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161" t="n"/>
      <c r="B13" s="161" t="n"/>
      <c r="C13" s="161" t="n"/>
      <c r="D13" s="161" t="n"/>
      <c r="E13" s="161" t="n"/>
      <c r="F13" s="161" t="n"/>
      <c r="G13" s="161" t="n"/>
      <c r="H13" s="161" t="n"/>
      <c r="I13" s="161" t="n"/>
      <c r="J13" s="161" t="n"/>
      <c r="K13" s="161" t="n"/>
      <c r="L13" s="161" t="n"/>
      <c r="M13" s="161" t="n"/>
      <c r="N13" s="161" t="n"/>
      <c r="O13" s="161" t="n"/>
      <c r="P13" s="161" t="n"/>
      <c r="Q13" s="161" t="n"/>
      <c r="R13" s="161" t="n"/>
      <c r="S13" s="161" t="n"/>
      <c r="T13" s="161" t="n"/>
      <c r="U13" s="161" t="n"/>
      <c r="V13" s="161" t="n"/>
      <c r="W13" s="161" t="n"/>
      <c r="X13" s="161" t="n"/>
      <c r="Y13" s="161" t="n"/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161" t="n"/>
      <c r="B14" s="161" t="n"/>
      <c r="C14" s="161" t="n"/>
      <c r="D14" s="161" t="n"/>
      <c r="E14" s="161" t="n"/>
      <c r="F14" s="161" t="n"/>
      <c r="G14" s="161" t="n"/>
      <c r="H14" s="161" t="n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168" t="inlineStr">
        <is>
          <t>B. P&amp;L de la cohorte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61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164" t="inlineStr">
        <is>
          <t>Métrique</t>
        </is>
      </c>
      <c r="B16" s="164" t="inlineStr">
        <is>
          <t>Montant (FCFA)</t>
        </is>
      </c>
      <c r="C16" s="164" t="inlineStr">
        <is>
          <t>Par achat</t>
        </is>
      </c>
      <c r="D16" s="164" t="inlineStr">
        <is>
          <t>Commentaire</t>
        </is>
      </c>
      <c r="E16" s="161" t="n"/>
      <c r="F16" s="161" t="n"/>
      <c r="G16" s="161" t="n"/>
      <c r="H16" s="161" t="n"/>
      <c r="I16" s="161" t="n"/>
      <c r="J16" s="161" t="n"/>
      <c r="K16" s="161" t="n"/>
      <c r="L16" s="161" t="n"/>
      <c r="M16" s="161" t="n"/>
      <c r="N16" s="161" t="n"/>
      <c r="O16" s="161" t="n"/>
      <c r="P16" s="161" t="n"/>
      <c r="Q16" s="161" t="n"/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161" t="inlineStr">
        <is>
          <t>Chiffre d’affaires</t>
        </is>
      </c>
      <c r="B17" s="462">
        <f>'Économie Unitaire'!B7*1000</f>
        <v/>
      </c>
      <c r="C17" s="462">
        <f>B17/1000</f>
        <v/>
      </c>
      <c r="D17" s="161" t="str"/>
      <c r="E17" s="161" t="n"/>
      <c r="F17" s="161" t="n"/>
      <c r="G17" s="161" t="n"/>
      <c r="H17" s="161" t="n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  <c r="S17" s="161" t="n"/>
      <c r="T17" s="161" t="n"/>
      <c r="U17" s="161" t="n"/>
      <c r="V17" s="161" t="n"/>
      <c r="W17" s="161" t="n"/>
      <c r="X17" s="161" t="n"/>
      <c r="Y17" s="161" t="n"/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15" customHeight="1">
      <c r="A18" s="161" t="inlineStr">
        <is>
          <t>Remboursements / chargebacks</t>
        </is>
      </c>
      <c r="B18" s="462">
        <f>'Économie Unitaire'!B8*1000</f>
        <v/>
      </c>
      <c r="C18" s="462">
        <f>B18/1000</f>
        <v/>
      </c>
      <c r="D18" s="161" t="str"/>
      <c r="E18" s="161" t="n"/>
      <c r="F18" s="161" t="n"/>
      <c r="G18" s="161" t="n"/>
      <c r="H18" s="161" t="n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15" customHeight="1">
      <c r="A19" s="161" t="inlineStr">
        <is>
          <t>Frais PSP</t>
        </is>
      </c>
      <c r="B19" s="462">
        <f>'Économie Unitaire'!B9*1000</f>
        <v/>
      </c>
      <c r="C19" s="462">
        <f>B19/1000</f>
        <v/>
      </c>
      <c r="D19" s="161" t="str"/>
      <c r="E19" s="161" t="n"/>
      <c r="F19" s="161" t="n"/>
      <c r="G19" s="161" t="n"/>
      <c r="H19" s="161" t="n"/>
      <c r="I19" s="161" t="n"/>
      <c r="J19" s="161" t="n"/>
      <c r="K19" s="161" t="n"/>
      <c r="L19" s="16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15" customHeight="1">
      <c r="A20" s="161" t="inlineStr">
        <is>
          <t>Provision fiscale</t>
        </is>
      </c>
      <c r="B20" s="462">
        <f>'Économie Unitaire'!B10*1000</f>
        <v/>
      </c>
      <c r="C20" s="462">
        <f>B20/1000</f>
        <v/>
      </c>
      <c r="D20" s="161" t="str"/>
      <c r="E20" s="161" t="n"/>
      <c r="F20" s="161" t="n"/>
      <c r="G20" s="161" t="n"/>
      <c r="H20" s="161" t="n"/>
      <c r="I20" s="161" t="n"/>
      <c r="J20" s="161" t="n"/>
      <c r="K20" s="161" t="n"/>
      <c r="L20" s="16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15" customHeight="1">
      <c r="A21" s="161" t="inlineStr">
        <is>
          <t>CAC</t>
        </is>
      </c>
      <c r="B21" s="462">
        <f>'Économie Unitaire'!B11*1000</f>
        <v/>
      </c>
      <c r="C21" s="462">
        <f>B21/1000</f>
        <v/>
      </c>
      <c r="D21" s="161" t="str"/>
      <c r="E21" s="161" t="n"/>
      <c r="F21" s="161" t="n"/>
      <c r="G21" s="161" t="n"/>
      <c r="H21" s="161" t="n"/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15" customHeight="1">
      <c r="A22" s="161" t="inlineStr">
        <is>
          <t>Support variable</t>
        </is>
      </c>
      <c r="B22" s="462">
        <f>'Économie Unitaire'!B12*1000</f>
        <v/>
      </c>
      <c r="C22" s="462">
        <f>B22/1000</f>
        <v/>
      </c>
      <c r="D22" s="161" t="str"/>
      <c r="E22" s="161" t="n"/>
      <c r="F22" s="161" t="n"/>
      <c r="G22" s="161" t="n"/>
      <c r="H22" s="161" t="n"/>
      <c r="I22" s="161" t="n"/>
      <c r="J22" s="161" t="n"/>
      <c r="K22" s="161" t="n"/>
      <c r="L22" s="16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61" t="inlineStr">
        <is>
          <t>KYC / contrôle</t>
        </is>
      </c>
      <c r="B23" s="462">
        <f>'Économie Unitaire'!B13*1000</f>
        <v/>
      </c>
      <c r="C23" s="462">
        <f>B23/1000</f>
        <v/>
      </c>
      <c r="D23" s="161" t="str"/>
      <c r="E23" s="161" t="n"/>
      <c r="F23" s="161" t="n"/>
      <c r="G23" s="161" t="n"/>
      <c r="H23" s="161" t="n"/>
      <c r="I23" s="161" t="n"/>
      <c r="J23" s="161" t="n"/>
      <c r="K23" s="161" t="n"/>
      <c r="L23" s="161" t="n"/>
      <c r="M23" s="161" t="n"/>
      <c r="N23" s="161" t="n"/>
      <c r="O23" s="161" t="n"/>
      <c r="P23" s="161" t="n"/>
      <c r="Q23" s="161" t="n"/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161" t="inlineStr">
        <is>
          <t>Fraude / paiement</t>
        </is>
      </c>
      <c r="B24" s="462">
        <f>'Économie Unitaire'!B14*1000</f>
        <v/>
      </c>
      <c r="C24" s="462">
        <f>B24/1000</f>
        <v/>
      </c>
      <c r="D24" s="161" t="str"/>
      <c r="E24" s="161" t="n"/>
      <c r="F24" s="161" t="n"/>
      <c r="G24" s="161" t="n"/>
      <c r="H24" s="161" t="n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161" t="inlineStr">
        <is>
          <t>Affiliation</t>
        </is>
      </c>
      <c r="B25" s="462">
        <f>'Économie Unitaire'!B15*1000</f>
        <v/>
      </c>
      <c r="C25" s="462">
        <f>B25/1000</f>
        <v/>
      </c>
      <c r="D25" s="161" t="str"/>
      <c r="E25" s="161" t="n"/>
      <c r="F25" s="161" t="n"/>
      <c r="G25" s="161" t="n"/>
      <c r="H25" s="161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161" t="inlineStr">
        <is>
          <t>Cash payouts</t>
        </is>
      </c>
      <c r="B26" s="462">
        <f>-J12</f>
        <v/>
      </c>
      <c r="C26" s="462">
        <f>B26/1000</f>
        <v/>
      </c>
      <c r="D26" s="161" t="str"/>
      <c r="E26" s="161" t="n"/>
      <c r="F26" s="161" t="n"/>
      <c r="G26" s="161" t="n"/>
      <c r="H26" s="161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161" t="n"/>
      <c r="B27" s="161" t="n"/>
      <c r="C27" s="161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289" t="inlineStr">
        <is>
          <t>Contribution avant OPEX fixe</t>
        </is>
      </c>
      <c r="B28" s="464">
        <f>SUM(B17:B26)</f>
        <v/>
      </c>
      <c r="C28" s="464">
        <f>B28/1000</f>
        <v/>
      </c>
      <c r="D28" s="289" t="str"/>
      <c r="E28" s="161" t="n"/>
      <c r="F28" s="161" t="n"/>
      <c r="G28" s="161" t="n"/>
      <c r="H28" s="161" t="n"/>
      <c r="I28" s="161" t="n"/>
      <c r="J28" s="161" t="n"/>
      <c r="K28" s="161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64" t="inlineStr">
        <is>
          <t>Indicateur</t>
        </is>
      </c>
      <c r="B30" s="164" t="inlineStr">
        <is>
          <t>Valeur</t>
        </is>
      </c>
      <c r="C30" s="164" t="inlineStr">
        <is>
          <t>Unité</t>
        </is>
      </c>
      <c r="D30" s="164" t="inlineStr">
        <is>
          <t>Lecture</t>
        </is>
      </c>
      <c r="E30" s="161" t="n"/>
      <c r="F30" s="161" t="n"/>
      <c r="G30" s="161" t="n"/>
      <c r="H30" s="161" t="n"/>
      <c r="I30" s="161" t="n"/>
      <c r="J30" s="161" t="n"/>
      <c r="K30" s="161" t="n"/>
      <c r="L30" s="161" t="n"/>
      <c r="M30" s="161" t="n"/>
      <c r="N30" s="161" t="n"/>
      <c r="O30" s="161" t="n"/>
      <c r="P30" s="161" t="n"/>
      <c r="Q30" s="161" t="n"/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161" t="inlineStr">
        <is>
          <t>Réserve à 2,0x</t>
        </is>
      </c>
      <c r="B31" s="467">
        <f>J12*'Hypothèses'!B38</f>
        <v/>
      </c>
      <c r="C31" s="161" t="inlineStr">
        <is>
          <t>FCFA</t>
        </is>
      </c>
      <c r="D31" s="161" t="inlineStr">
        <is>
          <t>Cash payout attendu × couverture cible</t>
        </is>
      </c>
      <c r="E31" s="161" t="n"/>
      <c r="F31" s="161" t="n"/>
      <c r="G31" s="161" t="n"/>
      <c r="H31" s="161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161" t="inlineStr">
        <is>
          <t>Comptes passés</t>
        </is>
      </c>
      <c r="B32" s="473">
        <f>1000*'Hypothèses'!B7</f>
        <v/>
      </c>
      <c r="C32" s="161" t="inlineStr">
        <is>
          <t>comptes</t>
        </is>
      </c>
      <c r="D32" s="161" t="inlineStr">
        <is>
          <t>1 000 × taux de réussite</t>
        </is>
      </c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161" t="inlineStr">
        <is>
          <t>Comptes atteignant payout #1</t>
        </is>
      </c>
      <c r="B33" s="473">
        <f>C6</f>
        <v/>
      </c>
      <c r="C33" s="161" t="inlineStr">
        <is>
          <t>comptes</t>
        </is>
      </c>
      <c r="D33" s="161" t="inlineStr">
        <is>
          <t>Probabilité cumulée</t>
        </is>
      </c>
      <c r="E33" s="161" t="n"/>
      <c r="F33" s="161" t="n"/>
      <c r="G33" s="161" t="n"/>
      <c r="H33" s="161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1" t="n"/>
      <c r="V33" s="161" t="n"/>
      <c r="W33" s="161" t="n"/>
      <c r="X33" s="161" t="n"/>
      <c r="Y33" s="161" t="n"/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161" t="n"/>
      <c r="B34" s="161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161" t="n"/>
      <c r="B35" s="161" t="n"/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161" t="n"/>
      <c r="B36" s="161" t="n"/>
      <c r="C36" s="161" t="n"/>
      <c r="D36" s="161" t="n"/>
      <c r="E36" s="161" t="n"/>
      <c r="F36" s="161" t="n"/>
      <c r="G36" s="161" t="n"/>
      <c r="H36" s="161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  <c r="S41" s="161" t="n"/>
      <c r="T41" s="161" t="n"/>
      <c r="U41" s="161" t="n"/>
      <c r="V41" s="161" t="n"/>
      <c r="W41" s="161" t="n"/>
      <c r="X41" s="161" t="n"/>
      <c r="Y41" s="16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  <c r="S42" s="161" t="n"/>
      <c r="T42" s="161" t="n"/>
      <c r="U42" s="161" t="n"/>
      <c r="V42" s="161" t="n"/>
      <c r="W42" s="161" t="n"/>
      <c r="X42" s="161" t="n"/>
      <c r="Y42" s="161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4">
    <mergeCell ref="A1:J1"/>
    <mergeCell ref="A15:J15"/>
    <mergeCell ref="A4:J4"/>
    <mergeCell ref="A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 ht="15" customHeight="1">
      <c r="A1" s="401" t="inlineStr">
        <is>
          <t>WARIBA — Prévision de trésorerie sur 24 mois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67" t="inlineStr">
        <is>
          <t>Les repurchases sont calculés sur les achats échoués du mois précédent. Les payouts sont projetés par cohorte avec des lags de 2 à 6 mois.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164" t="inlineStr">
        <is>
          <t>Mois</t>
        </is>
      </c>
      <c r="B4" s="164" t="inlineStr">
        <is>
          <t>M1</t>
        </is>
      </c>
      <c r="C4" s="164" t="inlineStr">
        <is>
          <t>M2</t>
        </is>
      </c>
      <c r="D4" s="164" t="inlineStr">
        <is>
          <t>M3</t>
        </is>
      </c>
      <c r="E4" s="164" t="inlineStr">
        <is>
          <t>M4</t>
        </is>
      </c>
      <c r="F4" s="164" t="inlineStr">
        <is>
          <t>M5</t>
        </is>
      </c>
      <c r="G4" s="164" t="inlineStr">
        <is>
          <t>M6</t>
        </is>
      </c>
      <c r="H4" s="164" t="inlineStr">
        <is>
          <t>M7</t>
        </is>
      </c>
      <c r="I4" s="164" t="inlineStr">
        <is>
          <t>M8</t>
        </is>
      </c>
      <c r="J4" s="164" t="inlineStr">
        <is>
          <t>M9</t>
        </is>
      </c>
      <c r="K4" s="164" t="inlineStr">
        <is>
          <t>M10</t>
        </is>
      </c>
      <c r="L4" s="164" t="inlineStr">
        <is>
          <t>M11</t>
        </is>
      </c>
      <c r="M4" s="164" t="inlineStr">
        <is>
          <t>M12</t>
        </is>
      </c>
      <c r="N4" s="164" t="inlineStr">
        <is>
          <t>M13</t>
        </is>
      </c>
      <c r="O4" s="164" t="inlineStr">
        <is>
          <t>M14</t>
        </is>
      </c>
      <c r="P4" s="164" t="inlineStr">
        <is>
          <t>M15</t>
        </is>
      </c>
      <c r="Q4" s="164" t="inlineStr">
        <is>
          <t>M16</t>
        </is>
      </c>
      <c r="R4" s="164" t="inlineStr">
        <is>
          <t>M17</t>
        </is>
      </c>
      <c r="S4" s="164" t="inlineStr">
        <is>
          <t>M18</t>
        </is>
      </c>
      <c r="T4" s="164" t="inlineStr">
        <is>
          <t>M19</t>
        </is>
      </c>
      <c r="U4" s="164" t="inlineStr">
        <is>
          <t>M20</t>
        </is>
      </c>
      <c r="V4" s="164" t="inlineStr">
        <is>
          <t>M21</t>
        </is>
      </c>
      <c r="W4" s="164" t="inlineStr">
        <is>
          <t>M22</t>
        </is>
      </c>
      <c r="X4" s="164" t="inlineStr">
        <is>
          <t>M23</t>
        </is>
      </c>
      <c r="Y4" s="164" t="inlineStr">
        <is>
          <t>M24</t>
        </is>
      </c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161" t="inlineStr">
        <is>
          <t>Nouveaux acheteurs</t>
        </is>
      </c>
      <c r="B5" s="472">
        <f>'Hypothèses'!B43</f>
        <v/>
      </c>
      <c r="C5" s="472">
        <f>'Hypothèses'!C43</f>
        <v/>
      </c>
      <c r="D5" s="472">
        <f>'Hypothèses'!D43</f>
        <v/>
      </c>
      <c r="E5" s="472">
        <f>'Hypothèses'!E43</f>
        <v/>
      </c>
      <c r="F5" s="472">
        <f>'Hypothèses'!F43</f>
        <v/>
      </c>
      <c r="G5" s="472">
        <f>'Hypothèses'!G43</f>
        <v/>
      </c>
      <c r="H5" s="472">
        <f>'Hypothèses'!H43</f>
        <v/>
      </c>
      <c r="I5" s="472">
        <f>'Hypothèses'!I43</f>
        <v/>
      </c>
      <c r="J5" s="472">
        <f>'Hypothèses'!J43</f>
        <v/>
      </c>
      <c r="K5" s="472">
        <f>'Hypothèses'!K43</f>
        <v/>
      </c>
      <c r="L5" s="472">
        <f>'Hypothèses'!L43</f>
        <v/>
      </c>
      <c r="M5" s="472">
        <f>'Hypothèses'!M43</f>
        <v/>
      </c>
      <c r="N5" s="472">
        <f>'Hypothèses'!N43</f>
        <v/>
      </c>
      <c r="O5" s="472">
        <f>'Hypothèses'!O43</f>
        <v/>
      </c>
      <c r="P5" s="472">
        <f>'Hypothèses'!P43</f>
        <v/>
      </c>
      <c r="Q5" s="472">
        <f>'Hypothèses'!Q43</f>
        <v/>
      </c>
      <c r="R5" s="472">
        <f>'Hypothèses'!R43</f>
        <v/>
      </c>
      <c r="S5" s="472">
        <f>'Hypothèses'!S43</f>
        <v/>
      </c>
      <c r="T5" s="472">
        <f>'Hypothèses'!T43</f>
        <v/>
      </c>
      <c r="U5" s="472">
        <f>'Hypothèses'!U43</f>
        <v/>
      </c>
      <c r="V5" s="472">
        <f>'Hypothèses'!V43</f>
        <v/>
      </c>
      <c r="W5" s="472">
        <f>'Hypothèses'!W43</f>
        <v/>
      </c>
      <c r="X5" s="472">
        <f>'Hypothèses'!X43</f>
        <v/>
      </c>
      <c r="Y5" s="472">
        <f>'Hypothèses'!Y43</f>
        <v/>
      </c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161" t="inlineStr">
        <is>
          <t>Repurchases</t>
        </is>
      </c>
      <c r="B6" s="472" t="n">
        <v>0</v>
      </c>
      <c r="C6" s="472">
        <f>B7*(1-'Hypothèses'!B7)*'Hypothèses'!B22</f>
        <v/>
      </c>
      <c r="D6" s="472">
        <f>C7*(1-'Hypothèses'!B7)*'Hypothèses'!B22</f>
        <v/>
      </c>
      <c r="E6" s="472">
        <f>D7*(1-'Hypothèses'!B7)*'Hypothèses'!B22</f>
        <v/>
      </c>
      <c r="F6" s="472">
        <f>E7*(1-'Hypothèses'!B7)*'Hypothèses'!B22</f>
        <v/>
      </c>
      <c r="G6" s="472">
        <f>F7*(1-'Hypothèses'!B7)*'Hypothèses'!B22</f>
        <v/>
      </c>
      <c r="H6" s="472">
        <f>G7*(1-'Hypothèses'!B7)*'Hypothèses'!B22</f>
        <v/>
      </c>
      <c r="I6" s="472">
        <f>H7*(1-'Hypothèses'!B7)*'Hypothèses'!B22</f>
        <v/>
      </c>
      <c r="J6" s="472">
        <f>I7*(1-'Hypothèses'!B7)*'Hypothèses'!B22</f>
        <v/>
      </c>
      <c r="K6" s="472">
        <f>J7*(1-'Hypothèses'!B7)*'Hypothèses'!B22</f>
        <v/>
      </c>
      <c r="L6" s="472">
        <f>K7*(1-'Hypothèses'!B7)*'Hypothèses'!B22</f>
        <v/>
      </c>
      <c r="M6" s="472">
        <f>L7*(1-'Hypothèses'!B7)*'Hypothèses'!B22</f>
        <v/>
      </c>
      <c r="N6" s="472">
        <f>M7*(1-'Hypothèses'!B7)*'Hypothèses'!B22</f>
        <v/>
      </c>
      <c r="O6" s="472">
        <f>N7*(1-'Hypothèses'!B7)*'Hypothèses'!B22</f>
        <v/>
      </c>
      <c r="P6" s="472">
        <f>O7*(1-'Hypothèses'!B7)*'Hypothèses'!B22</f>
        <v/>
      </c>
      <c r="Q6" s="472">
        <f>P7*(1-'Hypothèses'!B7)*'Hypothèses'!B22</f>
        <v/>
      </c>
      <c r="R6" s="472">
        <f>Q7*(1-'Hypothèses'!B7)*'Hypothèses'!B22</f>
        <v/>
      </c>
      <c r="S6" s="472">
        <f>R7*(1-'Hypothèses'!B7)*'Hypothèses'!B22</f>
        <v/>
      </c>
      <c r="T6" s="472">
        <f>S7*(1-'Hypothèses'!B7)*'Hypothèses'!B22</f>
        <v/>
      </c>
      <c r="U6" s="472">
        <f>T7*(1-'Hypothèses'!B7)*'Hypothèses'!B22</f>
        <v/>
      </c>
      <c r="V6" s="472">
        <f>U7*(1-'Hypothèses'!B7)*'Hypothèses'!B22</f>
        <v/>
      </c>
      <c r="W6" s="472">
        <f>V7*(1-'Hypothèses'!B7)*'Hypothèses'!B22</f>
        <v/>
      </c>
      <c r="X6" s="472">
        <f>W7*(1-'Hypothèses'!B7)*'Hypothèses'!B22</f>
        <v/>
      </c>
      <c r="Y6" s="472">
        <f>X7*(1-'Hypothèses'!B7)*'Hypothèses'!B22</f>
        <v/>
      </c>
      <c r="Z6" s="161" t="n"/>
      <c r="AA6" s="161" t="n"/>
      <c r="AB6" s="161" t="n"/>
      <c r="AC6" s="161" t="n"/>
      <c r="AD6" s="161" t="n"/>
      <c r="AE6" s="161" t="n"/>
      <c r="AF6" s="161" t="n"/>
      <c r="AG6" s="161" t="n"/>
      <c r="AH6" s="161" t="n"/>
      <c r="AI6" s="161" t="n"/>
      <c r="AJ6" s="161" t="n"/>
      <c r="AK6" s="161" t="n"/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161" t="inlineStr">
        <is>
          <t>Achats totaux</t>
        </is>
      </c>
      <c r="B7" s="472">
        <f>B5+B6</f>
        <v/>
      </c>
      <c r="C7" s="472">
        <f>C5+C6</f>
        <v/>
      </c>
      <c r="D7" s="472">
        <f>D5+D6</f>
        <v/>
      </c>
      <c r="E7" s="472">
        <f>E5+E6</f>
        <v/>
      </c>
      <c r="F7" s="472">
        <f>F5+F6</f>
        <v/>
      </c>
      <c r="G7" s="472">
        <f>G5+G6</f>
        <v/>
      </c>
      <c r="H7" s="472">
        <f>H5+H6</f>
        <v/>
      </c>
      <c r="I7" s="472">
        <f>I5+I6</f>
        <v/>
      </c>
      <c r="J7" s="472">
        <f>J5+J6</f>
        <v/>
      </c>
      <c r="K7" s="472">
        <f>K5+K6</f>
        <v/>
      </c>
      <c r="L7" s="472">
        <f>L5+L6</f>
        <v/>
      </c>
      <c r="M7" s="472">
        <f>M5+M6</f>
        <v/>
      </c>
      <c r="N7" s="472">
        <f>N5+N6</f>
        <v/>
      </c>
      <c r="O7" s="472">
        <f>O5+O6</f>
        <v/>
      </c>
      <c r="P7" s="472">
        <f>P5+P6</f>
        <v/>
      </c>
      <c r="Q7" s="472">
        <f>Q5+Q6</f>
        <v/>
      </c>
      <c r="R7" s="472">
        <f>R5+R6</f>
        <v/>
      </c>
      <c r="S7" s="472">
        <f>S5+S6</f>
        <v/>
      </c>
      <c r="T7" s="472">
        <f>T5+T6</f>
        <v/>
      </c>
      <c r="U7" s="472">
        <f>U5+U6</f>
        <v/>
      </c>
      <c r="V7" s="472">
        <f>V5+V6</f>
        <v/>
      </c>
      <c r="W7" s="472">
        <f>W5+W6</f>
        <v/>
      </c>
      <c r="X7" s="472">
        <f>X5+X6</f>
        <v/>
      </c>
      <c r="Y7" s="472">
        <f>Y5+Y6</f>
        <v/>
      </c>
      <c r="Z7" s="161" t="n"/>
      <c r="AA7" s="161" t="n"/>
      <c r="AB7" s="161" t="n"/>
      <c r="AC7" s="161" t="n"/>
      <c r="AD7" s="161" t="n"/>
      <c r="AE7" s="161" t="n"/>
      <c r="AF7" s="161" t="n"/>
      <c r="AG7" s="161" t="n"/>
      <c r="AH7" s="161" t="n"/>
      <c r="AI7" s="161" t="n"/>
      <c r="AJ7" s="161" t="n"/>
      <c r="AK7" s="161" t="n"/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161" t="inlineStr">
        <is>
          <t>Chiffre d’affaires</t>
        </is>
      </c>
      <c r="B8" s="462">
        <f>B7*'Économie Unitaire'!B7</f>
        <v/>
      </c>
      <c r="C8" s="462">
        <f>C7*'Économie Unitaire'!B7</f>
        <v/>
      </c>
      <c r="D8" s="462">
        <f>D7*'Économie Unitaire'!B7</f>
        <v/>
      </c>
      <c r="E8" s="462">
        <f>E7*'Économie Unitaire'!B7</f>
        <v/>
      </c>
      <c r="F8" s="462">
        <f>F7*'Économie Unitaire'!B7</f>
        <v/>
      </c>
      <c r="G8" s="462">
        <f>G7*'Économie Unitaire'!B7</f>
        <v/>
      </c>
      <c r="H8" s="462">
        <f>H7*'Économie Unitaire'!B7</f>
        <v/>
      </c>
      <c r="I8" s="462">
        <f>I7*'Économie Unitaire'!B7</f>
        <v/>
      </c>
      <c r="J8" s="462">
        <f>J7*'Économie Unitaire'!B7</f>
        <v/>
      </c>
      <c r="K8" s="462">
        <f>K7*'Économie Unitaire'!B7</f>
        <v/>
      </c>
      <c r="L8" s="462">
        <f>L7*'Économie Unitaire'!B7</f>
        <v/>
      </c>
      <c r="M8" s="462">
        <f>M7*'Économie Unitaire'!B7</f>
        <v/>
      </c>
      <c r="N8" s="462">
        <f>N7*'Économie Unitaire'!B7</f>
        <v/>
      </c>
      <c r="O8" s="462">
        <f>O7*'Économie Unitaire'!B7</f>
        <v/>
      </c>
      <c r="P8" s="462">
        <f>P7*'Économie Unitaire'!B7</f>
        <v/>
      </c>
      <c r="Q8" s="462">
        <f>Q7*'Économie Unitaire'!B7</f>
        <v/>
      </c>
      <c r="R8" s="462">
        <f>R7*'Économie Unitaire'!B7</f>
        <v/>
      </c>
      <c r="S8" s="462">
        <f>S7*'Économie Unitaire'!B7</f>
        <v/>
      </c>
      <c r="T8" s="462">
        <f>T7*'Économie Unitaire'!B7</f>
        <v/>
      </c>
      <c r="U8" s="462">
        <f>U7*'Économie Unitaire'!B7</f>
        <v/>
      </c>
      <c r="V8" s="462">
        <f>V7*'Économie Unitaire'!B7</f>
        <v/>
      </c>
      <c r="W8" s="462">
        <f>W7*'Économie Unitaire'!B7</f>
        <v/>
      </c>
      <c r="X8" s="462">
        <f>X7*'Économie Unitaire'!B7</f>
        <v/>
      </c>
      <c r="Y8" s="462">
        <f>Y7*'Économie Unitaire'!B7</f>
        <v/>
      </c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161" t="inlineStr">
        <is>
          <t>Remboursements</t>
        </is>
      </c>
      <c r="B9" s="462">
        <f>-B8*'Hypothèses'!B14</f>
        <v/>
      </c>
      <c r="C9" s="462">
        <f>-C8*'Hypothèses'!B14</f>
        <v/>
      </c>
      <c r="D9" s="462">
        <f>-D8*'Hypothèses'!B14</f>
        <v/>
      </c>
      <c r="E9" s="462">
        <f>-E8*'Hypothèses'!B14</f>
        <v/>
      </c>
      <c r="F9" s="462">
        <f>-F8*'Hypothèses'!B14</f>
        <v/>
      </c>
      <c r="G9" s="462">
        <f>-G8*'Hypothèses'!B14</f>
        <v/>
      </c>
      <c r="H9" s="462">
        <f>-H8*'Hypothèses'!B14</f>
        <v/>
      </c>
      <c r="I9" s="462">
        <f>-I8*'Hypothèses'!B14</f>
        <v/>
      </c>
      <c r="J9" s="462">
        <f>-J8*'Hypothèses'!B14</f>
        <v/>
      </c>
      <c r="K9" s="462">
        <f>-K8*'Hypothèses'!B14</f>
        <v/>
      </c>
      <c r="L9" s="462">
        <f>-L8*'Hypothèses'!B14</f>
        <v/>
      </c>
      <c r="M9" s="462">
        <f>-M8*'Hypothèses'!B14</f>
        <v/>
      </c>
      <c r="N9" s="462">
        <f>-N8*'Hypothèses'!B14</f>
        <v/>
      </c>
      <c r="O9" s="462">
        <f>-O8*'Hypothèses'!B14</f>
        <v/>
      </c>
      <c r="P9" s="462">
        <f>-P8*'Hypothèses'!B14</f>
        <v/>
      </c>
      <c r="Q9" s="462">
        <f>-Q8*'Hypothèses'!B14</f>
        <v/>
      </c>
      <c r="R9" s="462">
        <f>-R8*'Hypothèses'!B14</f>
        <v/>
      </c>
      <c r="S9" s="462">
        <f>-S8*'Hypothèses'!B14</f>
        <v/>
      </c>
      <c r="T9" s="462">
        <f>-T8*'Hypothèses'!B14</f>
        <v/>
      </c>
      <c r="U9" s="462">
        <f>-U8*'Hypothèses'!B14</f>
        <v/>
      </c>
      <c r="V9" s="462">
        <f>-V8*'Hypothèses'!B14</f>
        <v/>
      </c>
      <c r="W9" s="462">
        <f>-W8*'Hypothèses'!B14</f>
        <v/>
      </c>
      <c r="X9" s="462">
        <f>-X8*'Hypothèses'!B14</f>
        <v/>
      </c>
      <c r="Y9" s="462">
        <f>-Y8*'Hypothèses'!B14</f>
        <v/>
      </c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161" t="inlineStr">
        <is>
          <t>Frais PSP</t>
        </is>
      </c>
      <c r="B10" s="462">
        <f>-(B8+B9)*'Hypothèses'!B15</f>
        <v/>
      </c>
      <c r="C10" s="462">
        <f>-(C8+C9)*'Hypothèses'!B15</f>
        <v/>
      </c>
      <c r="D10" s="462">
        <f>-(D8+D9)*'Hypothèses'!B15</f>
        <v/>
      </c>
      <c r="E10" s="462">
        <f>-(E8+E9)*'Hypothèses'!B15</f>
        <v/>
      </c>
      <c r="F10" s="462">
        <f>-(F8+F9)*'Hypothèses'!B15</f>
        <v/>
      </c>
      <c r="G10" s="462">
        <f>-(G8+G9)*'Hypothèses'!B15</f>
        <v/>
      </c>
      <c r="H10" s="462">
        <f>-(H8+H9)*'Hypothèses'!B15</f>
        <v/>
      </c>
      <c r="I10" s="462">
        <f>-(I8+I9)*'Hypothèses'!B15</f>
        <v/>
      </c>
      <c r="J10" s="462">
        <f>-(J8+J9)*'Hypothèses'!B15</f>
        <v/>
      </c>
      <c r="K10" s="462">
        <f>-(K8+K9)*'Hypothèses'!B15</f>
        <v/>
      </c>
      <c r="L10" s="462">
        <f>-(L8+L9)*'Hypothèses'!B15</f>
        <v/>
      </c>
      <c r="M10" s="462">
        <f>-(M8+M9)*'Hypothèses'!B15</f>
        <v/>
      </c>
      <c r="N10" s="462">
        <f>-(N8+N9)*'Hypothèses'!B15</f>
        <v/>
      </c>
      <c r="O10" s="462">
        <f>-(O8+O9)*'Hypothèses'!B15</f>
        <v/>
      </c>
      <c r="P10" s="462">
        <f>-(P8+P9)*'Hypothèses'!B15</f>
        <v/>
      </c>
      <c r="Q10" s="462">
        <f>-(Q8+Q9)*'Hypothèses'!B15</f>
        <v/>
      </c>
      <c r="R10" s="462">
        <f>-(R8+R9)*'Hypothèses'!B15</f>
        <v/>
      </c>
      <c r="S10" s="462">
        <f>-(S8+S9)*'Hypothèses'!B15</f>
        <v/>
      </c>
      <c r="T10" s="462">
        <f>-(T8+T9)*'Hypothèses'!B15</f>
        <v/>
      </c>
      <c r="U10" s="462">
        <f>-(U8+U9)*'Hypothèses'!B15</f>
        <v/>
      </c>
      <c r="V10" s="462">
        <f>-(V8+V9)*'Hypothèses'!B15</f>
        <v/>
      </c>
      <c r="W10" s="462">
        <f>-(W8+W9)*'Hypothèses'!B15</f>
        <v/>
      </c>
      <c r="X10" s="462">
        <f>-(X8+X9)*'Hypothèses'!B15</f>
        <v/>
      </c>
      <c r="Y10" s="462">
        <f>-(Y8+Y9)*'Hypothèses'!B15</f>
        <v/>
      </c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161" t="inlineStr">
        <is>
          <t>Provision fiscale</t>
        </is>
      </c>
      <c r="B11" s="462">
        <f>-B8*'Hypothèses'!B25</f>
        <v/>
      </c>
      <c r="C11" s="462">
        <f>-C8*'Hypothèses'!B25</f>
        <v/>
      </c>
      <c r="D11" s="462">
        <f>-D8*'Hypothèses'!B25</f>
        <v/>
      </c>
      <c r="E11" s="462">
        <f>-E8*'Hypothèses'!B25</f>
        <v/>
      </c>
      <c r="F11" s="462">
        <f>-F8*'Hypothèses'!B25</f>
        <v/>
      </c>
      <c r="G11" s="462">
        <f>-G8*'Hypothèses'!B25</f>
        <v/>
      </c>
      <c r="H11" s="462">
        <f>-H8*'Hypothèses'!B25</f>
        <v/>
      </c>
      <c r="I11" s="462">
        <f>-I8*'Hypothèses'!B25</f>
        <v/>
      </c>
      <c r="J11" s="462">
        <f>-J8*'Hypothèses'!B25</f>
        <v/>
      </c>
      <c r="K11" s="462">
        <f>-K8*'Hypothèses'!B25</f>
        <v/>
      </c>
      <c r="L11" s="462">
        <f>-L8*'Hypothèses'!B25</f>
        <v/>
      </c>
      <c r="M11" s="462">
        <f>-M8*'Hypothèses'!B25</f>
        <v/>
      </c>
      <c r="N11" s="462">
        <f>-N8*'Hypothèses'!B25</f>
        <v/>
      </c>
      <c r="O11" s="462">
        <f>-O8*'Hypothèses'!B25</f>
        <v/>
      </c>
      <c r="P11" s="462">
        <f>-P8*'Hypothèses'!B25</f>
        <v/>
      </c>
      <c r="Q11" s="462">
        <f>-Q8*'Hypothèses'!B25</f>
        <v/>
      </c>
      <c r="R11" s="462">
        <f>-R8*'Hypothèses'!B25</f>
        <v/>
      </c>
      <c r="S11" s="462">
        <f>-S8*'Hypothèses'!B25</f>
        <v/>
      </c>
      <c r="T11" s="462">
        <f>-T8*'Hypothèses'!B25</f>
        <v/>
      </c>
      <c r="U11" s="462">
        <f>-U8*'Hypothèses'!B25</f>
        <v/>
      </c>
      <c r="V11" s="462">
        <f>-V8*'Hypothèses'!B25</f>
        <v/>
      </c>
      <c r="W11" s="462">
        <f>-W8*'Hypothèses'!B25</f>
        <v/>
      </c>
      <c r="X11" s="462">
        <f>-X8*'Hypothèses'!B25</f>
        <v/>
      </c>
      <c r="Y11" s="462">
        <f>-Y8*'Hypothèses'!B25</f>
        <v/>
      </c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161" t="inlineStr">
        <is>
          <t>CAC nouveaux acheteurs</t>
        </is>
      </c>
      <c r="B12" s="462">
        <f>-B5*'Hypothèses'!B16</f>
        <v/>
      </c>
      <c r="C12" s="462">
        <f>-C5*'Hypothèses'!B16</f>
        <v/>
      </c>
      <c r="D12" s="462">
        <f>-D5*'Hypothèses'!B16</f>
        <v/>
      </c>
      <c r="E12" s="462">
        <f>-E5*'Hypothèses'!B16</f>
        <v/>
      </c>
      <c r="F12" s="462">
        <f>-F5*'Hypothèses'!B16</f>
        <v/>
      </c>
      <c r="G12" s="462">
        <f>-G5*'Hypothèses'!B16</f>
        <v/>
      </c>
      <c r="H12" s="462">
        <f>-H5*'Hypothèses'!B16</f>
        <v/>
      </c>
      <c r="I12" s="462">
        <f>-I5*'Hypothèses'!B16</f>
        <v/>
      </c>
      <c r="J12" s="462">
        <f>-J5*'Hypothèses'!B16</f>
        <v/>
      </c>
      <c r="K12" s="462">
        <f>-K5*'Hypothèses'!B16</f>
        <v/>
      </c>
      <c r="L12" s="462">
        <f>-L5*'Hypothèses'!B16</f>
        <v/>
      </c>
      <c r="M12" s="462">
        <f>-M5*'Hypothèses'!B16</f>
        <v/>
      </c>
      <c r="N12" s="462">
        <f>-N5*'Hypothèses'!B16</f>
        <v/>
      </c>
      <c r="O12" s="462">
        <f>-O5*'Hypothèses'!B16</f>
        <v/>
      </c>
      <c r="P12" s="462">
        <f>-P5*'Hypothèses'!B16</f>
        <v/>
      </c>
      <c r="Q12" s="462">
        <f>-Q5*'Hypothèses'!B16</f>
        <v/>
      </c>
      <c r="R12" s="462">
        <f>-R5*'Hypothèses'!B16</f>
        <v/>
      </c>
      <c r="S12" s="462">
        <f>-S5*'Hypothèses'!B16</f>
        <v/>
      </c>
      <c r="T12" s="462">
        <f>-T5*'Hypothèses'!B16</f>
        <v/>
      </c>
      <c r="U12" s="462">
        <f>-U5*'Hypothèses'!B16</f>
        <v/>
      </c>
      <c r="V12" s="462">
        <f>-V5*'Hypothèses'!B16</f>
        <v/>
      </c>
      <c r="W12" s="462">
        <f>-W5*'Hypothèses'!B16</f>
        <v/>
      </c>
      <c r="X12" s="462">
        <f>-X5*'Hypothèses'!B16</f>
        <v/>
      </c>
      <c r="Y12" s="462">
        <f>-Y5*'Hypothèses'!B16</f>
        <v/>
      </c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161" t="inlineStr">
        <is>
          <t>Support variable</t>
        </is>
      </c>
      <c r="B13" s="462">
        <f>-B7*'Hypothèses'!B17</f>
        <v/>
      </c>
      <c r="C13" s="462">
        <f>-C7*'Hypothèses'!B17</f>
        <v/>
      </c>
      <c r="D13" s="462">
        <f>-D7*'Hypothèses'!B17</f>
        <v/>
      </c>
      <c r="E13" s="462">
        <f>-E7*'Hypothèses'!B17</f>
        <v/>
      </c>
      <c r="F13" s="462">
        <f>-F7*'Hypothèses'!B17</f>
        <v/>
      </c>
      <c r="G13" s="462">
        <f>-G7*'Hypothèses'!B17</f>
        <v/>
      </c>
      <c r="H13" s="462">
        <f>-H7*'Hypothèses'!B17</f>
        <v/>
      </c>
      <c r="I13" s="462">
        <f>-I7*'Hypothèses'!B17</f>
        <v/>
      </c>
      <c r="J13" s="462">
        <f>-J7*'Hypothèses'!B17</f>
        <v/>
      </c>
      <c r="K13" s="462">
        <f>-K7*'Hypothèses'!B17</f>
        <v/>
      </c>
      <c r="L13" s="462">
        <f>-L7*'Hypothèses'!B17</f>
        <v/>
      </c>
      <c r="M13" s="462">
        <f>-M7*'Hypothèses'!B17</f>
        <v/>
      </c>
      <c r="N13" s="462">
        <f>-N7*'Hypothèses'!B17</f>
        <v/>
      </c>
      <c r="O13" s="462">
        <f>-O7*'Hypothèses'!B17</f>
        <v/>
      </c>
      <c r="P13" s="462">
        <f>-P7*'Hypothèses'!B17</f>
        <v/>
      </c>
      <c r="Q13" s="462">
        <f>-Q7*'Hypothèses'!B17</f>
        <v/>
      </c>
      <c r="R13" s="462">
        <f>-R7*'Hypothèses'!B17</f>
        <v/>
      </c>
      <c r="S13" s="462">
        <f>-S7*'Hypothèses'!B17</f>
        <v/>
      </c>
      <c r="T13" s="462">
        <f>-T7*'Hypothèses'!B17</f>
        <v/>
      </c>
      <c r="U13" s="462">
        <f>-U7*'Hypothèses'!B17</f>
        <v/>
      </c>
      <c r="V13" s="462">
        <f>-V7*'Hypothèses'!B17</f>
        <v/>
      </c>
      <c r="W13" s="462">
        <f>-W7*'Hypothèses'!B17</f>
        <v/>
      </c>
      <c r="X13" s="462">
        <f>-X7*'Hypothèses'!B17</f>
        <v/>
      </c>
      <c r="Y13" s="462">
        <f>-Y7*'Hypothèses'!B17</f>
        <v/>
      </c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161" t="inlineStr">
        <is>
          <t>KYC / contrôle</t>
        </is>
      </c>
      <c r="B14" s="462">
        <f>-B7*'Hypothèses'!B7*'Hypothèses'!B18</f>
        <v/>
      </c>
      <c r="C14" s="462">
        <f>-C7*'Hypothèses'!B7*'Hypothèses'!B18</f>
        <v/>
      </c>
      <c r="D14" s="462">
        <f>-D7*'Hypothèses'!B7*'Hypothèses'!B18</f>
        <v/>
      </c>
      <c r="E14" s="462">
        <f>-E7*'Hypothèses'!B7*'Hypothèses'!B18</f>
        <v/>
      </c>
      <c r="F14" s="462">
        <f>-F7*'Hypothèses'!B7*'Hypothèses'!B18</f>
        <v/>
      </c>
      <c r="G14" s="462">
        <f>-G7*'Hypothèses'!B7*'Hypothèses'!B18</f>
        <v/>
      </c>
      <c r="H14" s="462">
        <f>-H7*'Hypothèses'!B7*'Hypothèses'!B18</f>
        <v/>
      </c>
      <c r="I14" s="462">
        <f>-I7*'Hypothèses'!B7*'Hypothèses'!B18</f>
        <v/>
      </c>
      <c r="J14" s="462">
        <f>-J7*'Hypothèses'!B7*'Hypothèses'!B18</f>
        <v/>
      </c>
      <c r="K14" s="462">
        <f>-K7*'Hypothèses'!B7*'Hypothèses'!B18</f>
        <v/>
      </c>
      <c r="L14" s="462">
        <f>-L7*'Hypothèses'!B7*'Hypothèses'!B18</f>
        <v/>
      </c>
      <c r="M14" s="462">
        <f>-M7*'Hypothèses'!B7*'Hypothèses'!B18</f>
        <v/>
      </c>
      <c r="N14" s="462">
        <f>-N7*'Hypothèses'!B7*'Hypothèses'!B18</f>
        <v/>
      </c>
      <c r="O14" s="462">
        <f>-O7*'Hypothèses'!B7*'Hypothèses'!B18</f>
        <v/>
      </c>
      <c r="P14" s="462">
        <f>-P7*'Hypothèses'!B7*'Hypothèses'!B18</f>
        <v/>
      </c>
      <c r="Q14" s="462">
        <f>-Q7*'Hypothèses'!B7*'Hypothèses'!B18</f>
        <v/>
      </c>
      <c r="R14" s="462">
        <f>-R7*'Hypothèses'!B7*'Hypothèses'!B18</f>
        <v/>
      </c>
      <c r="S14" s="462">
        <f>-S7*'Hypothèses'!B7*'Hypothèses'!B18</f>
        <v/>
      </c>
      <c r="T14" s="462">
        <f>-T7*'Hypothèses'!B7*'Hypothèses'!B18</f>
        <v/>
      </c>
      <c r="U14" s="462">
        <f>-U7*'Hypothèses'!B7*'Hypothèses'!B18</f>
        <v/>
      </c>
      <c r="V14" s="462">
        <f>-V7*'Hypothèses'!B7*'Hypothèses'!B18</f>
        <v/>
      </c>
      <c r="W14" s="462">
        <f>-W7*'Hypothèses'!B7*'Hypothèses'!B18</f>
        <v/>
      </c>
      <c r="X14" s="462">
        <f>-X7*'Hypothèses'!B7*'Hypothèses'!B18</f>
        <v/>
      </c>
      <c r="Y14" s="462">
        <f>-Y7*'Hypothèses'!B7*'Hypothèses'!B18</f>
        <v/>
      </c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161" t="inlineStr">
        <is>
          <t>Fraude / paiement</t>
        </is>
      </c>
      <c r="B15" s="462">
        <f>-B8*'Hypothèses'!B20</f>
        <v/>
      </c>
      <c r="C15" s="462">
        <f>-C8*'Hypothèses'!B20</f>
        <v/>
      </c>
      <c r="D15" s="462">
        <f>-D8*'Hypothèses'!B20</f>
        <v/>
      </c>
      <c r="E15" s="462">
        <f>-E8*'Hypothèses'!B20</f>
        <v/>
      </c>
      <c r="F15" s="462">
        <f>-F8*'Hypothèses'!B20</f>
        <v/>
      </c>
      <c r="G15" s="462">
        <f>-G8*'Hypothèses'!B20</f>
        <v/>
      </c>
      <c r="H15" s="462">
        <f>-H8*'Hypothèses'!B20</f>
        <v/>
      </c>
      <c r="I15" s="462">
        <f>-I8*'Hypothèses'!B20</f>
        <v/>
      </c>
      <c r="J15" s="462">
        <f>-J8*'Hypothèses'!B20</f>
        <v/>
      </c>
      <c r="K15" s="462">
        <f>-K8*'Hypothèses'!B20</f>
        <v/>
      </c>
      <c r="L15" s="462">
        <f>-L8*'Hypothèses'!B20</f>
        <v/>
      </c>
      <c r="M15" s="462">
        <f>-M8*'Hypothèses'!B20</f>
        <v/>
      </c>
      <c r="N15" s="462">
        <f>-N8*'Hypothèses'!B20</f>
        <v/>
      </c>
      <c r="O15" s="462">
        <f>-O8*'Hypothèses'!B20</f>
        <v/>
      </c>
      <c r="P15" s="462">
        <f>-P8*'Hypothèses'!B20</f>
        <v/>
      </c>
      <c r="Q15" s="462">
        <f>-Q8*'Hypothèses'!B20</f>
        <v/>
      </c>
      <c r="R15" s="462">
        <f>-R8*'Hypothèses'!B20</f>
        <v/>
      </c>
      <c r="S15" s="462">
        <f>-S8*'Hypothèses'!B20</f>
        <v/>
      </c>
      <c r="T15" s="462">
        <f>-T8*'Hypothèses'!B20</f>
        <v/>
      </c>
      <c r="U15" s="462">
        <f>-U8*'Hypothèses'!B20</f>
        <v/>
      </c>
      <c r="V15" s="462">
        <f>-V8*'Hypothèses'!B20</f>
        <v/>
      </c>
      <c r="W15" s="462">
        <f>-W8*'Hypothèses'!B20</f>
        <v/>
      </c>
      <c r="X15" s="462">
        <f>-X8*'Hypothèses'!B20</f>
        <v/>
      </c>
      <c r="Y15" s="462">
        <f>-Y8*'Hypothèses'!B20</f>
        <v/>
      </c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161" t="inlineStr">
        <is>
          <t>Affiliation</t>
        </is>
      </c>
      <c r="B16" s="462">
        <f>-B8*'Hypothèses'!B21</f>
        <v/>
      </c>
      <c r="C16" s="462">
        <f>-C8*'Hypothèses'!B21</f>
        <v/>
      </c>
      <c r="D16" s="462">
        <f>-D8*'Hypothèses'!B21</f>
        <v/>
      </c>
      <c r="E16" s="462">
        <f>-E8*'Hypothèses'!B21</f>
        <v/>
      </c>
      <c r="F16" s="462">
        <f>-F8*'Hypothèses'!B21</f>
        <v/>
      </c>
      <c r="G16" s="462">
        <f>-G8*'Hypothèses'!B21</f>
        <v/>
      </c>
      <c r="H16" s="462">
        <f>-H8*'Hypothèses'!B21</f>
        <v/>
      </c>
      <c r="I16" s="462">
        <f>-I8*'Hypothèses'!B21</f>
        <v/>
      </c>
      <c r="J16" s="462">
        <f>-J8*'Hypothèses'!B21</f>
        <v/>
      </c>
      <c r="K16" s="462">
        <f>-K8*'Hypothèses'!B21</f>
        <v/>
      </c>
      <c r="L16" s="462">
        <f>-L8*'Hypothèses'!B21</f>
        <v/>
      </c>
      <c r="M16" s="462">
        <f>-M8*'Hypothèses'!B21</f>
        <v/>
      </c>
      <c r="N16" s="462">
        <f>-N8*'Hypothèses'!B21</f>
        <v/>
      </c>
      <c r="O16" s="462">
        <f>-O8*'Hypothèses'!B21</f>
        <v/>
      </c>
      <c r="P16" s="462">
        <f>-P8*'Hypothèses'!B21</f>
        <v/>
      </c>
      <c r="Q16" s="462">
        <f>-Q8*'Hypothèses'!B21</f>
        <v/>
      </c>
      <c r="R16" s="462">
        <f>-R8*'Hypothèses'!B21</f>
        <v/>
      </c>
      <c r="S16" s="462">
        <f>-S8*'Hypothèses'!B21</f>
        <v/>
      </c>
      <c r="T16" s="462">
        <f>-T8*'Hypothèses'!B21</f>
        <v/>
      </c>
      <c r="U16" s="462">
        <f>-U8*'Hypothèses'!B21</f>
        <v/>
      </c>
      <c r="V16" s="462">
        <f>-V8*'Hypothèses'!B21</f>
        <v/>
      </c>
      <c r="W16" s="462">
        <f>-W8*'Hypothèses'!B21</f>
        <v/>
      </c>
      <c r="X16" s="462">
        <f>-X8*'Hypothèses'!B21</f>
        <v/>
      </c>
      <c r="Y16" s="462">
        <f>-Y8*'Hypothèses'!B21</f>
        <v/>
      </c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289" t="inlineStr">
        <is>
          <t>Cash net avant réserve et OPEX</t>
        </is>
      </c>
      <c r="B17" s="464">
        <f>SUM(B8:B16)</f>
        <v/>
      </c>
      <c r="C17" s="464">
        <f>SUM(C8:C16)</f>
        <v/>
      </c>
      <c r="D17" s="464">
        <f>SUM(D8:D16)</f>
        <v/>
      </c>
      <c r="E17" s="464">
        <f>SUM(E8:E16)</f>
        <v/>
      </c>
      <c r="F17" s="464">
        <f>SUM(F8:F16)</f>
        <v/>
      </c>
      <c r="G17" s="464">
        <f>SUM(G8:G16)</f>
        <v/>
      </c>
      <c r="H17" s="464">
        <f>SUM(H8:H16)</f>
        <v/>
      </c>
      <c r="I17" s="464">
        <f>SUM(I8:I16)</f>
        <v/>
      </c>
      <c r="J17" s="464">
        <f>SUM(J8:J16)</f>
        <v/>
      </c>
      <c r="K17" s="464">
        <f>SUM(K8:K16)</f>
        <v/>
      </c>
      <c r="L17" s="464">
        <f>SUM(L8:L16)</f>
        <v/>
      </c>
      <c r="M17" s="464">
        <f>SUM(M8:M16)</f>
        <v/>
      </c>
      <c r="N17" s="464">
        <f>SUM(N8:N16)</f>
        <v/>
      </c>
      <c r="O17" s="464">
        <f>SUM(O8:O16)</f>
        <v/>
      </c>
      <c r="P17" s="464">
        <f>SUM(P8:P16)</f>
        <v/>
      </c>
      <c r="Q17" s="464">
        <f>SUM(Q8:Q16)</f>
        <v/>
      </c>
      <c r="R17" s="464">
        <f>SUM(R8:R16)</f>
        <v/>
      </c>
      <c r="S17" s="464">
        <f>SUM(S8:S16)</f>
        <v/>
      </c>
      <c r="T17" s="464">
        <f>SUM(T8:T16)</f>
        <v/>
      </c>
      <c r="U17" s="464">
        <f>SUM(U8:U16)</f>
        <v/>
      </c>
      <c r="V17" s="464">
        <f>SUM(V8:V16)</f>
        <v/>
      </c>
      <c r="W17" s="464">
        <f>SUM(W8:W16)</f>
        <v/>
      </c>
      <c r="X17" s="464">
        <f>SUM(X8:X16)</f>
        <v/>
      </c>
      <c r="Y17" s="464">
        <f>SUM(Y8:Y16)</f>
        <v/>
      </c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15" customHeight="1">
      <c r="A18" s="161" t="inlineStr">
        <is>
          <t>Transfert vers réserve</t>
        </is>
      </c>
      <c r="B18" s="462">
        <f>MAX(0,(B8+B9+B10+B11)*'Hypothèses'!B23)</f>
        <v/>
      </c>
      <c r="C18" s="462">
        <f>MAX(0,(C8+C9+C10+C11)*'Hypothèses'!B23)</f>
        <v/>
      </c>
      <c r="D18" s="462">
        <f>MAX(0,(D8+D9+D10+D11)*'Hypothèses'!B23)</f>
        <v/>
      </c>
      <c r="E18" s="462">
        <f>MAX(0,(E8+E9+E10+E11)*'Hypothèses'!B23)</f>
        <v/>
      </c>
      <c r="F18" s="462">
        <f>MAX(0,(F8+F9+F10+F11)*'Hypothèses'!B23)</f>
        <v/>
      </c>
      <c r="G18" s="462">
        <f>MAX(0,(G8+G9+G10+G11)*'Hypothèses'!B23)</f>
        <v/>
      </c>
      <c r="H18" s="462">
        <f>MAX(0,(H8+H9+H10+H11)*'Hypothèses'!B23)</f>
        <v/>
      </c>
      <c r="I18" s="462">
        <f>MAX(0,(I8+I9+I10+I11)*'Hypothèses'!B23)</f>
        <v/>
      </c>
      <c r="J18" s="462">
        <f>MAX(0,(J8+J9+J10+J11)*'Hypothèses'!B23)</f>
        <v/>
      </c>
      <c r="K18" s="462">
        <f>MAX(0,(K8+K9+K10+K11)*'Hypothèses'!B23)</f>
        <v/>
      </c>
      <c r="L18" s="462">
        <f>MAX(0,(L8+L9+L10+L11)*'Hypothèses'!B23)</f>
        <v/>
      </c>
      <c r="M18" s="462">
        <f>MAX(0,(M8+M9+M10+M11)*'Hypothèses'!B23)</f>
        <v/>
      </c>
      <c r="N18" s="462">
        <f>MAX(0,(N8+N9+N10+N11)*'Hypothèses'!B23)</f>
        <v/>
      </c>
      <c r="O18" s="462">
        <f>MAX(0,(O8+O9+O10+O11)*'Hypothèses'!B23)</f>
        <v/>
      </c>
      <c r="P18" s="462">
        <f>MAX(0,(P8+P9+P10+P11)*'Hypothèses'!B23)</f>
        <v/>
      </c>
      <c r="Q18" s="462">
        <f>MAX(0,(Q8+Q9+Q10+Q11)*'Hypothèses'!B23)</f>
        <v/>
      </c>
      <c r="R18" s="462">
        <f>MAX(0,(R8+R9+R10+R11)*'Hypothèses'!B23)</f>
        <v/>
      </c>
      <c r="S18" s="462">
        <f>MAX(0,(S8+S9+S10+S11)*'Hypothèses'!B23)</f>
        <v/>
      </c>
      <c r="T18" s="462">
        <f>MAX(0,(T8+T9+T10+T11)*'Hypothèses'!B23)</f>
        <v/>
      </c>
      <c r="U18" s="462">
        <f>MAX(0,(U8+U9+U10+U11)*'Hypothèses'!B23)</f>
        <v/>
      </c>
      <c r="V18" s="462">
        <f>MAX(0,(V8+V9+V10+V11)*'Hypothèses'!B23)</f>
        <v/>
      </c>
      <c r="W18" s="462">
        <f>MAX(0,(W8+W9+W10+W11)*'Hypothèses'!B23)</f>
        <v/>
      </c>
      <c r="X18" s="462">
        <f>MAX(0,(X8+X9+X10+X11)*'Hypothèses'!B23)</f>
        <v/>
      </c>
      <c r="Y18" s="462">
        <f>MAX(0,(Y8+Y9+Y10+Y11)*'Hypothèses'!B23)</f>
        <v/>
      </c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15" customHeight="1">
      <c r="A19" s="161" t="inlineStr">
        <is>
          <t>OPEX fixe</t>
        </is>
      </c>
      <c r="B19" s="462">
        <f>-'Hypothèses'!B24</f>
        <v/>
      </c>
      <c r="C19" s="462">
        <f>-'Hypothèses'!B24</f>
        <v/>
      </c>
      <c r="D19" s="462">
        <f>-'Hypothèses'!B24</f>
        <v/>
      </c>
      <c r="E19" s="462">
        <f>-'Hypothèses'!B24</f>
        <v/>
      </c>
      <c r="F19" s="462">
        <f>-'Hypothèses'!B24</f>
        <v/>
      </c>
      <c r="G19" s="462">
        <f>-'Hypothèses'!B24</f>
        <v/>
      </c>
      <c r="H19" s="462">
        <f>-'Hypothèses'!B24</f>
        <v/>
      </c>
      <c r="I19" s="462">
        <f>-'Hypothèses'!B24</f>
        <v/>
      </c>
      <c r="J19" s="462">
        <f>-'Hypothèses'!B24</f>
        <v/>
      </c>
      <c r="K19" s="462">
        <f>-'Hypothèses'!B24</f>
        <v/>
      </c>
      <c r="L19" s="462">
        <f>-'Hypothèses'!B24</f>
        <v/>
      </c>
      <c r="M19" s="462">
        <f>-'Hypothèses'!B24</f>
        <v/>
      </c>
      <c r="N19" s="462">
        <f>-'Hypothèses'!B24</f>
        <v/>
      </c>
      <c r="O19" s="462">
        <f>-'Hypothèses'!B24</f>
        <v/>
      </c>
      <c r="P19" s="462">
        <f>-'Hypothèses'!B24</f>
        <v/>
      </c>
      <c r="Q19" s="462">
        <f>-'Hypothèses'!B24</f>
        <v/>
      </c>
      <c r="R19" s="462">
        <f>-'Hypothèses'!B24</f>
        <v/>
      </c>
      <c r="S19" s="462">
        <f>-'Hypothèses'!B24</f>
        <v/>
      </c>
      <c r="T19" s="462">
        <f>-'Hypothèses'!B24</f>
        <v/>
      </c>
      <c r="U19" s="462">
        <f>-'Hypothèses'!B24</f>
        <v/>
      </c>
      <c r="V19" s="462">
        <f>-'Hypothèses'!B24</f>
        <v/>
      </c>
      <c r="W19" s="462">
        <f>-'Hypothèses'!B24</f>
        <v/>
      </c>
      <c r="X19" s="462">
        <f>-'Hypothèses'!B24</f>
        <v/>
      </c>
      <c r="Y19" s="462">
        <f>-'Hypothèses'!B24</f>
        <v/>
      </c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15" customHeight="1">
      <c r="A20" s="289" t="inlineStr">
        <is>
          <t>Cash-flow exploitation</t>
        </is>
      </c>
      <c r="B20" s="464">
        <f>B17-B18+B19</f>
        <v/>
      </c>
      <c r="C20" s="464">
        <f>C17-C18+C19</f>
        <v/>
      </c>
      <c r="D20" s="464">
        <f>D17-D18+D19</f>
        <v/>
      </c>
      <c r="E20" s="464">
        <f>E17-E18+E19</f>
        <v/>
      </c>
      <c r="F20" s="464">
        <f>F17-F18+F19</f>
        <v/>
      </c>
      <c r="G20" s="464">
        <f>G17-G18+G19</f>
        <v/>
      </c>
      <c r="H20" s="464">
        <f>H17-H18+H19</f>
        <v/>
      </c>
      <c r="I20" s="464">
        <f>I17-I18+I19</f>
        <v/>
      </c>
      <c r="J20" s="464">
        <f>J17-J18+J19</f>
        <v/>
      </c>
      <c r="K20" s="464">
        <f>K17-K18+K19</f>
        <v/>
      </c>
      <c r="L20" s="464">
        <f>L17-L18+L19</f>
        <v/>
      </c>
      <c r="M20" s="464">
        <f>M17-M18+M19</f>
        <v/>
      </c>
      <c r="N20" s="464">
        <f>N17-N18+N19</f>
        <v/>
      </c>
      <c r="O20" s="464">
        <f>O17-O18+O19</f>
        <v/>
      </c>
      <c r="P20" s="464">
        <f>P17-P18+P19</f>
        <v/>
      </c>
      <c r="Q20" s="464">
        <f>Q17-Q18+Q19</f>
        <v/>
      </c>
      <c r="R20" s="464">
        <f>R17-R18+R19</f>
        <v/>
      </c>
      <c r="S20" s="464">
        <f>S17-S18+S19</f>
        <v/>
      </c>
      <c r="T20" s="464">
        <f>T17-T18+T19</f>
        <v/>
      </c>
      <c r="U20" s="464">
        <f>U17-U18+U19</f>
        <v/>
      </c>
      <c r="V20" s="464">
        <f>V17-V18+V19</f>
        <v/>
      </c>
      <c r="W20" s="464">
        <f>W17-W18+W19</f>
        <v/>
      </c>
      <c r="X20" s="464">
        <f>X17-X18+X19</f>
        <v/>
      </c>
      <c r="Y20" s="464">
        <f>Y17-Y18+Y19</f>
        <v/>
      </c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15" customHeight="1">
      <c r="A21" s="161" t="inlineStr">
        <is>
          <t>Payout #1</t>
        </is>
      </c>
      <c r="B21" s="462" t="n">
        <v>0</v>
      </c>
      <c r="C21" s="462" t="n">
        <v>0</v>
      </c>
      <c r="D21" s="462">
        <f>-B7*'Économie Unitaire'!F22</f>
        <v/>
      </c>
      <c r="E21" s="462">
        <f>-C7*'Économie Unitaire'!F22</f>
        <v/>
      </c>
      <c r="F21" s="462">
        <f>-D7*'Économie Unitaire'!F22</f>
        <v/>
      </c>
      <c r="G21" s="462">
        <f>-E7*'Économie Unitaire'!F22</f>
        <v/>
      </c>
      <c r="H21" s="462">
        <f>-F7*'Économie Unitaire'!F22</f>
        <v/>
      </c>
      <c r="I21" s="462">
        <f>-G7*'Économie Unitaire'!F22</f>
        <v/>
      </c>
      <c r="J21" s="462">
        <f>-H7*'Économie Unitaire'!F22</f>
        <v/>
      </c>
      <c r="K21" s="462">
        <f>-I7*'Économie Unitaire'!F22</f>
        <v/>
      </c>
      <c r="L21" s="462">
        <f>-J7*'Économie Unitaire'!F22</f>
        <v/>
      </c>
      <c r="M21" s="462">
        <f>-K7*'Économie Unitaire'!F22</f>
        <v/>
      </c>
      <c r="N21" s="462">
        <f>-L7*'Économie Unitaire'!F22</f>
        <v/>
      </c>
      <c r="O21" s="462">
        <f>-M7*'Économie Unitaire'!F22</f>
        <v/>
      </c>
      <c r="P21" s="462">
        <f>-N7*'Économie Unitaire'!F22</f>
        <v/>
      </c>
      <c r="Q21" s="462">
        <f>-O7*'Économie Unitaire'!F22</f>
        <v/>
      </c>
      <c r="R21" s="462">
        <f>-P7*'Économie Unitaire'!F22</f>
        <v/>
      </c>
      <c r="S21" s="462">
        <f>-Q7*'Économie Unitaire'!F22</f>
        <v/>
      </c>
      <c r="T21" s="462">
        <f>-R7*'Économie Unitaire'!F22</f>
        <v/>
      </c>
      <c r="U21" s="462">
        <f>-S7*'Économie Unitaire'!F22</f>
        <v/>
      </c>
      <c r="V21" s="462">
        <f>-T7*'Économie Unitaire'!F22</f>
        <v/>
      </c>
      <c r="W21" s="462">
        <f>-U7*'Économie Unitaire'!F22</f>
        <v/>
      </c>
      <c r="X21" s="462">
        <f>-V7*'Économie Unitaire'!F22</f>
        <v/>
      </c>
      <c r="Y21" s="462">
        <f>-W7*'Économie Unitaire'!F22</f>
        <v/>
      </c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15" customHeight="1">
      <c r="A22" s="161" t="inlineStr">
        <is>
          <t>Payout #2</t>
        </is>
      </c>
      <c r="B22" s="462" t="n">
        <v>0</v>
      </c>
      <c r="C22" s="462" t="n">
        <v>0</v>
      </c>
      <c r="D22" s="462" t="n">
        <v>0</v>
      </c>
      <c r="E22" s="462">
        <f>-B7*'Économie Unitaire'!F23</f>
        <v/>
      </c>
      <c r="F22" s="462">
        <f>-C7*'Économie Unitaire'!F23</f>
        <v/>
      </c>
      <c r="G22" s="462">
        <f>-D7*'Économie Unitaire'!F23</f>
        <v/>
      </c>
      <c r="H22" s="462">
        <f>-E7*'Économie Unitaire'!F23</f>
        <v/>
      </c>
      <c r="I22" s="462">
        <f>-F7*'Économie Unitaire'!F23</f>
        <v/>
      </c>
      <c r="J22" s="462">
        <f>-G7*'Économie Unitaire'!F23</f>
        <v/>
      </c>
      <c r="K22" s="462">
        <f>-H7*'Économie Unitaire'!F23</f>
        <v/>
      </c>
      <c r="L22" s="462">
        <f>-I7*'Économie Unitaire'!F23</f>
        <v/>
      </c>
      <c r="M22" s="462">
        <f>-J7*'Économie Unitaire'!F23</f>
        <v/>
      </c>
      <c r="N22" s="462">
        <f>-K7*'Économie Unitaire'!F23</f>
        <v/>
      </c>
      <c r="O22" s="462">
        <f>-L7*'Économie Unitaire'!F23</f>
        <v/>
      </c>
      <c r="P22" s="462">
        <f>-M7*'Économie Unitaire'!F23</f>
        <v/>
      </c>
      <c r="Q22" s="462">
        <f>-N7*'Économie Unitaire'!F23</f>
        <v/>
      </c>
      <c r="R22" s="462">
        <f>-O7*'Économie Unitaire'!F23</f>
        <v/>
      </c>
      <c r="S22" s="462">
        <f>-P7*'Économie Unitaire'!F23</f>
        <v/>
      </c>
      <c r="T22" s="462">
        <f>-Q7*'Économie Unitaire'!F23</f>
        <v/>
      </c>
      <c r="U22" s="462">
        <f>-R7*'Économie Unitaire'!F23</f>
        <v/>
      </c>
      <c r="V22" s="462">
        <f>-S7*'Économie Unitaire'!F23</f>
        <v/>
      </c>
      <c r="W22" s="462">
        <f>-T7*'Économie Unitaire'!F23</f>
        <v/>
      </c>
      <c r="X22" s="462">
        <f>-U7*'Économie Unitaire'!F23</f>
        <v/>
      </c>
      <c r="Y22" s="462">
        <f>-V7*'Économie Unitaire'!F23</f>
        <v/>
      </c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61" t="inlineStr">
        <is>
          <t>Payout #3</t>
        </is>
      </c>
      <c r="B23" s="462" t="n">
        <v>0</v>
      </c>
      <c r="C23" s="462" t="n">
        <v>0</v>
      </c>
      <c r="D23" s="462" t="n">
        <v>0</v>
      </c>
      <c r="E23" s="462" t="n">
        <v>0</v>
      </c>
      <c r="F23" s="462">
        <f>-B7*'Économie Unitaire'!F24</f>
        <v/>
      </c>
      <c r="G23" s="462">
        <f>-C7*'Économie Unitaire'!F24</f>
        <v/>
      </c>
      <c r="H23" s="462">
        <f>-D7*'Économie Unitaire'!F24</f>
        <v/>
      </c>
      <c r="I23" s="462">
        <f>-E7*'Économie Unitaire'!F24</f>
        <v/>
      </c>
      <c r="J23" s="462">
        <f>-F7*'Économie Unitaire'!F24</f>
        <v/>
      </c>
      <c r="K23" s="462">
        <f>-G7*'Économie Unitaire'!F24</f>
        <v/>
      </c>
      <c r="L23" s="462">
        <f>-H7*'Économie Unitaire'!F24</f>
        <v/>
      </c>
      <c r="M23" s="462">
        <f>-I7*'Économie Unitaire'!F24</f>
        <v/>
      </c>
      <c r="N23" s="462">
        <f>-J7*'Économie Unitaire'!F24</f>
        <v/>
      </c>
      <c r="O23" s="462">
        <f>-K7*'Économie Unitaire'!F24</f>
        <v/>
      </c>
      <c r="P23" s="462">
        <f>-L7*'Économie Unitaire'!F24</f>
        <v/>
      </c>
      <c r="Q23" s="462">
        <f>-M7*'Économie Unitaire'!F24</f>
        <v/>
      </c>
      <c r="R23" s="462">
        <f>-N7*'Économie Unitaire'!F24</f>
        <v/>
      </c>
      <c r="S23" s="462">
        <f>-O7*'Économie Unitaire'!F24</f>
        <v/>
      </c>
      <c r="T23" s="462">
        <f>-P7*'Économie Unitaire'!F24</f>
        <v/>
      </c>
      <c r="U23" s="462">
        <f>-Q7*'Économie Unitaire'!F24</f>
        <v/>
      </c>
      <c r="V23" s="462">
        <f>-R7*'Économie Unitaire'!F24</f>
        <v/>
      </c>
      <c r="W23" s="462">
        <f>-S7*'Économie Unitaire'!F24</f>
        <v/>
      </c>
      <c r="X23" s="462">
        <f>-T7*'Économie Unitaire'!F24</f>
        <v/>
      </c>
      <c r="Y23" s="462">
        <f>-U7*'Économie Unitaire'!F24</f>
        <v/>
      </c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161" t="inlineStr">
        <is>
          <t>Payout #4</t>
        </is>
      </c>
      <c r="B24" s="462" t="n">
        <v>0</v>
      </c>
      <c r="C24" s="462" t="n">
        <v>0</v>
      </c>
      <c r="D24" s="462" t="n">
        <v>0</v>
      </c>
      <c r="E24" s="462" t="n">
        <v>0</v>
      </c>
      <c r="F24" s="462" t="n">
        <v>0</v>
      </c>
      <c r="G24" s="462">
        <f>-B7*'Économie Unitaire'!F25</f>
        <v/>
      </c>
      <c r="H24" s="462">
        <f>-C7*'Économie Unitaire'!F25</f>
        <v/>
      </c>
      <c r="I24" s="462">
        <f>-D7*'Économie Unitaire'!F25</f>
        <v/>
      </c>
      <c r="J24" s="462">
        <f>-E7*'Économie Unitaire'!F25</f>
        <v/>
      </c>
      <c r="K24" s="462">
        <f>-F7*'Économie Unitaire'!F25</f>
        <v/>
      </c>
      <c r="L24" s="462">
        <f>-G7*'Économie Unitaire'!F25</f>
        <v/>
      </c>
      <c r="M24" s="462">
        <f>-H7*'Économie Unitaire'!F25</f>
        <v/>
      </c>
      <c r="N24" s="462">
        <f>-I7*'Économie Unitaire'!F25</f>
        <v/>
      </c>
      <c r="O24" s="462">
        <f>-J7*'Économie Unitaire'!F25</f>
        <v/>
      </c>
      <c r="P24" s="462">
        <f>-K7*'Économie Unitaire'!F25</f>
        <v/>
      </c>
      <c r="Q24" s="462">
        <f>-L7*'Économie Unitaire'!F25</f>
        <v/>
      </c>
      <c r="R24" s="462">
        <f>-M7*'Économie Unitaire'!F25</f>
        <v/>
      </c>
      <c r="S24" s="462">
        <f>-N7*'Économie Unitaire'!F25</f>
        <v/>
      </c>
      <c r="T24" s="462">
        <f>-O7*'Économie Unitaire'!F25</f>
        <v/>
      </c>
      <c r="U24" s="462">
        <f>-P7*'Économie Unitaire'!F25</f>
        <v/>
      </c>
      <c r="V24" s="462">
        <f>-Q7*'Économie Unitaire'!F25</f>
        <v/>
      </c>
      <c r="W24" s="462">
        <f>-R7*'Économie Unitaire'!F25</f>
        <v/>
      </c>
      <c r="X24" s="462">
        <f>-S7*'Économie Unitaire'!F25</f>
        <v/>
      </c>
      <c r="Y24" s="462">
        <f>-T7*'Économie Unitaire'!F25</f>
        <v/>
      </c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161" t="inlineStr">
        <is>
          <t>Payout #5</t>
        </is>
      </c>
      <c r="B25" s="462" t="n">
        <v>0</v>
      </c>
      <c r="C25" s="462" t="n">
        <v>0</v>
      </c>
      <c r="D25" s="462" t="n">
        <v>0</v>
      </c>
      <c r="E25" s="462" t="n">
        <v>0</v>
      </c>
      <c r="F25" s="462" t="n">
        <v>0</v>
      </c>
      <c r="G25" s="462" t="n">
        <v>0</v>
      </c>
      <c r="H25" s="462">
        <f>-B7*'Économie Unitaire'!F26</f>
        <v/>
      </c>
      <c r="I25" s="462">
        <f>-C7*'Économie Unitaire'!F26</f>
        <v/>
      </c>
      <c r="J25" s="462">
        <f>-D7*'Économie Unitaire'!F26</f>
        <v/>
      </c>
      <c r="K25" s="462">
        <f>-E7*'Économie Unitaire'!F26</f>
        <v/>
      </c>
      <c r="L25" s="462">
        <f>-F7*'Économie Unitaire'!F26</f>
        <v/>
      </c>
      <c r="M25" s="462">
        <f>-G7*'Économie Unitaire'!F26</f>
        <v/>
      </c>
      <c r="N25" s="462">
        <f>-H7*'Économie Unitaire'!F26</f>
        <v/>
      </c>
      <c r="O25" s="462">
        <f>-I7*'Économie Unitaire'!F26</f>
        <v/>
      </c>
      <c r="P25" s="462">
        <f>-J7*'Économie Unitaire'!F26</f>
        <v/>
      </c>
      <c r="Q25" s="462">
        <f>-K7*'Économie Unitaire'!F26</f>
        <v/>
      </c>
      <c r="R25" s="462">
        <f>-L7*'Économie Unitaire'!F26</f>
        <v/>
      </c>
      <c r="S25" s="462">
        <f>-M7*'Économie Unitaire'!F26</f>
        <v/>
      </c>
      <c r="T25" s="462">
        <f>-N7*'Économie Unitaire'!F26</f>
        <v/>
      </c>
      <c r="U25" s="462">
        <f>-O7*'Économie Unitaire'!F26</f>
        <v/>
      </c>
      <c r="V25" s="462">
        <f>-P7*'Économie Unitaire'!F26</f>
        <v/>
      </c>
      <c r="W25" s="462">
        <f>-Q7*'Économie Unitaire'!F26</f>
        <v/>
      </c>
      <c r="X25" s="462">
        <f>-R7*'Économie Unitaire'!F26</f>
        <v/>
      </c>
      <c r="Y25" s="462">
        <f>-S7*'Économie Unitaire'!F26</f>
        <v/>
      </c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289" t="inlineStr">
        <is>
          <t>Payouts totaux</t>
        </is>
      </c>
      <c r="B26" s="464">
        <f>SUM(B21:B25)</f>
        <v/>
      </c>
      <c r="C26" s="464">
        <f>SUM(C21:C25)</f>
        <v/>
      </c>
      <c r="D26" s="464">
        <f>SUM(D21:D25)</f>
        <v/>
      </c>
      <c r="E26" s="464">
        <f>SUM(E21:E25)</f>
        <v/>
      </c>
      <c r="F26" s="464">
        <f>SUM(F21:F25)</f>
        <v/>
      </c>
      <c r="G26" s="464">
        <f>SUM(G21:G25)</f>
        <v/>
      </c>
      <c r="H26" s="464">
        <f>SUM(H21:H25)</f>
        <v/>
      </c>
      <c r="I26" s="464">
        <f>SUM(I21:I25)</f>
        <v/>
      </c>
      <c r="J26" s="464">
        <f>SUM(J21:J25)</f>
        <v/>
      </c>
      <c r="K26" s="464">
        <f>SUM(K21:K25)</f>
        <v/>
      </c>
      <c r="L26" s="464">
        <f>SUM(L21:L25)</f>
        <v/>
      </c>
      <c r="M26" s="464">
        <f>SUM(M21:M25)</f>
        <v/>
      </c>
      <c r="N26" s="464">
        <f>SUM(N21:N25)</f>
        <v/>
      </c>
      <c r="O26" s="464">
        <f>SUM(O21:O25)</f>
        <v/>
      </c>
      <c r="P26" s="464">
        <f>SUM(P21:P25)</f>
        <v/>
      </c>
      <c r="Q26" s="464">
        <f>SUM(Q21:Q25)</f>
        <v/>
      </c>
      <c r="R26" s="464">
        <f>SUM(R21:R25)</f>
        <v/>
      </c>
      <c r="S26" s="464">
        <f>SUM(S21:S25)</f>
        <v/>
      </c>
      <c r="T26" s="464">
        <f>SUM(T21:T25)</f>
        <v/>
      </c>
      <c r="U26" s="464">
        <f>SUM(U21:U25)</f>
        <v/>
      </c>
      <c r="V26" s="464">
        <f>SUM(V21:V25)</f>
        <v/>
      </c>
      <c r="W26" s="464">
        <f>SUM(W21:W25)</f>
        <v/>
      </c>
      <c r="X26" s="464">
        <f>SUM(X21:X25)</f>
        <v/>
      </c>
      <c r="Y26" s="464">
        <f>SUM(Y21:Y25)</f>
        <v/>
      </c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289" t="inlineStr">
        <is>
          <t>Cash-flow réserve</t>
        </is>
      </c>
      <c r="B27" s="464">
        <f>B18+B26</f>
        <v/>
      </c>
      <c r="C27" s="464">
        <f>C18+C26</f>
        <v/>
      </c>
      <c r="D27" s="464">
        <f>D18+D26</f>
        <v/>
      </c>
      <c r="E27" s="464">
        <f>E18+E26</f>
        <v/>
      </c>
      <c r="F27" s="464">
        <f>F18+F26</f>
        <v/>
      </c>
      <c r="G27" s="464">
        <f>G18+G26</f>
        <v/>
      </c>
      <c r="H27" s="464">
        <f>H18+H26</f>
        <v/>
      </c>
      <c r="I27" s="464">
        <f>I18+I26</f>
        <v/>
      </c>
      <c r="J27" s="464">
        <f>J18+J26</f>
        <v/>
      </c>
      <c r="K27" s="464">
        <f>K18+K26</f>
        <v/>
      </c>
      <c r="L27" s="464">
        <f>L18+L26</f>
        <v/>
      </c>
      <c r="M27" s="464">
        <f>M18+M26</f>
        <v/>
      </c>
      <c r="N27" s="464">
        <f>N18+N26</f>
        <v/>
      </c>
      <c r="O27" s="464">
        <f>O18+O26</f>
        <v/>
      </c>
      <c r="P27" s="464">
        <f>P18+P26</f>
        <v/>
      </c>
      <c r="Q27" s="464">
        <f>Q18+Q26</f>
        <v/>
      </c>
      <c r="R27" s="464">
        <f>R18+R26</f>
        <v/>
      </c>
      <c r="S27" s="464">
        <f>S18+S26</f>
        <v/>
      </c>
      <c r="T27" s="464">
        <f>T18+T26</f>
        <v/>
      </c>
      <c r="U27" s="464">
        <f>U18+U26</f>
        <v/>
      </c>
      <c r="V27" s="464">
        <f>V18+V26</f>
        <v/>
      </c>
      <c r="W27" s="464">
        <f>W18+W26</f>
        <v/>
      </c>
      <c r="X27" s="464">
        <f>X18+X26</f>
        <v/>
      </c>
      <c r="Y27" s="464">
        <f>Y18+Y26</f>
        <v/>
      </c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289" t="inlineStr">
        <is>
          <t>Trésorerie exploitation fin</t>
        </is>
      </c>
      <c r="B28" s="464">
        <f>'Hypothèses'!B36+B20</f>
        <v/>
      </c>
      <c r="C28" s="464">
        <f>B28+C20</f>
        <v/>
      </c>
      <c r="D28" s="464">
        <f>C28+D20</f>
        <v/>
      </c>
      <c r="E28" s="464">
        <f>D28+E20</f>
        <v/>
      </c>
      <c r="F28" s="464">
        <f>E28+F20</f>
        <v/>
      </c>
      <c r="G28" s="464">
        <f>F28+G20</f>
        <v/>
      </c>
      <c r="H28" s="464">
        <f>G28+H20</f>
        <v/>
      </c>
      <c r="I28" s="464">
        <f>H28+I20</f>
        <v/>
      </c>
      <c r="J28" s="464">
        <f>I28+J20</f>
        <v/>
      </c>
      <c r="K28" s="464">
        <f>J28+K20</f>
        <v/>
      </c>
      <c r="L28" s="464">
        <f>K28+L20</f>
        <v/>
      </c>
      <c r="M28" s="464">
        <f>L28+M20</f>
        <v/>
      </c>
      <c r="N28" s="464">
        <f>M28+N20</f>
        <v/>
      </c>
      <c r="O28" s="464">
        <f>N28+O20</f>
        <v/>
      </c>
      <c r="P28" s="464">
        <f>O28+P20</f>
        <v/>
      </c>
      <c r="Q28" s="464">
        <f>P28+Q20</f>
        <v/>
      </c>
      <c r="R28" s="464">
        <f>Q28+R20</f>
        <v/>
      </c>
      <c r="S28" s="464">
        <f>R28+S20</f>
        <v/>
      </c>
      <c r="T28" s="464">
        <f>S28+T20</f>
        <v/>
      </c>
      <c r="U28" s="464">
        <f>T28+U20</f>
        <v/>
      </c>
      <c r="V28" s="464">
        <f>U28+V20</f>
        <v/>
      </c>
      <c r="W28" s="464">
        <f>V28+W20</f>
        <v/>
      </c>
      <c r="X28" s="464">
        <f>W28+X20</f>
        <v/>
      </c>
      <c r="Y28" s="464">
        <f>X28+Y20</f>
        <v/>
      </c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289" t="inlineStr">
        <is>
          <t>Réserve payout fin</t>
        </is>
      </c>
      <c r="B29" s="464">
        <f>'Hypothèses'!B37+B27</f>
        <v/>
      </c>
      <c r="C29" s="464">
        <f>B29+C27</f>
        <v/>
      </c>
      <c r="D29" s="464">
        <f>C29+D27</f>
        <v/>
      </c>
      <c r="E29" s="464">
        <f>D29+E27</f>
        <v/>
      </c>
      <c r="F29" s="464">
        <f>E29+F27</f>
        <v/>
      </c>
      <c r="G29" s="464">
        <f>F29+G27</f>
        <v/>
      </c>
      <c r="H29" s="464">
        <f>G29+H27</f>
        <v/>
      </c>
      <c r="I29" s="464">
        <f>H29+I27</f>
        <v/>
      </c>
      <c r="J29" s="464">
        <f>I29+J27</f>
        <v/>
      </c>
      <c r="K29" s="464">
        <f>J29+K27</f>
        <v/>
      </c>
      <c r="L29" s="464">
        <f>K29+L27</f>
        <v/>
      </c>
      <c r="M29" s="464">
        <f>L29+M27</f>
        <v/>
      </c>
      <c r="N29" s="464">
        <f>M29+N27</f>
        <v/>
      </c>
      <c r="O29" s="464">
        <f>N29+O27</f>
        <v/>
      </c>
      <c r="P29" s="464">
        <f>O29+P27</f>
        <v/>
      </c>
      <c r="Q29" s="464">
        <f>P29+Q27</f>
        <v/>
      </c>
      <c r="R29" s="464">
        <f>Q29+R27</f>
        <v/>
      </c>
      <c r="S29" s="464">
        <f>R29+S27</f>
        <v/>
      </c>
      <c r="T29" s="464">
        <f>S29+T27</f>
        <v/>
      </c>
      <c r="U29" s="464">
        <f>T29+U27</f>
        <v/>
      </c>
      <c r="V29" s="464">
        <f>U29+V27</f>
        <v/>
      </c>
      <c r="W29" s="464">
        <f>V29+W27</f>
        <v/>
      </c>
      <c r="X29" s="464">
        <f>W29+X27</f>
        <v/>
      </c>
      <c r="Y29" s="464">
        <f>X29+Y27</f>
        <v/>
      </c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61" t="inlineStr">
        <is>
          <t>Payouts prochains 30 jours</t>
        </is>
      </c>
      <c r="B30" s="462">
        <f>0</f>
        <v/>
      </c>
      <c r="C30" s="462">
        <f>B7*'Économie Unitaire'!F22</f>
        <v/>
      </c>
      <c r="D30" s="462">
        <f>C7*'Économie Unitaire'!F22+B7*'Économie Unitaire'!F23</f>
        <v/>
      </c>
      <c r="E30" s="462">
        <f>D7*'Économie Unitaire'!F22+C7*'Économie Unitaire'!F23+B7*'Économie Unitaire'!F24</f>
        <v/>
      </c>
      <c r="F30" s="462">
        <f>E7*'Économie Unitaire'!F22+D7*'Économie Unitaire'!F23+C7*'Économie Unitaire'!F24+B7*'Économie Unitaire'!F25</f>
        <v/>
      </c>
      <c r="G30" s="462">
        <f>F7*'Économie Unitaire'!F22+E7*'Économie Unitaire'!F23+D7*'Économie Unitaire'!F24+C7*'Économie Unitaire'!F25+B7*'Économie Unitaire'!F26</f>
        <v/>
      </c>
      <c r="H30" s="462">
        <f>G7*'Économie Unitaire'!F22+F7*'Économie Unitaire'!F23+E7*'Économie Unitaire'!F24+D7*'Économie Unitaire'!F25+C7*'Économie Unitaire'!F26</f>
        <v/>
      </c>
      <c r="I30" s="462">
        <f>H7*'Économie Unitaire'!F22+G7*'Économie Unitaire'!F23+F7*'Économie Unitaire'!F24+E7*'Économie Unitaire'!F25+D7*'Économie Unitaire'!F26</f>
        <v/>
      </c>
      <c r="J30" s="462">
        <f>I7*'Économie Unitaire'!F22+H7*'Économie Unitaire'!F23+G7*'Économie Unitaire'!F24+F7*'Économie Unitaire'!F25+E7*'Économie Unitaire'!F26</f>
        <v/>
      </c>
      <c r="K30" s="462">
        <f>J7*'Économie Unitaire'!F22+I7*'Économie Unitaire'!F23+H7*'Économie Unitaire'!F24+G7*'Économie Unitaire'!F25+F7*'Économie Unitaire'!F26</f>
        <v/>
      </c>
      <c r="L30" s="462">
        <f>K7*'Économie Unitaire'!F22+J7*'Économie Unitaire'!F23+I7*'Économie Unitaire'!F24+H7*'Économie Unitaire'!F25+G7*'Économie Unitaire'!F26</f>
        <v/>
      </c>
      <c r="M30" s="462">
        <f>L7*'Économie Unitaire'!F22+K7*'Économie Unitaire'!F23+J7*'Économie Unitaire'!F24+I7*'Économie Unitaire'!F25+H7*'Économie Unitaire'!F26</f>
        <v/>
      </c>
      <c r="N30" s="462">
        <f>M7*'Économie Unitaire'!F22+L7*'Économie Unitaire'!F23+K7*'Économie Unitaire'!F24+J7*'Économie Unitaire'!F25+I7*'Économie Unitaire'!F26</f>
        <v/>
      </c>
      <c r="O30" s="462">
        <f>N7*'Économie Unitaire'!F22+M7*'Économie Unitaire'!F23+L7*'Économie Unitaire'!F24+K7*'Économie Unitaire'!F25+J7*'Économie Unitaire'!F26</f>
        <v/>
      </c>
      <c r="P30" s="462">
        <f>O7*'Économie Unitaire'!F22+N7*'Économie Unitaire'!F23+M7*'Économie Unitaire'!F24+L7*'Économie Unitaire'!F25+K7*'Économie Unitaire'!F26</f>
        <v/>
      </c>
      <c r="Q30" s="462">
        <f>P7*'Économie Unitaire'!F22+O7*'Économie Unitaire'!F23+N7*'Économie Unitaire'!F24+M7*'Économie Unitaire'!F25+L7*'Économie Unitaire'!F26</f>
        <v/>
      </c>
      <c r="R30" s="462">
        <f>Q7*'Économie Unitaire'!F22+P7*'Économie Unitaire'!F23+O7*'Économie Unitaire'!F24+N7*'Économie Unitaire'!F25+M7*'Économie Unitaire'!F26</f>
        <v/>
      </c>
      <c r="S30" s="462">
        <f>R7*'Économie Unitaire'!F22+Q7*'Économie Unitaire'!F23+P7*'Économie Unitaire'!F24+O7*'Économie Unitaire'!F25+N7*'Économie Unitaire'!F26</f>
        <v/>
      </c>
      <c r="T30" s="462">
        <f>S7*'Économie Unitaire'!F22+R7*'Économie Unitaire'!F23+Q7*'Économie Unitaire'!F24+P7*'Économie Unitaire'!F25+O7*'Économie Unitaire'!F26</f>
        <v/>
      </c>
      <c r="U30" s="462">
        <f>T7*'Économie Unitaire'!F22+S7*'Économie Unitaire'!F23+R7*'Économie Unitaire'!F24+Q7*'Économie Unitaire'!F25+P7*'Économie Unitaire'!F26</f>
        <v/>
      </c>
      <c r="V30" s="462">
        <f>U7*'Économie Unitaire'!F22+T7*'Économie Unitaire'!F23+S7*'Économie Unitaire'!F24+R7*'Économie Unitaire'!F25+Q7*'Économie Unitaire'!F26</f>
        <v/>
      </c>
      <c r="W30" s="462">
        <f>V7*'Économie Unitaire'!F22+U7*'Économie Unitaire'!F23+T7*'Économie Unitaire'!F24+S7*'Économie Unitaire'!F25+R7*'Économie Unitaire'!F26</f>
        <v/>
      </c>
      <c r="X30" s="462">
        <f>W7*'Économie Unitaire'!F22+V7*'Économie Unitaire'!F23+U7*'Économie Unitaire'!F24+T7*'Économie Unitaire'!F25+S7*'Économie Unitaire'!F26</f>
        <v/>
      </c>
      <c r="Y30" s="462">
        <f>X7*'Économie Unitaire'!F22+W7*'Économie Unitaire'!F23+V7*'Économie Unitaire'!F24+U7*'Économie Unitaire'!F25+T7*'Économie Unitaire'!F26</f>
        <v/>
      </c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289" t="inlineStr">
        <is>
          <t>Couverture réserve</t>
        </is>
      </c>
      <c r="B31" s="474">
        <f>IF(B30&gt;0,B29/B30,"")</f>
        <v/>
      </c>
      <c r="C31" s="474">
        <f>IF(C30&gt;0,C29/C30,"")</f>
        <v/>
      </c>
      <c r="D31" s="474">
        <f>IF(D30&gt;0,D29/D30,"")</f>
        <v/>
      </c>
      <c r="E31" s="474">
        <f>IF(E30&gt;0,E29/E30,"")</f>
        <v/>
      </c>
      <c r="F31" s="474">
        <f>IF(F30&gt;0,F29/F30,"")</f>
        <v/>
      </c>
      <c r="G31" s="474">
        <f>IF(G30&gt;0,G29/G30,"")</f>
        <v/>
      </c>
      <c r="H31" s="474">
        <f>IF(H30&gt;0,H29/H30,"")</f>
        <v/>
      </c>
      <c r="I31" s="474">
        <f>IF(I30&gt;0,I29/I30,"")</f>
        <v/>
      </c>
      <c r="J31" s="474">
        <f>IF(J30&gt;0,J29/J30,"")</f>
        <v/>
      </c>
      <c r="K31" s="474">
        <f>IF(K30&gt;0,K29/K30,"")</f>
        <v/>
      </c>
      <c r="L31" s="474">
        <f>IF(L30&gt;0,L29/L30,"")</f>
        <v/>
      </c>
      <c r="M31" s="474">
        <f>IF(M30&gt;0,M29/M30,"")</f>
        <v/>
      </c>
      <c r="N31" s="474">
        <f>IF(N30&gt;0,N29/N30,"")</f>
        <v/>
      </c>
      <c r="O31" s="474">
        <f>IF(O30&gt;0,O29/O30,"")</f>
        <v/>
      </c>
      <c r="P31" s="474">
        <f>IF(P30&gt;0,P29/P30,"")</f>
        <v/>
      </c>
      <c r="Q31" s="474">
        <f>IF(Q30&gt;0,Q29/Q30,"")</f>
        <v/>
      </c>
      <c r="R31" s="474">
        <f>IF(R30&gt;0,R29/R30,"")</f>
        <v/>
      </c>
      <c r="S31" s="474">
        <f>IF(S30&gt;0,S29/S30,"")</f>
        <v/>
      </c>
      <c r="T31" s="474">
        <f>IF(T30&gt;0,T29/T30,"")</f>
        <v/>
      </c>
      <c r="U31" s="474">
        <f>IF(U30&gt;0,U29/U30,"")</f>
        <v/>
      </c>
      <c r="V31" s="474">
        <f>IF(V30&gt;0,V29/V30,"")</f>
        <v/>
      </c>
      <c r="W31" s="474">
        <f>IF(W30&gt;0,W29/W30,"")</f>
        <v/>
      </c>
      <c r="X31" s="474">
        <f>IF(X30&gt;0,X29/X30,"")</f>
        <v/>
      </c>
      <c r="Y31" s="474">
        <f>IF(Y30&gt;0,Y29/Y30,"")</f>
        <v/>
      </c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289" t="inlineStr">
        <is>
          <t>Cash total fin</t>
        </is>
      </c>
      <c r="B32" s="464">
        <f>B28+B29</f>
        <v/>
      </c>
      <c r="C32" s="464">
        <f>C28+C29</f>
        <v/>
      </c>
      <c r="D32" s="464">
        <f>D28+D29</f>
        <v/>
      </c>
      <c r="E32" s="464">
        <f>E28+E29</f>
        <v/>
      </c>
      <c r="F32" s="464">
        <f>F28+F29</f>
        <v/>
      </c>
      <c r="G32" s="464">
        <f>G28+G29</f>
        <v/>
      </c>
      <c r="H32" s="464">
        <f>H28+H29</f>
        <v/>
      </c>
      <c r="I32" s="464">
        <f>I28+I29</f>
        <v/>
      </c>
      <c r="J32" s="464">
        <f>J28+J29</f>
        <v/>
      </c>
      <c r="K32" s="464">
        <f>K28+K29</f>
        <v/>
      </c>
      <c r="L32" s="464">
        <f>L28+L29</f>
        <v/>
      </c>
      <c r="M32" s="464">
        <f>M28+M29</f>
        <v/>
      </c>
      <c r="N32" s="464">
        <f>N28+N29</f>
        <v/>
      </c>
      <c r="O32" s="464">
        <f>O28+O29</f>
        <v/>
      </c>
      <c r="P32" s="464">
        <f>P28+P29</f>
        <v/>
      </c>
      <c r="Q32" s="464">
        <f>Q28+Q29</f>
        <v/>
      </c>
      <c r="R32" s="464">
        <f>R28+R29</f>
        <v/>
      </c>
      <c r="S32" s="464">
        <f>S28+S29</f>
        <v/>
      </c>
      <c r="T32" s="464">
        <f>T28+T29</f>
        <v/>
      </c>
      <c r="U32" s="464">
        <f>U28+U29</f>
        <v/>
      </c>
      <c r="V32" s="464">
        <f>V28+V29</f>
        <v/>
      </c>
      <c r="W32" s="464">
        <f>W28+W29</f>
        <v/>
      </c>
      <c r="X32" s="464">
        <f>X28+X29</f>
        <v/>
      </c>
      <c r="Y32" s="464">
        <f>Y28+Y29</f>
        <v/>
      </c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289" t="inlineStr">
        <is>
          <t>Statut réserve</t>
        </is>
      </c>
      <c r="B33" s="289">
        <f>IF(B31="","DÉMARRAGE",IF(B31&gt;=2,"NORMAL",IF(B31&gt;=1.5,"PRUDENCE",IF(B31&gt;=1.2,"DÉFENSIF","CRITIQUE"))))</f>
        <v/>
      </c>
      <c r="C33" s="289">
        <f>IF(C31="","DÉMARRAGE",IF(C31&gt;=2,"NORMAL",IF(C31&gt;=1.5,"PRUDENCE",IF(C31&gt;=1.2,"DÉFENSIF","CRITIQUE"))))</f>
        <v/>
      </c>
      <c r="D33" s="289">
        <f>IF(D31="","DÉMARRAGE",IF(D31&gt;=2,"NORMAL",IF(D31&gt;=1.5,"PRUDENCE",IF(D31&gt;=1.2,"DÉFENSIF","CRITIQUE"))))</f>
        <v/>
      </c>
      <c r="E33" s="289">
        <f>IF(E31="","DÉMARRAGE",IF(E31&gt;=2,"NORMAL",IF(E31&gt;=1.5,"PRUDENCE",IF(E31&gt;=1.2,"DÉFENSIF","CRITIQUE"))))</f>
        <v/>
      </c>
      <c r="F33" s="289">
        <f>IF(F31="","DÉMARRAGE",IF(F31&gt;=2,"NORMAL",IF(F31&gt;=1.5,"PRUDENCE",IF(F31&gt;=1.2,"DÉFENSIF","CRITIQUE"))))</f>
        <v/>
      </c>
      <c r="G33" s="289">
        <f>IF(G31="","DÉMARRAGE",IF(G31&gt;=2,"NORMAL",IF(G31&gt;=1.5,"PRUDENCE",IF(G31&gt;=1.2,"DÉFENSIF","CRITIQUE"))))</f>
        <v/>
      </c>
      <c r="H33" s="289">
        <f>IF(H31="","DÉMARRAGE",IF(H31&gt;=2,"NORMAL",IF(H31&gt;=1.5,"PRUDENCE",IF(H31&gt;=1.2,"DÉFENSIF","CRITIQUE"))))</f>
        <v/>
      </c>
      <c r="I33" s="289">
        <f>IF(I31="","DÉMARRAGE",IF(I31&gt;=2,"NORMAL",IF(I31&gt;=1.5,"PRUDENCE",IF(I31&gt;=1.2,"DÉFENSIF","CRITIQUE"))))</f>
        <v/>
      </c>
      <c r="J33" s="289">
        <f>IF(J31="","DÉMARRAGE",IF(J31&gt;=2,"NORMAL",IF(J31&gt;=1.5,"PRUDENCE",IF(J31&gt;=1.2,"DÉFENSIF","CRITIQUE"))))</f>
        <v/>
      </c>
      <c r="K33" s="289">
        <f>IF(K31="","DÉMARRAGE",IF(K31&gt;=2,"NORMAL",IF(K31&gt;=1.5,"PRUDENCE",IF(K31&gt;=1.2,"DÉFENSIF","CRITIQUE"))))</f>
        <v/>
      </c>
      <c r="L33" s="289">
        <f>IF(L31="","DÉMARRAGE",IF(L31&gt;=2,"NORMAL",IF(L31&gt;=1.5,"PRUDENCE",IF(L31&gt;=1.2,"DÉFENSIF","CRITIQUE"))))</f>
        <v/>
      </c>
      <c r="M33" s="289">
        <f>IF(M31="","DÉMARRAGE",IF(M31&gt;=2,"NORMAL",IF(M31&gt;=1.5,"PRUDENCE",IF(M31&gt;=1.2,"DÉFENSIF","CRITIQUE"))))</f>
        <v/>
      </c>
      <c r="N33" s="289">
        <f>IF(N31="","DÉMARRAGE",IF(N31&gt;=2,"NORMAL",IF(N31&gt;=1.5,"PRUDENCE",IF(N31&gt;=1.2,"DÉFENSIF","CRITIQUE"))))</f>
        <v/>
      </c>
      <c r="O33" s="289">
        <f>IF(O31="","DÉMARRAGE",IF(O31&gt;=2,"NORMAL",IF(O31&gt;=1.5,"PRUDENCE",IF(O31&gt;=1.2,"DÉFENSIF","CRITIQUE"))))</f>
        <v/>
      </c>
      <c r="P33" s="289">
        <f>IF(P31="","DÉMARRAGE",IF(P31&gt;=2,"NORMAL",IF(P31&gt;=1.5,"PRUDENCE",IF(P31&gt;=1.2,"DÉFENSIF","CRITIQUE"))))</f>
        <v/>
      </c>
      <c r="Q33" s="289">
        <f>IF(Q31="","DÉMARRAGE",IF(Q31&gt;=2,"NORMAL",IF(Q31&gt;=1.5,"PRUDENCE",IF(Q31&gt;=1.2,"DÉFENSIF","CRITIQUE"))))</f>
        <v/>
      </c>
      <c r="R33" s="289">
        <f>IF(R31="","DÉMARRAGE",IF(R31&gt;=2,"NORMAL",IF(R31&gt;=1.5,"PRUDENCE",IF(R31&gt;=1.2,"DÉFENSIF","CRITIQUE"))))</f>
        <v/>
      </c>
      <c r="S33" s="289">
        <f>IF(S31="","DÉMARRAGE",IF(S31&gt;=2,"NORMAL",IF(S31&gt;=1.5,"PRUDENCE",IF(S31&gt;=1.2,"DÉFENSIF","CRITIQUE"))))</f>
        <v/>
      </c>
      <c r="T33" s="289">
        <f>IF(T31="","DÉMARRAGE",IF(T31&gt;=2,"NORMAL",IF(T31&gt;=1.5,"PRUDENCE",IF(T31&gt;=1.2,"DÉFENSIF","CRITIQUE"))))</f>
        <v/>
      </c>
      <c r="U33" s="289">
        <f>IF(U31="","DÉMARRAGE",IF(U31&gt;=2,"NORMAL",IF(U31&gt;=1.5,"PRUDENCE",IF(U31&gt;=1.2,"DÉFENSIF","CRITIQUE"))))</f>
        <v/>
      </c>
      <c r="V33" s="289">
        <f>IF(V31="","DÉMARRAGE",IF(V31&gt;=2,"NORMAL",IF(V31&gt;=1.5,"PRUDENCE",IF(V31&gt;=1.2,"DÉFENSIF","CRITIQUE"))))</f>
        <v/>
      </c>
      <c r="W33" s="289">
        <f>IF(W31="","DÉMARRAGE",IF(W31&gt;=2,"NORMAL",IF(W31&gt;=1.5,"PRUDENCE",IF(W31&gt;=1.2,"DÉFENSIF","CRITIQUE"))))</f>
        <v/>
      </c>
      <c r="X33" s="289">
        <f>IF(X31="","DÉMARRAGE",IF(X31&gt;=2,"NORMAL",IF(X31&gt;=1.5,"PRUDENCE",IF(X31&gt;=1.2,"DÉFENSIF","CRITIQUE"))))</f>
        <v/>
      </c>
      <c r="Y33" s="289">
        <f>IF(Y31="","DÉMARRAGE",IF(Y31&gt;=2,"NORMAL",IF(Y31&gt;=1.5,"PRUDENCE",IF(Y31&gt;=1.2,"DÉFENSIF","CRITIQUE"))))</f>
        <v/>
      </c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161" t="n"/>
      <c r="B34" s="161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161" t="n"/>
      <c r="B35" s="161" t="n"/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161" t="n"/>
      <c r="B36" s="161" t="n"/>
      <c r="C36" s="161" t="n"/>
      <c r="D36" s="161" t="n"/>
      <c r="E36" s="161" t="n"/>
      <c r="F36" s="161" t="n"/>
      <c r="G36" s="161" t="n"/>
      <c r="H36" s="161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  <c r="S41" s="161" t="n"/>
      <c r="T41" s="161" t="n"/>
      <c r="U41" s="161" t="n"/>
      <c r="V41" s="161" t="n"/>
      <c r="W41" s="161" t="n"/>
      <c r="X41" s="161" t="n"/>
      <c r="Y41" s="16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  <c r="S42" s="161" t="n"/>
      <c r="T42" s="161" t="n"/>
      <c r="U42" s="161" t="n"/>
      <c r="V42" s="161" t="n"/>
      <c r="W42" s="161" t="n"/>
      <c r="X42" s="161" t="n"/>
      <c r="Y42" s="161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2">
    <mergeCell ref="A2:Y2"/>
    <mergeCell ref="A1:Y1"/>
  </mergeCells>
  <conditionalFormatting sqref="B31:Y31">
    <cfRule type="colorScale" priority="1">
      <colorScale>
        <cfvo type="min"/>
        <cfvo type="percentile" val="50"/>
        <cfvo type="max"/>
        <color rgb="FFFBE7E7"/>
        <color rgb="FFFFF1D5"/>
        <color rgb="FFE3F3EC"/>
      </colorScale>
    </cfRule>
  </conditionalFormatting>
  <conditionalFormatting sqref="B33:Y33">
    <cfRule type="expression" priority="2" dxfId="0">
      <formula>B33="CRITIQUE"</formula>
    </cfRule>
    <cfRule type="expression" priority="3" dxfId="1">
      <formula>B33="DÉFENSIF"</formula>
    </cfRule>
    <cfRule type="expression" priority="4" dxfId="2">
      <formula>B33="NORMAL"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4" customWidth="1" min="5" max="5"/>
    <col width="32" customWidth="1" min="6" max="6"/>
  </cols>
  <sheetData>
    <row r="1" ht="15" customHeight="1">
      <c r="A1" s="401" t="inlineStr">
        <is>
          <t>WARIBA — Comparaison Base / Upside / Stress</t>
        </is>
      </c>
      <c r="B1" s="1" t="n"/>
      <c r="C1" s="1" t="n"/>
      <c r="D1" s="1" t="n"/>
      <c r="E1" s="1" t="n"/>
      <c r="F1" s="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  <c r="U1" s="161" t="n"/>
      <c r="V1" s="161" t="n"/>
      <c r="W1" s="161" t="n"/>
      <c r="X1" s="161" t="n"/>
      <c r="Y1" s="16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67" t="inlineStr">
        <is>
          <t>Les résultats sont calculés indépendamment du scénario actif pour éviter une lecture partielle.</t>
        </is>
      </c>
      <c r="B2" s="1" t="n"/>
      <c r="C2" s="1" t="n"/>
      <c r="D2" s="1" t="n"/>
      <c r="E2" s="1" t="n"/>
      <c r="F2" s="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164" t="inlineStr">
        <is>
          <t>Indicateur</t>
        </is>
      </c>
      <c r="B4" s="164" t="inlineStr">
        <is>
          <t>Base</t>
        </is>
      </c>
      <c r="C4" s="164" t="inlineStr">
        <is>
          <t>Upside</t>
        </is>
      </c>
      <c r="D4" s="164" t="inlineStr">
        <is>
          <t>Stress</t>
        </is>
      </c>
      <c r="E4" s="164" t="inlineStr">
        <is>
          <t>Unité</t>
        </is>
      </c>
      <c r="F4" s="164" t="inlineStr">
        <is>
          <t>Lecture</t>
        </is>
      </c>
      <c r="G4" s="161" t="n"/>
      <c r="H4" s="161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161" t="inlineStr">
        <is>
          <t>Prix moyen pondéré</t>
        </is>
      </c>
      <c r="B5" s="467">
        <f>SUMPRODUCT('Hypothèses'!B30:B32,'Hypothèses'!C30:C32)</f>
        <v/>
      </c>
      <c r="C5" s="467">
        <f>SUMPRODUCT('Hypothèses'!B30:B32,'Hypothèses'!C30:C32)</f>
        <v/>
      </c>
      <c r="D5" s="467">
        <f>SUMPRODUCT('Hypothèses'!B30:B32,'Hypothèses'!C30:C32)</f>
        <v/>
      </c>
      <c r="E5" s="161" t="inlineStr">
        <is>
          <t>FCFA</t>
        </is>
      </c>
      <c r="F5" s="161" t="inlineStr">
        <is>
          <t>Offre pondérée</t>
        </is>
      </c>
      <c r="G5" s="161" t="n"/>
      <c r="H5" s="161" t="n"/>
      <c r="I5" s="161" t="n"/>
      <c r="J5" s="161" t="n"/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161" t="inlineStr">
        <is>
          <t>Coût payout attendu / achat</t>
        </is>
      </c>
      <c r="B6" s="467">
        <f>((('Hypothèses'!E7*'Hypothèses'!E8))*(SUMPRODUCT('Hypothèses'!C30:C32,'Hypothèses'!E30:E32)*'Hypothèses'!B35)*'Hypothèses'!E13*0.8*(1+'Hypothèses'!E19)+((('Hypothèses'!E7*'Hypothèses'!E8)*'Hypothèses'!E9))*(SUMPRODUCT('Hypothèses'!C30:C32,'Hypothèses'!E30:E32)*'Hypothèses'!B35)*'Hypothèses'!E13*0.8*(1+'Hypothèses'!E19)+(((('Hypothèses'!E7*'Hypothèses'!E8)*'Hypothèses'!E9)*'Hypothèses'!E10))*(SUMPRODUCT('Hypothèses'!C30:C32,'Hypothèses'!F30:F32)*'Hypothèses'!B35)*'Hypothèses'!E13*0.8*(1+'Hypothèses'!E19)+((((('Hypothèses'!E7*'Hypothèses'!E8)*'Hypothèses'!E9)*'Hypothèses'!E10)*'Hypothèses'!E11))*(SUMPRODUCT('Hypothèses'!C30:C32,'Hypothèses'!F30:F32)*'Hypothèses'!B35)*'Hypothèses'!E13*0.8*(1+'Hypothèses'!E19)+(((((('Hypothèses'!E7*'Hypothèses'!E8)*'Hypothèses'!E9)*'Hypothèses'!E10)*'Hypothèses'!E11)*'Hypothèses'!E12))*(SUMPRODUCT('Hypothèses'!C30:C32,'Hypothèses'!G30:G32)*'Hypothèses'!B35)*'Hypothèses'!E13*0.9*(1+'Hypothèses'!E19))</f>
        <v/>
      </c>
      <c r="C6" s="467">
        <f>((('Hypothèses'!F7*'Hypothèses'!F8))*(SUMPRODUCT('Hypothèses'!C30:C32,'Hypothèses'!E30:E32)*'Hypothèses'!B35)*'Hypothèses'!F13*0.8*(1+'Hypothèses'!F19)+((('Hypothèses'!F7*'Hypothèses'!F8)*'Hypothèses'!F9))*(SUMPRODUCT('Hypothèses'!C30:C32,'Hypothèses'!E30:E32)*'Hypothèses'!B35)*'Hypothèses'!F13*0.8*(1+'Hypothèses'!F19)+(((('Hypothèses'!F7*'Hypothèses'!F8)*'Hypothèses'!F9)*'Hypothèses'!F10))*(SUMPRODUCT('Hypothèses'!C30:C32,'Hypothèses'!F30:F32)*'Hypothèses'!B35)*'Hypothèses'!F13*0.8*(1+'Hypothèses'!F19)+((((('Hypothèses'!F7*'Hypothèses'!F8)*'Hypothèses'!F9)*'Hypothèses'!F10)*'Hypothèses'!F11))*(SUMPRODUCT('Hypothèses'!C30:C32,'Hypothèses'!F30:F32)*'Hypothèses'!B35)*'Hypothèses'!F13*0.8*(1+'Hypothèses'!F19)+(((((('Hypothèses'!F7*'Hypothèses'!F8)*'Hypothèses'!F9)*'Hypothèses'!F10)*'Hypothèses'!F11)*'Hypothèses'!F12))*(SUMPRODUCT('Hypothèses'!C30:C32,'Hypothèses'!G30:G32)*'Hypothèses'!B35)*'Hypothèses'!F13*0.9*(1+'Hypothèses'!F19))</f>
        <v/>
      </c>
      <c r="D6" s="467">
        <f>((('Hypothèses'!G7*'Hypothèses'!G8))*(SUMPRODUCT('Hypothèses'!C30:C32,'Hypothèses'!E30:E32)*'Hypothèses'!B35)*'Hypothèses'!G13*0.8*(1+'Hypothèses'!G19)+((('Hypothèses'!G7*'Hypothèses'!G8)*'Hypothèses'!G9))*(SUMPRODUCT('Hypothèses'!C30:C32,'Hypothèses'!E30:E32)*'Hypothèses'!B35)*'Hypothèses'!G13*0.8*(1+'Hypothèses'!G19)+(((('Hypothèses'!G7*'Hypothèses'!G8)*'Hypothèses'!G9)*'Hypothèses'!G10))*(SUMPRODUCT('Hypothèses'!C30:C32,'Hypothèses'!F30:F32)*'Hypothèses'!B35)*'Hypothèses'!G13*0.8*(1+'Hypothèses'!G19)+((((('Hypothèses'!G7*'Hypothèses'!G8)*'Hypothèses'!G9)*'Hypothèses'!G10)*'Hypothèses'!G11))*(SUMPRODUCT('Hypothèses'!C30:C32,'Hypothèses'!F30:F32)*'Hypothèses'!B35)*'Hypothèses'!G13*0.8*(1+'Hypothèses'!G19)+(((((('Hypothèses'!G7*'Hypothèses'!G8)*'Hypothèses'!G9)*'Hypothèses'!G10)*'Hypothèses'!G11)*'Hypothèses'!G12))*(SUMPRODUCT('Hypothèses'!C30:C32,'Hypothèses'!G30:G32)*'Hypothèses'!B35)*'Hypothèses'!G13*0.9*(1+'Hypothèses'!G19))</f>
        <v/>
      </c>
      <c r="E6" s="161" t="inlineStr">
        <is>
          <t>FCFA</t>
        </is>
      </c>
      <c r="F6" s="161" t="inlineStr">
        <is>
          <t>Cash trader + frais</t>
        </is>
      </c>
      <c r="G6" s="161" t="n"/>
      <c r="H6" s="161" t="n"/>
      <c r="I6" s="161" t="n"/>
      <c r="J6" s="161" t="n"/>
      <c r="K6" s="161" t="n"/>
      <c r="L6" s="161" t="n"/>
      <c r="M6" s="161" t="n"/>
      <c r="N6" s="161" t="n"/>
      <c r="O6" s="161" t="n"/>
      <c r="P6" s="161" t="n"/>
      <c r="Q6" s="161" t="n"/>
      <c r="R6" s="161" t="n"/>
      <c r="S6" s="161" t="n"/>
      <c r="T6" s="161" t="n"/>
      <c r="U6" s="161" t="n"/>
      <c r="V6" s="161" t="n"/>
      <c r="W6" s="161" t="n"/>
      <c r="X6" s="161" t="n"/>
      <c r="Y6" s="161" t="n"/>
      <c r="Z6" s="161" t="n"/>
      <c r="AA6" s="161" t="n"/>
      <c r="AB6" s="161" t="n"/>
      <c r="AC6" s="161" t="n"/>
      <c r="AD6" s="161" t="n"/>
      <c r="AE6" s="161" t="n"/>
      <c r="AF6" s="161" t="n"/>
      <c r="AG6" s="161" t="n"/>
      <c r="AH6" s="161" t="n"/>
      <c r="AI6" s="161" t="n"/>
      <c r="AJ6" s="161" t="n"/>
      <c r="AK6" s="161" t="n"/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161" t="inlineStr">
        <is>
          <t>Contribution / achat</t>
        </is>
      </c>
      <c r="B7" s="467">
        <f>B5-B5*'Hypothèses'!E14-(B5-B5*'Hypothèses'!E14)*'Hypothèses'!E15-B5*'Hypothèses'!E25-'Hypothèses'!E16-'Hypothèses'!E17-'Hypothèses'!E7*'Hypothèses'!E18-B5*'Hypothèses'!E20-B5*'Hypothèses'!E21-B6</f>
        <v/>
      </c>
      <c r="C7" s="467">
        <f>C5-C5*'Hypothèses'!F14-(C5-C5*'Hypothèses'!F14)*'Hypothèses'!F15-C5*'Hypothèses'!F25-'Hypothèses'!F16-'Hypothèses'!F17-'Hypothèses'!F7*'Hypothèses'!F18-C5*'Hypothèses'!F20-C5*'Hypothèses'!F21-C6</f>
        <v/>
      </c>
      <c r="D7" s="467">
        <f>D5-D5*'Hypothèses'!G14-(D5-D5*'Hypothèses'!G14)*'Hypothèses'!G15-D5*'Hypothèses'!G25-'Hypothèses'!G16-'Hypothèses'!G17-'Hypothèses'!G7*'Hypothèses'!G18-D5*'Hypothèses'!G20-D5*'Hypothèses'!G21-D6</f>
        <v/>
      </c>
      <c r="E7" s="161" t="inlineStr">
        <is>
          <t>FCFA</t>
        </is>
      </c>
      <c r="F7" s="161" t="inlineStr">
        <is>
          <t>Après coûts variables et payouts</t>
        </is>
      </c>
      <c r="G7" s="161" t="n"/>
      <c r="H7" s="161" t="n"/>
      <c r="I7" s="161" t="n"/>
      <c r="J7" s="161" t="n"/>
      <c r="K7" s="161" t="n"/>
      <c r="L7" s="161" t="n"/>
      <c r="M7" s="161" t="n"/>
      <c r="N7" s="161" t="n"/>
      <c r="O7" s="161" t="n"/>
      <c r="P7" s="161" t="n"/>
      <c r="Q7" s="161" t="n"/>
      <c r="R7" s="161" t="n"/>
      <c r="S7" s="161" t="n"/>
      <c r="T7" s="161" t="n"/>
      <c r="U7" s="161" t="n"/>
      <c r="V7" s="161" t="n"/>
      <c r="W7" s="161" t="n"/>
      <c r="X7" s="161" t="n"/>
      <c r="Y7" s="161" t="n"/>
      <c r="Z7" s="161" t="n"/>
      <c r="AA7" s="161" t="n"/>
      <c r="AB7" s="161" t="n"/>
      <c r="AC7" s="161" t="n"/>
      <c r="AD7" s="161" t="n"/>
      <c r="AE7" s="161" t="n"/>
      <c r="AF7" s="161" t="n"/>
      <c r="AG7" s="161" t="n"/>
      <c r="AH7" s="161" t="n"/>
      <c r="AI7" s="161" t="n"/>
      <c r="AJ7" s="161" t="n"/>
      <c r="AK7" s="161" t="n"/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161" t="inlineStr">
        <is>
          <t>Marge de contribution</t>
        </is>
      </c>
      <c r="B8" s="475">
        <f>B7/B5</f>
        <v/>
      </c>
      <c r="C8" s="475">
        <f>C7/C5</f>
        <v/>
      </c>
      <c r="D8" s="475">
        <f>D7/D5</f>
        <v/>
      </c>
      <c r="E8" s="161" t="inlineStr">
        <is>
          <t>%</t>
        </is>
      </c>
      <c r="F8" s="161" t="str"/>
      <c r="G8" s="161" t="n"/>
      <c r="H8" s="161" t="n"/>
      <c r="I8" s="161" t="n"/>
      <c r="J8" s="161" t="n"/>
      <c r="K8" s="161" t="n"/>
      <c r="L8" s="161" t="n"/>
      <c r="M8" s="161" t="n"/>
      <c r="N8" s="161" t="n"/>
      <c r="O8" s="161" t="n"/>
      <c r="P8" s="161" t="n"/>
      <c r="Q8" s="161" t="n"/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161" t="inlineStr">
        <is>
          <t>Break-even mensuel</t>
        </is>
      </c>
      <c r="B9" s="473">
        <f>IF(B7&gt;0,'Hypothèses'!E24/B7,0)</f>
        <v/>
      </c>
      <c r="C9" s="473">
        <f>IF(C7&gt;0,'Hypothèses'!F24/C7,0)</f>
        <v/>
      </c>
      <c r="D9" s="473">
        <f>IF(D7&gt;0,'Hypothèses'!G24/D7,0)</f>
        <v/>
      </c>
      <c r="E9" s="161" t="inlineStr">
        <is>
          <t>achats</t>
        </is>
      </c>
      <c r="F9" s="161" t="inlineStr">
        <is>
          <t>OPEX ÷ contribution</t>
        </is>
      </c>
      <c r="G9" s="161" t="n"/>
      <c r="H9" s="161" t="n"/>
      <c r="I9" s="161" t="n"/>
      <c r="J9" s="161" t="n"/>
      <c r="K9" s="161" t="n"/>
      <c r="L9" s="161" t="n"/>
      <c r="M9" s="161" t="n"/>
      <c r="N9" s="161" t="n"/>
      <c r="O9" s="161" t="n"/>
      <c r="P9" s="161" t="n"/>
      <c r="Q9" s="161" t="n"/>
      <c r="R9" s="161" t="n"/>
      <c r="S9" s="161" t="n"/>
      <c r="T9" s="161" t="n"/>
      <c r="U9" s="161" t="n"/>
      <c r="V9" s="161" t="n"/>
      <c r="W9" s="161" t="n"/>
      <c r="X9" s="161" t="n"/>
      <c r="Y9" s="161" t="n"/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161" t="inlineStr">
        <is>
          <t>Réserve / 1 000 achats à 2,0x</t>
        </is>
      </c>
      <c r="B10" s="467">
        <f>B6*1000*'Hypothèses'!B38</f>
        <v/>
      </c>
      <c r="C10" s="467">
        <f>C6*1000*'Hypothèses'!B38</f>
        <v/>
      </c>
      <c r="D10" s="467">
        <f>D6*1000*'Hypothèses'!B38</f>
        <v/>
      </c>
      <c r="E10" s="161" t="inlineStr">
        <is>
          <t>FCFA</t>
        </is>
      </c>
      <c r="F10" s="161" t="str"/>
      <c r="G10" s="161" t="n"/>
      <c r="H10" s="161" t="n"/>
      <c r="I10" s="161" t="n"/>
      <c r="J10" s="161" t="n"/>
      <c r="K10" s="161" t="n"/>
      <c r="L10" s="161" t="n"/>
      <c r="M10" s="161" t="n"/>
      <c r="N10" s="161" t="n"/>
      <c r="O10" s="161" t="n"/>
      <c r="P10" s="161" t="n"/>
      <c r="Q10" s="161" t="n"/>
      <c r="R10" s="161" t="n"/>
      <c r="S10" s="161" t="n"/>
      <c r="T10" s="161" t="n"/>
      <c r="U10" s="161" t="n"/>
      <c r="V10" s="161" t="n"/>
      <c r="W10" s="161" t="n"/>
      <c r="X10" s="161" t="n"/>
      <c r="Y10" s="161" t="n"/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161" t="inlineStr">
        <is>
          <t>Probabilité payout #1 / achat</t>
        </is>
      </c>
      <c r="B11" s="475">
        <f>('Hypothèses'!E7*'Hypothèses'!E8)</f>
        <v/>
      </c>
      <c r="C11" s="475">
        <f>('Hypothèses'!F7*'Hypothèses'!F8)</f>
        <v/>
      </c>
      <c r="D11" s="475">
        <f>('Hypothèses'!G7*'Hypothèses'!G8)</f>
        <v/>
      </c>
      <c r="E11" s="161" t="inlineStr">
        <is>
          <t>%</t>
        </is>
      </c>
      <c r="F11" s="161" t="str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161" t="inlineStr">
        <is>
          <t>Probabilité payout #5 / achat</t>
        </is>
      </c>
      <c r="B12" s="475">
        <f>((((('Hypothèses'!E7*'Hypothèses'!E8)*'Hypothèses'!E9)*'Hypothèses'!E10)*'Hypothèses'!E11)*'Hypothèses'!E12)</f>
        <v/>
      </c>
      <c r="C12" s="475">
        <f>((((('Hypothèses'!F7*'Hypothèses'!F8)*'Hypothèses'!F9)*'Hypothèses'!F10)*'Hypothèses'!F11)*'Hypothèses'!F12)</f>
        <v/>
      </c>
      <c r="D12" s="475">
        <f>((((('Hypothèses'!G7*'Hypothèses'!G8)*'Hypothèses'!G9)*'Hypothèses'!G10)*'Hypothèses'!G11)*'Hypothèses'!G12)</f>
        <v/>
      </c>
      <c r="E12" s="161" t="inlineStr">
        <is>
          <t>%</t>
        </is>
      </c>
      <c r="F12" s="161" t="str"/>
      <c r="G12" s="161" t="n"/>
      <c r="H12" s="161" t="n"/>
      <c r="I12" s="161" t="n"/>
      <c r="J12" s="161" t="n"/>
      <c r="K12" s="161" t="n"/>
      <c r="L12" s="16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161" t="n"/>
      <c r="B13" s="161" t="n"/>
      <c r="C13" s="161" t="n"/>
      <c r="D13" s="161" t="n"/>
      <c r="E13" s="161" t="n"/>
      <c r="F13" s="161" t="n"/>
      <c r="G13" s="161" t="n"/>
      <c r="H13" s="161" t="n"/>
      <c r="I13" s="161" t="n"/>
      <c r="J13" s="161" t="n"/>
      <c r="K13" s="161" t="n"/>
      <c r="L13" s="161" t="n"/>
      <c r="M13" s="161" t="n"/>
      <c r="N13" s="161" t="n"/>
      <c r="O13" s="161" t="n"/>
      <c r="P13" s="161" t="n"/>
      <c r="Q13" s="161" t="n"/>
      <c r="R13" s="161" t="n"/>
      <c r="S13" s="161" t="n"/>
      <c r="T13" s="161" t="n"/>
      <c r="U13" s="161" t="n"/>
      <c r="V13" s="161" t="n"/>
      <c r="W13" s="161" t="n"/>
      <c r="X13" s="161" t="n"/>
      <c r="Y13" s="161" t="n"/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161" t="n"/>
      <c r="B14" s="161" t="n"/>
      <c r="C14" s="161" t="n"/>
      <c r="D14" s="161" t="n"/>
      <c r="E14" s="161" t="n"/>
      <c r="F14" s="161" t="n"/>
      <c r="G14" s="161" t="n"/>
      <c r="H14" s="161" t="n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161" t="n"/>
      <c r="B15" s="161" t="n"/>
      <c r="C15" s="161" t="n"/>
      <c r="D15" s="161" t="n"/>
      <c r="E15" s="161" t="n"/>
      <c r="F15" s="161" t="n"/>
      <c r="G15" s="161" t="n"/>
      <c r="H15" s="161" t="n"/>
      <c r="I15" s="161" t="n"/>
      <c r="J15" s="161" t="n"/>
      <c r="K15" s="161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161" t="n"/>
      <c r="B16" s="161" t="n"/>
      <c r="C16" s="161" t="n"/>
      <c r="D16" s="161" t="n"/>
      <c r="E16" s="161" t="n"/>
      <c r="F16" s="161" t="n"/>
      <c r="G16" s="161" t="n"/>
      <c r="H16" s="161" t="n"/>
      <c r="I16" s="161" t="n"/>
      <c r="J16" s="161" t="n"/>
      <c r="K16" s="161" t="n"/>
      <c r="L16" s="161" t="n"/>
      <c r="M16" s="161" t="n"/>
      <c r="N16" s="161" t="n"/>
      <c r="O16" s="161" t="n"/>
      <c r="P16" s="161" t="n"/>
      <c r="Q16" s="161" t="n"/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161" t="n"/>
      <c r="B17" s="161" t="n"/>
      <c r="C17" s="161" t="n"/>
      <c r="D17" s="161" t="n"/>
      <c r="E17" s="161" t="n"/>
      <c r="F17" s="161" t="n"/>
      <c r="G17" s="161" t="n"/>
      <c r="H17" s="161" t="n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  <c r="S17" s="161" t="n"/>
      <c r="T17" s="161" t="n"/>
      <c r="U17" s="161" t="n"/>
      <c r="V17" s="161" t="n"/>
      <c r="W17" s="161" t="n"/>
      <c r="X17" s="161" t="n"/>
      <c r="Y17" s="161" t="n"/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15" customHeight="1">
      <c r="A18" s="161" t="n"/>
      <c r="B18" s="161" t="n"/>
      <c r="C18" s="161" t="n"/>
      <c r="D18" s="161" t="n"/>
      <c r="E18" s="161" t="n"/>
      <c r="F18" s="161" t="n"/>
      <c r="G18" s="161" t="n"/>
      <c r="H18" s="161" t="n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15" customHeight="1">
      <c r="A19" s="161" t="n"/>
      <c r="B19" s="161" t="n"/>
      <c r="C19" s="161" t="n"/>
      <c r="D19" s="161" t="n"/>
      <c r="E19" s="161" t="n"/>
      <c r="F19" s="161" t="n"/>
      <c r="G19" s="161" t="n"/>
      <c r="H19" s="161" t="n"/>
      <c r="I19" s="161" t="n"/>
      <c r="J19" s="161" t="n"/>
      <c r="K19" s="161" t="n"/>
      <c r="L19" s="16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15" customHeight="1">
      <c r="A20" s="161" t="n"/>
      <c r="B20" s="161" t="n"/>
      <c r="C20" s="161" t="n"/>
      <c r="D20" s="161" t="n"/>
      <c r="E20" s="161" t="n"/>
      <c r="F20" s="161" t="n"/>
      <c r="G20" s="161" t="n"/>
      <c r="H20" s="161" t="n"/>
      <c r="I20" s="161" t="n"/>
      <c r="J20" s="161" t="n"/>
      <c r="K20" s="161" t="n"/>
      <c r="L20" s="16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15" customHeight="1">
      <c r="A21" s="161" t="n"/>
      <c r="B21" s="161" t="n"/>
      <c r="C21" s="161" t="n"/>
      <c r="D21" s="161" t="n"/>
      <c r="E21" s="161" t="n"/>
      <c r="F21" s="161" t="n"/>
      <c r="G21" s="161" t="n"/>
      <c r="H21" s="161" t="n"/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15" customHeight="1">
      <c r="A22" s="161" t="n"/>
      <c r="B22" s="161" t="n"/>
      <c r="C22" s="161" t="n"/>
      <c r="D22" s="161" t="n"/>
      <c r="E22" s="161" t="n"/>
      <c r="F22" s="161" t="n"/>
      <c r="G22" s="161" t="n"/>
      <c r="H22" s="161" t="n"/>
      <c r="I22" s="161" t="n"/>
      <c r="J22" s="161" t="n"/>
      <c r="K22" s="161" t="n"/>
      <c r="L22" s="16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61" t="n"/>
      <c r="B23" s="161" t="n"/>
      <c r="C23" s="161" t="n"/>
      <c r="D23" s="161" t="n"/>
      <c r="E23" s="161" t="n"/>
      <c r="F23" s="161" t="n"/>
      <c r="G23" s="161" t="n"/>
      <c r="H23" s="161" t="n"/>
      <c r="I23" s="161" t="n"/>
      <c r="J23" s="161" t="n"/>
      <c r="K23" s="161" t="n"/>
      <c r="L23" s="161" t="n"/>
      <c r="M23" s="161" t="n"/>
      <c r="N23" s="161" t="n"/>
      <c r="O23" s="161" t="n"/>
      <c r="P23" s="161" t="n"/>
      <c r="Q23" s="161" t="n"/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161" t="n"/>
      <c r="B24" s="161" t="n"/>
      <c r="C24" s="161" t="n"/>
      <c r="D24" s="161" t="n"/>
      <c r="E24" s="161" t="n"/>
      <c r="F24" s="161" t="n"/>
      <c r="G24" s="161" t="n"/>
      <c r="H24" s="161" t="n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161" t="n"/>
      <c r="B25" s="161" t="n"/>
      <c r="C25" s="161" t="n"/>
      <c r="D25" s="161" t="n"/>
      <c r="E25" s="161" t="n"/>
      <c r="F25" s="161" t="n"/>
      <c r="G25" s="161" t="n"/>
      <c r="H25" s="161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161" t="n"/>
      <c r="B26" s="161" t="n"/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161" t="n"/>
      <c r="B27" s="161" t="n"/>
      <c r="C27" s="161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161" t="n"/>
      <c r="B28" s="161" t="n"/>
      <c r="C28" s="161" t="n"/>
      <c r="D28" s="161" t="n"/>
      <c r="E28" s="161" t="n"/>
      <c r="F28" s="161" t="n"/>
      <c r="G28" s="161" t="n"/>
      <c r="H28" s="161" t="n"/>
      <c r="I28" s="161" t="n"/>
      <c r="J28" s="161" t="n"/>
      <c r="K28" s="161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61" t="n"/>
      <c r="B30" s="161" t="n"/>
      <c r="C30" s="161" t="n"/>
      <c r="D30" s="161" t="n"/>
      <c r="E30" s="161" t="n"/>
      <c r="F30" s="161" t="n"/>
      <c r="G30" s="161" t="n"/>
      <c r="H30" s="161" t="n"/>
      <c r="I30" s="161" t="n"/>
      <c r="J30" s="161" t="n"/>
      <c r="K30" s="161" t="n"/>
      <c r="L30" s="161" t="n"/>
      <c r="M30" s="161" t="n"/>
      <c r="N30" s="161" t="n"/>
      <c r="O30" s="161" t="n"/>
      <c r="P30" s="161" t="n"/>
      <c r="Q30" s="161" t="n"/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161" t="n"/>
      <c r="B31" s="161" t="n"/>
      <c r="C31" s="161" t="n"/>
      <c r="D31" s="161" t="n"/>
      <c r="E31" s="161" t="n"/>
      <c r="F31" s="161" t="n"/>
      <c r="G31" s="161" t="n"/>
      <c r="H31" s="161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161" t="n"/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161" t="n"/>
      <c r="B33" s="161" t="n"/>
      <c r="C33" s="161" t="n"/>
      <c r="D33" s="161" t="n"/>
      <c r="E33" s="161" t="n"/>
      <c r="F33" s="161" t="n"/>
      <c r="G33" s="161" t="n"/>
      <c r="H33" s="161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1" t="n"/>
      <c r="V33" s="161" t="n"/>
      <c r="W33" s="161" t="n"/>
      <c r="X33" s="161" t="n"/>
      <c r="Y33" s="161" t="n"/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161" t="n"/>
      <c r="B34" s="161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161" t="n"/>
      <c r="B35" s="161" t="n"/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161" t="n"/>
      <c r="B36" s="161" t="n"/>
      <c r="C36" s="161" t="n"/>
      <c r="D36" s="161" t="n"/>
      <c r="E36" s="161" t="n"/>
      <c r="F36" s="161" t="n"/>
      <c r="G36" s="161" t="n"/>
      <c r="H36" s="161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  <c r="S41" s="161" t="n"/>
      <c r="T41" s="161" t="n"/>
      <c r="U41" s="161" t="n"/>
      <c r="V41" s="161" t="n"/>
      <c r="W41" s="161" t="n"/>
      <c r="X41" s="161" t="n"/>
      <c r="Y41" s="16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  <c r="S42" s="161" t="n"/>
      <c r="T42" s="161" t="n"/>
      <c r="U42" s="161" t="n"/>
      <c r="V42" s="161" t="n"/>
      <c r="W42" s="161" t="n"/>
      <c r="X42" s="161" t="n"/>
      <c r="Y42" s="161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2">
    <mergeCell ref="A2:F2"/>
    <mergeCell ref="A1:F1"/>
  </mergeCells>
  <conditionalFormatting sqref="B7:D8">
    <cfRule type="colorScale" priority="1">
      <colorScale>
        <cfvo type="min"/>
        <cfvo type="percentile" val="50"/>
        <cfvo type="max"/>
        <color rgb="FFFBE7E7"/>
        <color rgb="FFFFF1D5"/>
        <color rgb="FFE3F3EC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15" customHeight="1">
      <c r="A1" s="401" t="inlineStr">
        <is>
          <t>WARIBA — Sensibilités économiques</t>
        </is>
      </c>
      <c r="B1" s="1" t="n"/>
      <c r="C1" s="1" t="n"/>
      <c r="D1" s="1" t="n"/>
      <c r="E1" s="1" t="n"/>
      <c r="F1" s="1" t="n"/>
      <c r="G1" s="1" t="n"/>
      <c r="H1" s="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  <c r="U1" s="161" t="n"/>
      <c r="V1" s="161" t="n"/>
      <c r="W1" s="161" t="n"/>
      <c r="X1" s="161" t="n"/>
      <c r="Y1" s="16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67" t="inlineStr">
        <is>
          <t>Les matrices testent les deux variables les plus dangereuses : taux de réussite et utilisation des caps.</t>
        </is>
      </c>
      <c r="B2" s="1" t="n"/>
      <c r="C2" s="1" t="n"/>
      <c r="D2" s="1" t="n"/>
      <c r="E2" s="1" t="n"/>
      <c r="F2" s="1" t="n"/>
      <c r="G2" s="1" t="n"/>
      <c r="H2" s="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168" t="inlineStr">
        <is>
          <t>A. Contribution par achat — FCFA</t>
        </is>
      </c>
      <c r="B4" s="1" t="n"/>
      <c r="C4" s="1" t="n"/>
      <c r="D4" s="1" t="n"/>
      <c r="E4" s="1" t="n"/>
      <c r="F4" s="1" t="n"/>
      <c r="G4" s="1" t="n"/>
      <c r="H4" s="1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164" t="inlineStr">
        <is>
          <t>Pass rate \ Cap usage</t>
        </is>
      </c>
      <c r="B5" s="476" t="n">
        <v>0.5</v>
      </c>
      <c r="C5" s="476" t="n">
        <v>0.6</v>
      </c>
      <c r="D5" s="476" t="n">
        <v>0.7</v>
      </c>
      <c r="E5" s="476" t="n">
        <v>0.8</v>
      </c>
      <c r="F5" s="476" t="n">
        <v>0.9</v>
      </c>
      <c r="G5" s="476" t="n">
        <v>1</v>
      </c>
      <c r="H5" s="161" t="n"/>
      <c r="I5" s="161" t="n"/>
      <c r="J5" s="161" t="n"/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477" t="n">
        <v>0.05</v>
      </c>
      <c r="B6" s="467">
        <f>'Économie Unitaire'!B17-('Économie Unitaire'!B28*($A6/'Hypothèses'!B7)*(B$5/'Hypothèses'!B13))</f>
        <v/>
      </c>
      <c r="C6" s="467">
        <f>'Économie Unitaire'!B17-('Économie Unitaire'!B28*($A6/'Hypothèses'!B7)*(C$5/'Hypothèses'!B13))</f>
        <v/>
      </c>
      <c r="D6" s="467">
        <f>'Économie Unitaire'!B17-('Économie Unitaire'!B28*($A6/'Hypothèses'!B7)*(D$5/'Hypothèses'!B13))</f>
        <v/>
      </c>
      <c r="E6" s="467">
        <f>'Économie Unitaire'!B17-('Économie Unitaire'!B28*($A6/'Hypothèses'!B7)*(E$5/'Hypothèses'!B13))</f>
        <v/>
      </c>
      <c r="F6" s="467">
        <f>'Économie Unitaire'!B17-('Économie Unitaire'!B28*($A6/'Hypothèses'!B7)*(F$5/'Hypothèses'!B13))</f>
        <v/>
      </c>
      <c r="G6" s="467">
        <f>'Économie Unitaire'!B17-('Économie Unitaire'!B28*($A6/'Hypothèses'!B7)*(G$5/'Hypothèses'!B13))</f>
        <v/>
      </c>
      <c r="H6" s="161" t="n"/>
      <c r="I6" s="161" t="n"/>
      <c r="J6" s="161" t="n"/>
      <c r="K6" s="161" t="n"/>
      <c r="L6" s="161" t="n"/>
      <c r="M6" s="161" t="n"/>
      <c r="N6" s="161" t="n"/>
      <c r="O6" s="161" t="n"/>
      <c r="P6" s="161" t="n"/>
      <c r="Q6" s="161" t="n"/>
      <c r="R6" s="161" t="n"/>
      <c r="S6" s="161" t="n"/>
      <c r="T6" s="161" t="n"/>
      <c r="U6" s="161" t="n"/>
      <c r="V6" s="161" t="n"/>
      <c r="W6" s="161" t="n"/>
      <c r="X6" s="161" t="n"/>
      <c r="Y6" s="161" t="n"/>
      <c r="Z6" s="161" t="n"/>
      <c r="AA6" s="161" t="n"/>
      <c r="AB6" s="161" t="n"/>
      <c r="AC6" s="161" t="n"/>
      <c r="AD6" s="161" t="n"/>
      <c r="AE6" s="161" t="n"/>
      <c r="AF6" s="161" t="n"/>
      <c r="AG6" s="161" t="n"/>
      <c r="AH6" s="161" t="n"/>
      <c r="AI6" s="161" t="n"/>
      <c r="AJ6" s="161" t="n"/>
      <c r="AK6" s="161" t="n"/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477" t="n">
        <v>0.08</v>
      </c>
      <c r="B7" s="467">
        <f>'Économie Unitaire'!B17-('Économie Unitaire'!B28*($A7/'Hypothèses'!B7)*(B$5/'Hypothèses'!B13))</f>
        <v/>
      </c>
      <c r="C7" s="467">
        <f>'Économie Unitaire'!B17-('Économie Unitaire'!B28*($A7/'Hypothèses'!B7)*(C$5/'Hypothèses'!B13))</f>
        <v/>
      </c>
      <c r="D7" s="467">
        <f>'Économie Unitaire'!B17-('Économie Unitaire'!B28*($A7/'Hypothèses'!B7)*(D$5/'Hypothèses'!B13))</f>
        <v/>
      </c>
      <c r="E7" s="467">
        <f>'Économie Unitaire'!B17-('Économie Unitaire'!B28*($A7/'Hypothèses'!B7)*(E$5/'Hypothèses'!B13))</f>
        <v/>
      </c>
      <c r="F7" s="467">
        <f>'Économie Unitaire'!B17-('Économie Unitaire'!B28*($A7/'Hypothèses'!B7)*(F$5/'Hypothèses'!B13))</f>
        <v/>
      </c>
      <c r="G7" s="467">
        <f>'Économie Unitaire'!B17-('Économie Unitaire'!B28*($A7/'Hypothèses'!B7)*(G$5/'Hypothèses'!B13))</f>
        <v/>
      </c>
      <c r="H7" s="161" t="n"/>
      <c r="I7" s="161" t="n"/>
      <c r="J7" s="161" t="n"/>
      <c r="K7" s="161" t="n"/>
      <c r="L7" s="161" t="n"/>
      <c r="M7" s="161" t="n"/>
      <c r="N7" s="161" t="n"/>
      <c r="O7" s="161" t="n"/>
      <c r="P7" s="161" t="n"/>
      <c r="Q7" s="161" t="n"/>
      <c r="R7" s="161" t="n"/>
      <c r="S7" s="161" t="n"/>
      <c r="T7" s="161" t="n"/>
      <c r="U7" s="161" t="n"/>
      <c r="V7" s="161" t="n"/>
      <c r="W7" s="161" t="n"/>
      <c r="X7" s="161" t="n"/>
      <c r="Y7" s="161" t="n"/>
      <c r="Z7" s="161" t="n"/>
      <c r="AA7" s="161" t="n"/>
      <c r="AB7" s="161" t="n"/>
      <c r="AC7" s="161" t="n"/>
      <c r="AD7" s="161" t="n"/>
      <c r="AE7" s="161" t="n"/>
      <c r="AF7" s="161" t="n"/>
      <c r="AG7" s="161" t="n"/>
      <c r="AH7" s="161" t="n"/>
      <c r="AI7" s="161" t="n"/>
      <c r="AJ7" s="161" t="n"/>
      <c r="AK7" s="161" t="n"/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477" t="n">
        <v>0.11</v>
      </c>
      <c r="B8" s="467">
        <f>'Économie Unitaire'!B17-('Économie Unitaire'!B28*($A8/'Hypothèses'!B7)*(B$5/'Hypothèses'!B13))</f>
        <v/>
      </c>
      <c r="C8" s="467">
        <f>'Économie Unitaire'!B17-('Économie Unitaire'!B28*($A8/'Hypothèses'!B7)*(C$5/'Hypothèses'!B13))</f>
        <v/>
      </c>
      <c r="D8" s="467">
        <f>'Économie Unitaire'!B17-('Économie Unitaire'!B28*($A8/'Hypothèses'!B7)*(D$5/'Hypothèses'!B13))</f>
        <v/>
      </c>
      <c r="E8" s="467">
        <f>'Économie Unitaire'!B17-('Économie Unitaire'!B28*($A8/'Hypothèses'!B7)*(E$5/'Hypothèses'!B13))</f>
        <v/>
      </c>
      <c r="F8" s="467">
        <f>'Économie Unitaire'!B17-('Économie Unitaire'!B28*($A8/'Hypothèses'!B7)*(F$5/'Hypothèses'!B13))</f>
        <v/>
      </c>
      <c r="G8" s="467">
        <f>'Économie Unitaire'!B17-('Économie Unitaire'!B28*($A8/'Hypothèses'!B7)*(G$5/'Hypothèses'!B13))</f>
        <v/>
      </c>
      <c r="H8" s="161" t="n"/>
      <c r="I8" s="161" t="n"/>
      <c r="J8" s="161" t="n"/>
      <c r="K8" s="161" t="n"/>
      <c r="L8" s="161" t="n"/>
      <c r="M8" s="161" t="n"/>
      <c r="N8" s="161" t="n"/>
      <c r="O8" s="161" t="n"/>
      <c r="P8" s="161" t="n"/>
      <c r="Q8" s="161" t="n"/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477" t="n">
        <v>0.14</v>
      </c>
      <c r="B9" s="467">
        <f>'Économie Unitaire'!B17-('Économie Unitaire'!B28*($A9/'Hypothèses'!B7)*(B$5/'Hypothèses'!B13))</f>
        <v/>
      </c>
      <c r="C9" s="467">
        <f>'Économie Unitaire'!B17-('Économie Unitaire'!B28*($A9/'Hypothèses'!B7)*(C$5/'Hypothèses'!B13))</f>
        <v/>
      </c>
      <c r="D9" s="467">
        <f>'Économie Unitaire'!B17-('Économie Unitaire'!B28*($A9/'Hypothèses'!B7)*(D$5/'Hypothèses'!B13))</f>
        <v/>
      </c>
      <c r="E9" s="467">
        <f>'Économie Unitaire'!B17-('Économie Unitaire'!B28*($A9/'Hypothèses'!B7)*(E$5/'Hypothèses'!B13))</f>
        <v/>
      </c>
      <c r="F9" s="467">
        <f>'Économie Unitaire'!B17-('Économie Unitaire'!B28*($A9/'Hypothèses'!B7)*(F$5/'Hypothèses'!B13))</f>
        <v/>
      </c>
      <c r="G9" s="467">
        <f>'Économie Unitaire'!B17-('Économie Unitaire'!B28*($A9/'Hypothèses'!B7)*(G$5/'Hypothèses'!B13))</f>
        <v/>
      </c>
      <c r="H9" s="161" t="n"/>
      <c r="I9" s="161" t="n"/>
      <c r="J9" s="161" t="n"/>
      <c r="K9" s="161" t="n"/>
      <c r="L9" s="161" t="n"/>
      <c r="M9" s="161" t="n"/>
      <c r="N9" s="161" t="n"/>
      <c r="O9" s="161" t="n"/>
      <c r="P9" s="161" t="n"/>
      <c r="Q9" s="161" t="n"/>
      <c r="R9" s="161" t="n"/>
      <c r="S9" s="161" t="n"/>
      <c r="T9" s="161" t="n"/>
      <c r="U9" s="161" t="n"/>
      <c r="V9" s="161" t="n"/>
      <c r="W9" s="161" t="n"/>
      <c r="X9" s="161" t="n"/>
      <c r="Y9" s="161" t="n"/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477" t="n">
        <v>0.17</v>
      </c>
      <c r="B10" s="467">
        <f>'Économie Unitaire'!B17-('Économie Unitaire'!B28*($A10/'Hypothèses'!B7)*(B$5/'Hypothèses'!B13))</f>
        <v/>
      </c>
      <c r="C10" s="467">
        <f>'Économie Unitaire'!B17-('Économie Unitaire'!B28*($A10/'Hypothèses'!B7)*(C$5/'Hypothèses'!B13))</f>
        <v/>
      </c>
      <c r="D10" s="467">
        <f>'Économie Unitaire'!B17-('Économie Unitaire'!B28*($A10/'Hypothèses'!B7)*(D$5/'Hypothèses'!B13))</f>
        <v/>
      </c>
      <c r="E10" s="467">
        <f>'Économie Unitaire'!B17-('Économie Unitaire'!B28*($A10/'Hypothèses'!B7)*(E$5/'Hypothèses'!B13))</f>
        <v/>
      </c>
      <c r="F10" s="467">
        <f>'Économie Unitaire'!B17-('Économie Unitaire'!B28*($A10/'Hypothèses'!B7)*(F$5/'Hypothèses'!B13))</f>
        <v/>
      </c>
      <c r="G10" s="467">
        <f>'Économie Unitaire'!B17-('Économie Unitaire'!B28*($A10/'Hypothèses'!B7)*(G$5/'Hypothèses'!B13))</f>
        <v/>
      </c>
      <c r="H10" s="161" t="n"/>
      <c r="I10" s="161" t="n"/>
      <c r="J10" s="161" t="n"/>
      <c r="K10" s="161" t="n"/>
      <c r="L10" s="161" t="n"/>
      <c r="M10" s="161" t="n"/>
      <c r="N10" s="161" t="n"/>
      <c r="O10" s="161" t="n"/>
      <c r="P10" s="161" t="n"/>
      <c r="Q10" s="161" t="n"/>
      <c r="R10" s="161" t="n"/>
      <c r="S10" s="161" t="n"/>
      <c r="T10" s="161" t="n"/>
      <c r="U10" s="161" t="n"/>
      <c r="V10" s="161" t="n"/>
      <c r="W10" s="161" t="n"/>
      <c r="X10" s="161" t="n"/>
      <c r="Y10" s="161" t="n"/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477" t="n">
        <v>0.2</v>
      </c>
      <c r="B11" s="467">
        <f>'Économie Unitaire'!B17-('Économie Unitaire'!B28*($A11/'Hypothèses'!B7)*(B$5/'Hypothèses'!B13))</f>
        <v/>
      </c>
      <c r="C11" s="467">
        <f>'Économie Unitaire'!B17-('Économie Unitaire'!B28*($A11/'Hypothèses'!B7)*(C$5/'Hypothèses'!B13))</f>
        <v/>
      </c>
      <c r="D11" s="467">
        <f>'Économie Unitaire'!B17-('Économie Unitaire'!B28*($A11/'Hypothèses'!B7)*(D$5/'Hypothèses'!B13))</f>
        <v/>
      </c>
      <c r="E11" s="467">
        <f>'Économie Unitaire'!B17-('Économie Unitaire'!B28*($A11/'Hypothèses'!B7)*(E$5/'Hypothèses'!B13))</f>
        <v/>
      </c>
      <c r="F11" s="467">
        <f>'Économie Unitaire'!B17-('Économie Unitaire'!B28*($A11/'Hypothèses'!B7)*(F$5/'Hypothèses'!B13))</f>
        <v/>
      </c>
      <c r="G11" s="467">
        <f>'Économie Unitaire'!B17-('Économie Unitaire'!B28*($A11/'Hypothèses'!B7)*(G$5/'Hypothèses'!B13))</f>
        <v/>
      </c>
      <c r="H11" s="161" t="n"/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161" t="n"/>
      <c r="B12" s="161" t="n"/>
      <c r="C12" s="161" t="n"/>
      <c r="D12" s="161" t="n"/>
      <c r="E12" s="161" t="n"/>
      <c r="F12" s="161" t="n"/>
      <c r="G12" s="161" t="n"/>
      <c r="H12" s="161" t="n"/>
      <c r="I12" s="161" t="n"/>
      <c r="J12" s="161" t="n"/>
      <c r="K12" s="161" t="n"/>
      <c r="L12" s="16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161" t="n"/>
      <c r="B13" s="161" t="n"/>
      <c r="C13" s="161" t="n"/>
      <c r="D13" s="161" t="n"/>
      <c r="E13" s="161" t="n"/>
      <c r="F13" s="161" t="n"/>
      <c r="G13" s="161" t="n"/>
      <c r="H13" s="161" t="n"/>
      <c r="I13" s="161" t="n"/>
      <c r="J13" s="161" t="n"/>
      <c r="K13" s="161" t="n"/>
      <c r="L13" s="161" t="n"/>
      <c r="M13" s="161" t="n"/>
      <c r="N13" s="161" t="n"/>
      <c r="O13" s="161" t="n"/>
      <c r="P13" s="161" t="n"/>
      <c r="Q13" s="161" t="n"/>
      <c r="R13" s="161" t="n"/>
      <c r="S13" s="161" t="n"/>
      <c r="T13" s="161" t="n"/>
      <c r="U13" s="161" t="n"/>
      <c r="V13" s="161" t="n"/>
      <c r="W13" s="161" t="n"/>
      <c r="X13" s="161" t="n"/>
      <c r="Y13" s="161" t="n"/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168" t="inlineStr">
        <is>
          <t>B. Réserve requise pour 1 000 achats — FCFA</t>
        </is>
      </c>
      <c r="B14" s="1" t="n"/>
      <c r="C14" s="1" t="n"/>
      <c r="D14" s="1" t="n"/>
      <c r="E14" s="1" t="n"/>
      <c r="F14" s="1" t="n"/>
      <c r="G14" s="1" t="n"/>
      <c r="H14" s="1" t="n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164" t="inlineStr">
        <is>
          <t>Pass rate \ Cap usage</t>
        </is>
      </c>
      <c r="B15" s="476" t="n">
        <v>0.5</v>
      </c>
      <c r="C15" s="476" t="n">
        <v>0.6</v>
      </c>
      <c r="D15" s="476" t="n">
        <v>0.7</v>
      </c>
      <c r="E15" s="476" t="n">
        <v>0.8</v>
      </c>
      <c r="F15" s="476" t="n">
        <v>0.9</v>
      </c>
      <c r="G15" s="476" t="n">
        <v>1</v>
      </c>
      <c r="H15" s="161" t="n"/>
      <c r="I15" s="161" t="n"/>
      <c r="J15" s="161" t="n"/>
      <c r="K15" s="161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477" t="n">
        <v>0.05</v>
      </c>
      <c r="B16" s="467">
        <f>'Économie Unitaire'!B28*($A16/'Hypothèses'!B7)*(B$15/'Hypothèses'!B13)*1000*'Hypothèses'!B38</f>
        <v/>
      </c>
      <c r="C16" s="467">
        <f>'Économie Unitaire'!B28*($A16/'Hypothèses'!B7)*(C$15/'Hypothèses'!B13)*1000*'Hypothèses'!B38</f>
        <v/>
      </c>
      <c r="D16" s="467">
        <f>'Économie Unitaire'!B28*($A16/'Hypothèses'!B7)*(D$15/'Hypothèses'!B13)*1000*'Hypothèses'!B38</f>
        <v/>
      </c>
      <c r="E16" s="467">
        <f>'Économie Unitaire'!B28*($A16/'Hypothèses'!B7)*(E$15/'Hypothèses'!B13)*1000*'Hypothèses'!B38</f>
        <v/>
      </c>
      <c r="F16" s="467">
        <f>'Économie Unitaire'!B28*($A16/'Hypothèses'!B7)*(F$15/'Hypothèses'!B13)*1000*'Hypothèses'!B38</f>
        <v/>
      </c>
      <c r="G16" s="467">
        <f>'Économie Unitaire'!B28*($A16/'Hypothèses'!B7)*(G$15/'Hypothèses'!B13)*1000*'Hypothèses'!B38</f>
        <v/>
      </c>
      <c r="H16" s="161" t="n"/>
      <c r="I16" s="161" t="n"/>
      <c r="J16" s="161" t="n"/>
      <c r="K16" s="161" t="n"/>
      <c r="L16" s="161" t="n"/>
      <c r="M16" s="161" t="n"/>
      <c r="N16" s="161" t="n"/>
      <c r="O16" s="161" t="n"/>
      <c r="P16" s="161" t="n"/>
      <c r="Q16" s="161" t="n"/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477" t="n">
        <v>0.08</v>
      </c>
      <c r="B17" s="467">
        <f>'Économie Unitaire'!B28*($A17/'Hypothèses'!B7)*(B$15/'Hypothèses'!B13)*1000*'Hypothèses'!B38</f>
        <v/>
      </c>
      <c r="C17" s="467">
        <f>'Économie Unitaire'!B28*($A17/'Hypothèses'!B7)*(C$15/'Hypothèses'!B13)*1000*'Hypothèses'!B38</f>
        <v/>
      </c>
      <c r="D17" s="467">
        <f>'Économie Unitaire'!B28*($A17/'Hypothèses'!B7)*(D$15/'Hypothèses'!B13)*1000*'Hypothèses'!B38</f>
        <v/>
      </c>
      <c r="E17" s="467">
        <f>'Économie Unitaire'!B28*($A17/'Hypothèses'!B7)*(E$15/'Hypothèses'!B13)*1000*'Hypothèses'!B38</f>
        <v/>
      </c>
      <c r="F17" s="467">
        <f>'Économie Unitaire'!B28*($A17/'Hypothèses'!B7)*(F$15/'Hypothèses'!B13)*1000*'Hypothèses'!B38</f>
        <v/>
      </c>
      <c r="G17" s="467">
        <f>'Économie Unitaire'!B28*($A17/'Hypothèses'!B7)*(G$15/'Hypothèses'!B13)*1000*'Hypothèses'!B38</f>
        <v/>
      </c>
      <c r="H17" s="161" t="n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  <c r="S17" s="161" t="n"/>
      <c r="T17" s="161" t="n"/>
      <c r="U17" s="161" t="n"/>
      <c r="V17" s="161" t="n"/>
      <c r="W17" s="161" t="n"/>
      <c r="X17" s="161" t="n"/>
      <c r="Y17" s="161" t="n"/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15" customHeight="1">
      <c r="A18" s="477" t="n">
        <v>0.11</v>
      </c>
      <c r="B18" s="467">
        <f>'Économie Unitaire'!B28*($A18/'Hypothèses'!B7)*(B$15/'Hypothèses'!B13)*1000*'Hypothèses'!B38</f>
        <v/>
      </c>
      <c r="C18" s="467">
        <f>'Économie Unitaire'!B28*($A18/'Hypothèses'!B7)*(C$15/'Hypothèses'!B13)*1000*'Hypothèses'!B38</f>
        <v/>
      </c>
      <c r="D18" s="467">
        <f>'Économie Unitaire'!B28*($A18/'Hypothèses'!B7)*(D$15/'Hypothèses'!B13)*1000*'Hypothèses'!B38</f>
        <v/>
      </c>
      <c r="E18" s="467">
        <f>'Économie Unitaire'!B28*($A18/'Hypothèses'!B7)*(E$15/'Hypothèses'!B13)*1000*'Hypothèses'!B38</f>
        <v/>
      </c>
      <c r="F18" s="467">
        <f>'Économie Unitaire'!B28*($A18/'Hypothèses'!B7)*(F$15/'Hypothèses'!B13)*1000*'Hypothèses'!B38</f>
        <v/>
      </c>
      <c r="G18" s="467">
        <f>'Économie Unitaire'!B28*($A18/'Hypothèses'!B7)*(G$15/'Hypothèses'!B13)*1000*'Hypothèses'!B38</f>
        <v/>
      </c>
      <c r="H18" s="161" t="n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15" customHeight="1">
      <c r="A19" s="477" t="n">
        <v>0.14</v>
      </c>
      <c r="B19" s="467">
        <f>'Économie Unitaire'!B28*($A19/'Hypothèses'!B7)*(B$15/'Hypothèses'!B13)*1000*'Hypothèses'!B38</f>
        <v/>
      </c>
      <c r="C19" s="467">
        <f>'Économie Unitaire'!B28*($A19/'Hypothèses'!B7)*(C$15/'Hypothèses'!B13)*1000*'Hypothèses'!B38</f>
        <v/>
      </c>
      <c r="D19" s="467">
        <f>'Économie Unitaire'!B28*($A19/'Hypothèses'!B7)*(D$15/'Hypothèses'!B13)*1000*'Hypothèses'!B38</f>
        <v/>
      </c>
      <c r="E19" s="467">
        <f>'Économie Unitaire'!B28*($A19/'Hypothèses'!B7)*(E$15/'Hypothèses'!B13)*1000*'Hypothèses'!B38</f>
        <v/>
      </c>
      <c r="F19" s="467">
        <f>'Économie Unitaire'!B28*($A19/'Hypothèses'!B7)*(F$15/'Hypothèses'!B13)*1000*'Hypothèses'!B38</f>
        <v/>
      </c>
      <c r="G19" s="467">
        <f>'Économie Unitaire'!B28*($A19/'Hypothèses'!B7)*(G$15/'Hypothèses'!B13)*1000*'Hypothèses'!B38</f>
        <v/>
      </c>
      <c r="H19" s="161" t="n"/>
      <c r="I19" s="161" t="n"/>
      <c r="J19" s="161" t="n"/>
      <c r="K19" s="161" t="n"/>
      <c r="L19" s="16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15" customHeight="1">
      <c r="A20" s="477" t="n">
        <v>0.17</v>
      </c>
      <c r="B20" s="467">
        <f>'Économie Unitaire'!B28*($A20/'Hypothèses'!B7)*(B$15/'Hypothèses'!B13)*1000*'Hypothèses'!B38</f>
        <v/>
      </c>
      <c r="C20" s="467">
        <f>'Économie Unitaire'!B28*($A20/'Hypothèses'!B7)*(C$15/'Hypothèses'!B13)*1000*'Hypothèses'!B38</f>
        <v/>
      </c>
      <c r="D20" s="467">
        <f>'Économie Unitaire'!B28*($A20/'Hypothèses'!B7)*(D$15/'Hypothèses'!B13)*1000*'Hypothèses'!B38</f>
        <v/>
      </c>
      <c r="E20" s="467">
        <f>'Économie Unitaire'!B28*($A20/'Hypothèses'!B7)*(E$15/'Hypothèses'!B13)*1000*'Hypothèses'!B38</f>
        <v/>
      </c>
      <c r="F20" s="467">
        <f>'Économie Unitaire'!B28*($A20/'Hypothèses'!B7)*(F$15/'Hypothèses'!B13)*1000*'Hypothèses'!B38</f>
        <v/>
      </c>
      <c r="G20" s="467">
        <f>'Économie Unitaire'!B28*($A20/'Hypothèses'!B7)*(G$15/'Hypothèses'!B13)*1000*'Hypothèses'!B38</f>
        <v/>
      </c>
      <c r="H20" s="161" t="n"/>
      <c r="I20" s="161" t="n"/>
      <c r="J20" s="161" t="n"/>
      <c r="K20" s="161" t="n"/>
      <c r="L20" s="16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15" customHeight="1">
      <c r="A21" s="477" t="n">
        <v>0.2</v>
      </c>
      <c r="B21" s="467">
        <f>'Économie Unitaire'!B28*($A21/'Hypothèses'!B7)*(B$15/'Hypothèses'!B13)*1000*'Hypothèses'!B38</f>
        <v/>
      </c>
      <c r="C21" s="467">
        <f>'Économie Unitaire'!B28*($A21/'Hypothèses'!B7)*(C$15/'Hypothèses'!B13)*1000*'Hypothèses'!B38</f>
        <v/>
      </c>
      <c r="D21" s="467">
        <f>'Économie Unitaire'!B28*($A21/'Hypothèses'!B7)*(D$15/'Hypothèses'!B13)*1000*'Hypothèses'!B38</f>
        <v/>
      </c>
      <c r="E21" s="467">
        <f>'Économie Unitaire'!B28*($A21/'Hypothèses'!B7)*(E$15/'Hypothèses'!B13)*1000*'Hypothèses'!B38</f>
        <v/>
      </c>
      <c r="F21" s="467">
        <f>'Économie Unitaire'!B28*($A21/'Hypothèses'!B7)*(F$15/'Hypothèses'!B13)*1000*'Hypothèses'!B38</f>
        <v/>
      </c>
      <c r="G21" s="467">
        <f>'Économie Unitaire'!B28*($A21/'Hypothèses'!B7)*(G$15/'Hypothèses'!B13)*1000*'Hypothèses'!B38</f>
        <v/>
      </c>
      <c r="H21" s="161" t="n"/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15" customHeight="1">
      <c r="A22" s="161" t="n"/>
      <c r="B22" s="161" t="n"/>
      <c r="C22" s="161" t="n"/>
      <c r="D22" s="161" t="n"/>
      <c r="E22" s="161" t="n"/>
      <c r="F22" s="161" t="n"/>
      <c r="G22" s="161" t="n"/>
      <c r="H22" s="161" t="n"/>
      <c r="I22" s="161" t="n"/>
      <c r="J22" s="161" t="n"/>
      <c r="K22" s="161" t="n"/>
      <c r="L22" s="16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61" t="n"/>
      <c r="B23" s="161" t="n"/>
      <c r="C23" s="161" t="n"/>
      <c r="D23" s="161" t="n"/>
      <c r="E23" s="161" t="n"/>
      <c r="F23" s="161" t="n"/>
      <c r="G23" s="161" t="n"/>
      <c r="H23" s="161" t="n"/>
      <c r="I23" s="161" t="n"/>
      <c r="J23" s="161" t="n"/>
      <c r="K23" s="161" t="n"/>
      <c r="L23" s="161" t="n"/>
      <c r="M23" s="161" t="n"/>
      <c r="N23" s="161" t="n"/>
      <c r="O23" s="161" t="n"/>
      <c r="P23" s="161" t="n"/>
      <c r="Q23" s="161" t="n"/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161" t="n"/>
      <c r="B24" s="161" t="n"/>
      <c r="C24" s="161" t="n"/>
      <c r="D24" s="161" t="n"/>
      <c r="E24" s="161" t="n"/>
      <c r="F24" s="161" t="n"/>
      <c r="G24" s="161" t="n"/>
      <c r="H24" s="161" t="n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161" t="n"/>
      <c r="B25" s="161" t="n"/>
      <c r="C25" s="161" t="n"/>
      <c r="D25" s="161" t="n"/>
      <c r="E25" s="161" t="n"/>
      <c r="F25" s="161" t="n"/>
      <c r="G25" s="161" t="n"/>
      <c r="H25" s="161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161" t="n"/>
      <c r="B26" s="161" t="n"/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161" t="n"/>
      <c r="B27" s="161" t="n"/>
      <c r="C27" s="161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161" t="n"/>
      <c r="B28" s="161" t="n"/>
      <c r="C28" s="161" t="n"/>
      <c r="D28" s="161" t="n"/>
      <c r="E28" s="161" t="n"/>
      <c r="F28" s="161" t="n"/>
      <c r="G28" s="161" t="n"/>
      <c r="H28" s="161" t="n"/>
      <c r="I28" s="161" t="n"/>
      <c r="J28" s="161" t="n"/>
      <c r="K28" s="161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61" t="n"/>
      <c r="B30" s="161" t="n"/>
      <c r="C30" s="161" t="n"/>
      <c r="D30" s="161" t="n"/>
      <c r="E30" s="161" t="n"/>
      <c r="F30" s="161" t="n"/>
      <c r="G30" s="161" t="n"/>
      <c r="H30" s="161" t="n"/>
      <c r="I30" s="161" t="n"/>
      <c r="J30" s="161" t="n"/>
      <c r="K30" s="161" t="n"/>
      <c r="L30" s="161" t="n"/>
      <c r="M30" s="161" t="n"/>
      <c r="N30" s="161" t="n"/>
      <c r="O30" s="161" t="n"/>
      <c r="P30" s="161" t="n"/>
      <c r="Q30" s="161" t="n"/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161" t="n"/>
      <c r="B31" s="161" t="n"/>
      <c r="C31" s="161" t="n"/>
      <c r="D31" s="161" t="n"/>
      <c r="E31" s="161" t="n"/>
      <c r="F31" s="161" t="n"/>
      <c r="G31" s="161" t="n"/>
      <c r="H31" s="161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161" t="n"/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161" t="n"/>
      <c r="B33" s="161" t="n"/>
      <c r="C33" s="161" t="n"/>
      <c r="D33" s="161" t="n"/>
      <c r="E33" s="161" t="n"/>
      <c r="F33" s="161" t="n"/>
      <c r="G33" s="161" t="n"/>
      <c r="H33" s="161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1" t="n"/>
      <c r="V33" s="161" t="n"/>
      <c r="W33" s="161" t="n"/>
      <c r="X33" s="161" t="n"/>
      <c r="Y33" s="161" t="n"/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161" t="n"/>
      <c r="B34" s="161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161" t="n"/>
      <c r="B35" s="161" t="n"/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161" t="n"/>
      <c r="B36" s="161" t="n"/>
      <c r="C36" s="161" t="n"/>
      <c r="D36" s="161" t="n"/>
      <c r="E36" s="161" t="n"/>
      <c r="F36" s="161" t="n"/>
      <c r="G36" s="161" t="n"/>
      <c r="H36" s="161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  <c r="S41" s="161" t="n"/>
      <c r="T41" s="161" t="n"/>
      <c r="U41" s="161" t="n"/>
      <c r="V41" s="161" t="n"/>
      <c r="W41" s="161" t="n"/>
      <c r="X41" s="161" t="n"/>
      <c r="Y41" s="16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  <c r="S42" s="161" t="n"/>
      <c r="T42" s="161" t="n"/>
      <c r="U42" s="161" t="n"/>
      <c r="V42" s="161" t="n"/>
      <c r="W42" s="161" t="n"/>
      <c r="X42" s="161" t="n"/>
      <c r="Y42" s="161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4">
    <mergeCell ref="A4:H4"/>
    <mergeCell ref="A2:H2"/>
    <mergeCell ref="A14:H14"/>
    <mergeCell ref="A1:H1"/>
  </mergeCells>
  <conditionalFormatting sqref="B6:G11">
    <cfRule type="colorScale" priority="1">
      <colorScale>
        <cfvo type="min"/>
        <cfvo type="percentile" val="50"/>
        <cfvo type="max"/>
        <color rgb="FFFBE7E7"/>
        <color rgb="FFFFF1D5"/>
        <color rgb="FFE3F3EC"/>
      </colorScale>
    </cfRule>
  </conditionalFormatting>
  <conditionalFormatting sqref="B16:G21">
    <cfRule type="colorScale" priority="2">
      <colorScale>
        <cfvo type="min"/>
        <cfvo type="percentile" val="50"/>
        <cfvo type="max"/>
        <color rgb="FFE3F3EC"/>
        <color rgb="FFFFF1D5"/>
        <color rgb="FFFBE7E7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5" customWidth="1" min="4" max="4"/>
    <col width="15" customWidth="1" min="5" max="5"/>
    <col width="40" customWidth="1" min="6" max="6"/>
    <col width="18" customWidth="1" min="7" max="7"/>
    <col width="18" customWidth="1" min="8" max="8"/>
  </cols>
  <sheetData>
    <row r="1" ht="15" customHeight="1">
      <c r="A1" s="404" t="inlineStr">
        <is>
          <t>WARIBA — Gates financiers et décisions de lancement</t>
        </is>
      </c>
      <c r="B1" s="1" t="n"/>
      <c r="C1" s="1" t="n"/>
      <c r="D1" s="1" t="n"/>
      <c r="E1" s="1" t="n"/>
      <c r="F1" s="1" t="n"/>
      <c r="G1" s="1" t="n"/>
      <c r="H1" s="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  <c r="U1" s="161" t="n"/>
      <c r="V1" s="161" t="n"/>
      <c r="W1" s="161" t="n"/>
      <c r="X1" s="161" t="n"/>
      <c r="Y1" s="16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7" t="inlineStr">
        <is>
          <t>Un résultat positif ne remplace pas les gates juridiques, PSP, données de marché, sécurité et opérations.</t>
        </is>
      </c>
      <c r="B2" s="1" t="n"/>
      <c r="C2" s="1" t="n"/>
      <c r="D2" s="1" t="n"/>
      <c r="E2" s="1" t="n"/>
      <c r="F2" s="1" t="n"/>
      <c r="G2" s="1" t="n"/>
      <c r="H2" s="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57" t="n"/>
      <c r="B3" s="157" t="n"/>
      <c r="C3" s="157" t="n"/>
      <c r="D3" s="157" t="n"/>
      <c r="E3" s="157" t="n"/>
      <c r="F3" s="157" t="n"/>
      <c r="G3" s="157" t="n"/>
      <c r="H3" s="157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405" t="inlineStr">
        <is>
          <t>A. Gates calculés</t>
        </is>
      </c>
      <c r="B4" s="1" t="n"/>
      <c r="C4" s="1" t="n"/>
      <c r="D4" s="1" t="n"/>
      <c r="E4" s="1" t="n"/>
      <c r="F4" s="1" t="n"/>
      <c r="G4" s="1" t="n"/>
      <c r="H4" s="1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149" t="inlineStr">
        <is>
          <t>Gate</t>
        </is>
      </c>
      <c r="B5" s="149" t="inlineStr">
        <is>
          <t>Mesure</t>
        </is>
      </c>
      <c r="C5" s="149" t="inlineStr">
        <is>
          <t>Seuil</t>
        </is>
      </c>
      <c r="D5" s="149" t="inlineStr">
        <is>
          <t>Résultat</t>
        </is>
      </c>
      <c r="E5" s="149" t="inlineStr">
        <is>
          <t>Statut</t>
        </is>
      </c>
      <c r="F5" s="149" t="inlineStr">
        <is>
          <t>Action</t>
        </is>
      </c>
      <c r="G5" s="149" t="inlineStr">
        <is>
          <t>Responsable</t>
        </is>
      </c>
      <c r="H5" s="149" t="inlineStr">
        <is>
          <t>Decision Log</t>
        </is>
      </c>
      <c r="I5" s="161" t="n"/>
      <c r="J5" s="161" t="n"/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157" t="inlineStr">
        <is>
          <t>Contribution positive</t>
        </is>
      </c>
      <c r="B6" s="452">
        <f>'Économie Unitaire'!B32</f>
        <v/>
      </c>
      <c r="C6" s="157" t="inlineStr">
        <is>
          <t>&gt; 0</t>
        </is>
      </c>
      <c r="D6" s="380">
        <f>IF(B6&gt;0,"PASS","FAIL")</f>
        <v/>
      </c>
      <c r="E6" s="380">
        <f>D6</f>
        <v/>
      </c>
      <c r="F6" s="157" t="inlineStr">
        <is>
          <t>Continuer seulement si positive</t>
        </is>
      </c>
      <c r="G6" s="157" t="inlineStr">
        <is>
          <t>CFO</t>
        </is>
      </c>
      <c r="H6" s="157" t="inlineStr">
        <is>
          <t>FM-001</t>
        </is>
      </c>
      <c r="I6" s="161" t="n"/>
      <c r="J6" s="161" t="n"/>
      <c r="K6" s="161" t="n"/>
      <c r="L6" s="161" t="n"/>
      <c r="M6" s="161" t="n"/>
      <c r="N6" s="161" t="n"/>
      <c r="O6" s="161" t="n"/>
      <c r="P6" s="161" t="n"/>
      <c r="Q6" s="161" t="n"/>
      <c r="R6" s="161" t="n"/>
      <c r="S6" s="161" t="n"/>
      <c r="T6" s="161" t="n"/>
      <c r="U6" s="161" t="n"/>
      <c r="V6" s="161" t="n"/>
      <c r="W6" s="161" t="n"/>
      <c r="X6" s="161" t="n"/>
      <c r="Y6" s="161" t="n"/>
      <c r="Z6" s="161" t="n"/>
      <c r="AA6" s="161" t="n"/>
      <c r="AB6" s="161" t="n"/>
      <c r="AC6" s="161" t="n"/>
      <c r="AD6" s="161" t="n"/>
      <c r="AE6" s="161" t="n"/>
      <c r="AF6" s="161" t="n"/>
      <c r="AG6" s="161" t="n"/>
      <c r="AH6" s="161" t="n"/>
      <c r="AI6" s="161" t="n"/>
      <c r="AJ6" s="161" t="n"/>
      <c r="AK6" s="161" t="n"/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157" t="inlineStr">
        <is>
          <t>Marge de contribution</t>
        </is>
      </c>
      <c r="B7" s="448">
        <f>'Économie Unitaire'!B33</f>
        <v/>
      </c>
      <c r="C7" s="157" t="inlineStr">
        <is>
          <t>≥ 35 %</t>
        </is>
      </c>
      <c r="D7" s="380">
        <f>IF(B7&gt;=0.35,"PASS","FAIL")</f>
        <v/>
      </c>
      <c r="E7" s="380">
        <f>D7</f>
        <v/>
      </c>
      <c r="F7" s="157" t="inlineStr">
        <is>
          <t>Revoir prix/caps/coûts</t>
        </is>
      </c>
      <c r="G7" s="157" t="inlineStr">
        <is>
          <t>CFO</t>
        </is>
      </c>
      <c r="H7" s="157" t="inlineStr">
        <is>
          <t>FM-002</t>
        </is>
      </c>
      <c r="I7" s="161" t="n"/>
      <c r="J7" s="161" t="n"/>
      <c r="K7" s="161" t="n"/>
      <c r="L7" s="161" t="n"/>
      <c r="M7" s="161" t="n"/>
      <c r="N7" s="161" t="n"/>
      <c r="O7" s="161" t="n"/>
      <c r="P7" s="161" t="n"/>
      <c r="Q7" s="161" t="n"/>
      <c r="R7" s="161" t="n"/>
      <c r="S7" s="161" t="n"/>
      <c r="T7" s="161" t="n"/>
      <c r="U7" s="161" t="n"/>
      <c r="V7" s="161" t="n"/>
      <c r="W7" s="161" t="n"/>
      <c r="X7" s="161" t="n"/>
      <c r="Y7" s="161" t="n"/>
      <c r="Z7" s="161" t="n"/>
      <c r="AA7" s="161" t="n"/>
      <c r="AB7" s="161" t="n"/>
      <c r="AC7" s="161" t="n"/>
      <c r="AD7" s="161" t="n"/>
      <c r="AE7" s="161" t="n"/>
      <c r="AF7" s="161" t="n"/>
      <c r="AG7" s="161" t="n"/>
      <c r="AH7" s="161" t="n"/>
      <c r="AI7" s="161" t="n"/>
      <c r="AJ7" s="161" t="n"/>
      <c r="AK7" s="161" t="n"/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157" t="inlineStr">
        <is>
          <t>Break-even mensuel</t>
        </is>
      </c>
      <c r="B8" s="478">
        <f>'Économie Unitaire'!B34</f>
        <v/>
      </c>
      <c r="C8" s="157" t="inlineStr">
        <is>
          <t>≤ ventes M6</t>
        </is>
      </c>
      <c r="D8" s="380">
        <f>IF(B8&lt;='Hypothèses'!G43,"PASS","FAIL")</f>
        <v/>
      </c>
      <c r="E8" s="380">
        <f>D8</f>
        <v/>
      </c>
      <c r="F8" s="157" t="inlineStr">
        <is>
          <t>Réduire OPEX ou augmenter contribution</t>
        </is>
      </c>
      <c r="G8" s="157" t="inlineStr">
        <is>
          <t>COO</t>
        </is>
      </c>
      <c r="H8" s="157" t="inlineStr">
        <is>
          <t>FM-003</t>
        </is>
      </c>
      <c r="I8" s="161" t="n"/>
      <c r="J8" s="161" t="n"/>
      <c r="K8" s="161" t="n"/>
      <c r="L8" s="161" t="n"/>
      <c r="M8" s="161" t="n"/>
      <c r="N8" s="161" t="n"/>
      <c r="O8" s="161" t="n"/>
      <c r="P8" s="161" t="n"/>
      <c r="Q8" s="161" t="n"/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157" t="inlineStr">
        <is>
          <t>Réserve / 1 000 achats</t>
        </is>
      </c>
      <c r="B9" s="452">
        <f>'Économie Unitaire'!B35</f>
        <v/>
      </c>
      <c r="C9" s="157" t="inlineStr">
        <is>
          <t>Financée avant scale</t>
        </is>
      </c>
      <c r="D9" s="380">
        <f>IF('Hypothèses'!B37&gt;=B9,"PASS","PARTIEL")</f>
        <v/>
      </c>
      <c r="E9" s="380">
        <f>D9</f>
        <v/>
      </c>
      <c r="F9" s="157" t="inlineStr">
        <is>
          <t>Alimenter réserve avant acquisition</t>
        </is>
      </c>
      <c r="G9" s="157" t="inlineStr">
        <is>
          <t>CFO</t>
        </is>
      </c>
      <c r="H9" s="157" t="inlineStr">
        <is>
          <t>FM-004</t>
        </is>
      </c>
      <c r="I9" s="161" t="n"/>
      <c r="J9" s="161" t="n"/>
      <c r="K9" s="161" t="n"/>
      <c r="L9" s="161" t="n"/>
      <c r="M9" s="161" t="n"/>
      <c r="N9" s="161" t="n"/>
      <c r="O9" s="161" t="n"/>
      <c r="P9" s="161" t="n"/>
      <c r="Q9" s="161" t="n"/>
      <c r="R9" s="161" t="n"/>
      <c r="S9" s="161" t="n"/>
      <c r="T9" s="161" t="n"/>
      <c r="U9" s="161" t="n"/>
      <c r="V9" s="161" t="n"/>
      <c r="W9" s="161" t="n"/>
      <c r="X9" s="161" t="n"/>
      <c r="Y9" s="161" t="n"/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157" t="inlineStr">
        <is>
          <t>Stress contribution</t>
        </is>
      </c>
      <c r="B10" s="452">
        <f>'Comparaison Scénarios'!D7</f>
        <v/>
      </c>
      <c r="C10" s="157" t="inlineStr">
        <is>
          <t>&gt; 0</t>
        </is>
      </c>
      <c r="D10" s="380">
        <f>IF(B10&gt;0,"PASS","FAIL")</f>
        <v/>
      </c>
      <c r="E10" s="380">
        <f>D10</f>
        <v/>
      </c>
      <c r="F10" s="157" t="inlineStr">
        <is>
          <t>Ne pas lancer si négative</t>
        </is>
      </c>
      <c r="G10" s="157" t="inlineStr">
        <is>
          <t>CFO/CRO</t>
        </is>
      </c>
      <c r="H10" s="157" t="inlineStr">
        <is>
          <t>FM-005</t>
        </is>
      </c>
      <c r="I10" s="161" t="n"/>
      <c r="J10" s="161" t="n"/>
      <c r="K10" s="161" t="n"/>
      <c r="L10" s="161" t="n"/>
      <c r="M10" s="161" t="n"/>
      <c r="N10" s="161" t="n"/>
      <c r="O10" s="161" t="n"/>
      <c r="P10" s="161" t="n"/>
      <c r="Q10" s="161" t="n"/>
      <c r="R10" s="161" t="n"/>
      <c r="S10" s="161" t="n"/>
      <c r="T10" s="161" t="n"/>
      <c r="U10" s="161" t="n"/>
      <c r="V10" s="161" t="n"/>
      <c r="W10" s="161" t="n"/>
      <c r="X10" s="161" t="n"/>
      <c r="Y10" s="161" t="n"/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157" t="inlineStr">
        <is>
          <t>25K Gate</t>
        </is>
      </c>
      <c r="B11" s="479">
        <f>MIN('Prévision 24M'!B31:Y31)</f>
        <v/>
      </c>
      <c r="C11" s="157" t="inlineStr">
        <is>
          <t>≥ 1,5x</t>
        </is>
      </c>
      <c r="D11" s="380">
        <f>IF(B11&gt;=1.5,"OPEN","SUSPEND")</f>
        <v/>
      </c>
      <c r="E11" s="380">
        <f>D11</f>
        <v/>
      </c>
      <c r="F11" s="157" t="inlineStr">
        <is>
          <t>Feature flag 25K</t>
        </is>
      </c>
      <c r="G11" s="157" t="inlineStr">
        <is>
          <t>CFO/CRO</t>
        </is>
      </c>
      <c r="H11" s="157" t="inlineStr">
        <is>
          <t>FM-006</t>
        </is>
      </c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157" t="inlineStr">
        <is>
          <t>Cash exploitation M12</t>
        </is>
      </c>
      <c r="B12" s="452">
        <f>'Prévision 24M'!M28</f>
        <v/>
      </c>
      <c r="C12" s="157" t="inlineStr">
        <is>
          <t>&gt; 0</t>
        </is>
      </c>
      <c r="D12" s="380">
        <f>IF(B12&gt;0,"PASS","FAIL")</f>
        <v/>
      </c>
      <c r="E12" s="380">
        <f>D12</f>
        <v/>
      </c>
      <c r="F12" s="157" t="inlineStr">
        <is>
          <t>Contrôler dépenses et croissance</t>
        </is>
      </c>
      <c r="G12" s="157" t="inlineStr">
        <is>
          <t>COO</t>
        </is>
      </c>
      <c r="H12" s="157" t="inlineStr">
        <is>
          <t>FM-007</t>
        </is>
      </c>
      <c r="I12" s="161" t="n"/>
      <c r="J12" s="161" t="n"/>
      <c r="K12" s="161" t="n"/>
      <c r="L12" s="16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157" t="inlineStr">
        <is>
          <t>Couverture minimum 24M</t>
        </is>
      </c>
      <c r="B13" s="479">
        <f>MIN('Prévision 24M'!B31:Y31)</f>
        <v/>
      </c>
      <c r="C13" s="157" t="inlineStr">
        <is>
          <t>≥ 1,2x</t>
        </is>
      </c>
      <c r="D13" s="380">
        <f>IF(B13&gt;=1.2,"PASS","FAIL")</f>
        <v/>
      </c>
      <c r="E13" s="380">
        <f>D13</f>
        <v/>
      </c>
      <c r="F13" s="157" t="inlineStr">
        <is>
          <t>Suspendre nouvelles ventes si critique</t>
        </is>
      </c>
      <c r="G13" s="157" t="inlineStr">
        <is>
          <t>CFO</t>
        </is>
      </c>
      <c r="H13" s="157" t="inlineStr">
        <is>
          <t>FM-008</t>
        </is>
      </c>
      <c r="I13" s="161" t="n"/>
      <c r="J13" s="161" t="n"/>
      <c r="K13" s="161" t="n"/>
      <c r="L13" s="161" t="n"/>
      <c r="M13" s="161" t="n"/>
      <c r="N13" s="161" t="n"/>
      <c r="O13" s="161" t="n"/>
      <c r="P13" s="161" t="n"/>
      <c r="Q13" s="161" t="n"/>
      <c r="R13" s="161" t="n"/>
      <c r="S13" s="161" t="n"/>
      <c r="T13" s="161" t="n"/>
      <c r="U13" s="161" t="n"/>
      <c r="V13" s="161" t="n"/>
      <c r="W13" s="161" t="n"/>
      <c r="X13" s="161" t="n"/>
      <c r="Y13" s="161" t="n"/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157" t="n"/>
      <c r="B14" s="157" t="n"/>
      <c r="C14" s="157" t="n"/>
      <c r="D14" s="157" t="n"/>
      <c r="E14" s="157" t="n"/>
      <c r="F14" s="157" t="n"/>
      <c r="G14" s="157" t="n"/>
      <c r="H14" s="157" t="n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157" t="n"/>
      <c r="B15" s="157" t="n"/>
      <c r="C15" s="157" t="n"/>
      <c r="D15" s="157" t="n"/>
      <c r="E15" s="157" t="n"/>
      <c r="F15" s="157" t="n"/>
      <c r="G15" s="157" t="n"/>
      <c r="H15" s="157" t="n"/>
      <c r="I15" s="161" t="n"/>
      <c r="J15" s="161" t="n"/>
      <c r="K15" s="161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405" t="inlineStr">
        <is>
          <t>B. Gates non financiers</t>
        </is>
      </c>
      <c r="B16" s="1" t="n"/>
      <c r="C16" s="1" t="n"/>
      <c r="D16" s="1" t="n"/>
      <c r="E16" s="1" t="n"/>
      <c r="F16" s="1" t="n"/>
      <c r="G16" s="1" t="n"/>
      <c r="H16" s="1" t="n"/>
      <c r="I16" s="161" t="n"/>
      <c r="J16" s="161" t="n"/>
      <c r="K16" s="161" t="n"/>
      <c r="L16" s="161" t="n"/>
      <c r="M16" s="161" t="n"/>
      <c r="N16" s="161" t="n"/>
      <c r="O16" s="161" t="n"/>
      <c r="P16" s="161" t="n"/>
      <c r="Q16" s="161" t="n"/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149" t="inlineStr">
        <is>
          <t>Gate</t>
        </is>
      </c>
      <c r="B17" s="149" t="inlineStr">
        <is>
          <t>Statut actuel</t>
        </is>
      </c>
      <c r="C17" s="149" t="inlineStr">
        <is>
          <t>Condition avant vente publique</t>
        </is>
      </c>
      <c r="D17" s="149" t="inlineStr">
        <is>
          <t>Responsable</t>
        </is>
      </c>
      <c r="E17" s="157" t="str"/>
      <c r="F17" s="157" t="str"/>
      <c r="G17" s="157" t="str"/>
      <c r="H17" s="157" t="str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  <c r="S17" s="161" t="n"/>
      <c r="T17" s="161" t="n"/>
      <c r="U17" s="161" t="n"/>
      <c r="V17" s="161" t="n"/>
      <c r="W17" s="161" t="n"/>
      <c r="X17" s="161" t="n"/>
      <c r="Y17" s="161" t="n"/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15" customHeight="1">
      <c r="A18" s="157" t="inlineStr">
        <is>
          <t>Avis juridique local</t>
        </is>
      </c>
      <c r="B18" s="434" t="inlineStr">
        <is>
          <t>OPEN</t>
        </is>
      </c>
      <c r="C18" s="157" t="inlineStr">
        <is>
          <t>Position écrite et conditions contractuelles</t>
        </is>
      </c>
      <c r="D18" s="157" t="inlineStr">
        <is>
          <t>Legal</t>
        </is>
      </c>
      <c r="E18" s="157" t="str"/>
      <c r="F18" s="157" t="str"/>
      <c r="G18" s="157" t="str"/>
      <c r="H18" s="157" t="str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15" customHeight="1">
      <c r="A19" s="157" t="inlineStr">
        <is>
          <t>PSP marchand</t>
        </is>
      </c>
      <c r="B19" s="434" t="inlineStr">
        <is>
          <t>OPEN</t>
        </is>
      </c>
      <c r="C19" s="157" t="inlineStr">
        <is>
          <t>Contrat et webhooks testés</t>
        </is>
      </c>
      <c r="D19" s="157" t="inlineStr">
        <is>
          <t>Payments</t>
        </is>
      </c>
      <c r="E19" s="157" t="str"/>
      <c r="F19" s="157" t="str"/>
      <c r="G19" s="157" t="str"/>
      <c r="H19" s="157" t="str"/>
      <c r="I19" s="161" t="n"/>
      <c r="J19" s="161" t="n"/>
      <c r="K19" s="161" t="n"/>
      <c r="L19" s="16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15" customHeight="1">
      <c r="A20" s="157" t="inlineStr">
        <is>
          <t>Données de marché</t>
        </is>
      </c>
      <c r="B20" s="434" t="inlineStr">
        <is>
          <t>OPEN</t>
        </is>
      </c>
      <c r="C20" s="157" t="inlineStr">
        <is>
          <t>Licence commerciale et plan de continuité</t>
        </is>
      </c>
      <c r="D20" s="157" t="inlineStr">
        <is>
          <t>Market Data</t>
        </is>
      </c>
      <c r="E20" s="157" t="str"/>
      <c r="F20" s="157" t="str"/>
      <c r="G20" s="157" t="str"/>
      <c r="H20" s="157" t="str"/>
      <c r="I20" s="161" t="n"/>
      <c r="J20" s="161" t="n"/>
      <c r="K20" s="161" t="n"/>
      <c r="L20" s="16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15" customHeight="1">
      <c r="A21" s="157" t="inlineStr">
        <is>
          <t>KYC / payout</t>
        </is>
      </c>
      <c r="B21" s="434" t="inlineStr">
        <is>
          <t>OPEN</t>
        </is>
      </c>
      <c r="C21" s="157" t="inlineStr">
        <is>
          <t>Processus réel et privacy validés</t>
        </is>
      </c>
      <c r="D21" s="157" t="inlineStr">
        <is>
          <t>Operations</t>
        </is>
      </c>
      <c r="E21" s="157" t="str"/>
      <c r="F21" s="157" t="str"/>
      <c r="G21" s="157" t="str"/>
      <c r="H21" s="157" t="str"/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15" customHeight="1">
      <c r="A22" s="157" t="inlineStr">
        <is>
          <t>Sécurité</t>
        </is>
      </c>
      <c r="B22" s="434" t="inlineStr">
        <is>
          <t>OPEN</t>
        </is>
      </c>
      <c r="C22" s="157" t="inlineStr">
        <is>
          <t>Audit, RLS, secrets, backups et incident drills</t>
        </is>
      </c>
      <c r="D22" s="157" t="inlineStr">
        <is>
          <t>Security</t>
        </is>
      </c>
      <c r="E22" s="157" t="str"/>
      <c r="F22" s="157" t="str"/>
      <c r="G22" s="157" t="str"/>
      <c r="H22" s="157" t="str"/>
      <c r="I22" s="161" t="n"/>
      <c r="J22" s="161" t="n"/>
      <c r="K22" s="161" t="n"/>
      <c r="L22" s="16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57" t="inlineStr">
        <is>
          <t>Support et recours</t>
        </is>
      </c>
      <c r="B23" s="434" t="inlineStr">
        <is>
          <t>OPEN</t>
        </is>
      </c>
      <c r="C23" s="157" t="inlineStr">
        <is>
          <t>Runbooks, SLA réalistes et humain disponible</t>
        </is>
      </c>
      <c r="D23" s="157" t="inlineStr">
        <is>
          <t>Operations</t>
        </is>
      </c>
      <c r="E23" s="157" t="str"/>
      <c r="F23" s="157" t="str"/>
      <c r="G23" s="157" t="str"/>
      <c r="H23" s="157" t="str"/>
      <c r="I23" s="161" t="n"/>
      <c r="J23" s="161" t="n"/>
      <c r="K23" s="161" t="n"/>
      <c r="L23" s="161" t="n"/>
      <c r="M23" s="161" t="n"/>
      <c r="N23" s="161" t="n"/>
      <c r="O23" s="161" t="n"/>
      <c r="P23" s="161" t="n"/>
      <c r="Q23" s="161" t="n"/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157" t="inlineStr">
        <is>
          <t>Ancien WARIBA BRVM</t>
        </is>
      </c>
      <c r="B24" s="434" t="inlineStr">
        <is>
          <t>OPEN</t>
        </is>
      </c>
      <c r="C24" s="157" t="inlineStr">
        <is>
          <t>Renommage et séparation des actifs</t>
        </is>
      </c>
      <c r="D24" s="157" t="inlineStr">
        <is>
          <t>Brand/Legal</t>
        </is>
      </c>
      <c r="E24" s="157" t="str"/>
      <c r="F24" s="157" t="str"/>
      <c r="G24" s="157" t="str"/>
      <c r="H24" s="157" t="str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157" t="n"/>
      <c r="B25" s="157" t="n"/>
      <c r="C25" s="157" t="n"/>
      <c r="D25" s="157" t="n"/>
      <c r="E25" s="157" t="n"/>
      <c r="F25" s="157" t="n"/>
      <c r="G25" s="157" t="n"/>
      <c r="H25" s="157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157" t="n"/>
      <c r="B26" s="157" t="n"/>
      <c r="C26" s="157" t="n"/>
      <c r="D26" s="157" t="n"/>
      <c r="E26" s="157" t="n"/>
      <c r="F26" s="157" t="n"/>
      <c r="G26" s="157" t="n"/>
      <c r="H26" s="157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157" t="n"/>
      <c r="B27" s="157" t="n"/>
      <c r="C27" s="157" t="n"/>
      <c r="D27" s="157" t="n"/>
      <c r="E27" s="157" t="n"/>
      <c r="F27" s="157" t="n"/>
      <c r="G27" s="157" t="n"/>
      <c r="H27" s="157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157" t="n"/>
      <c r="B28" s="157" t="n"/>
      <c r="C28" s="157" t="n"/>
      <c r="D28" s="157" t="n"/>
      <c r="E28" s="157" t="n"/>
      <c r="F28" s="157" t="n"/>
      <c r="G28" s="157" t="n"/>
      <c r="H28" s="157" t="n"/>
      <c r="I28" s="161" t="n"/>
      <c r="J28" s="161" t="n"/>
      <c r="K28" s="161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157" t="n"/>
      <c r="B29" s="157" t="n"/>
      <c r="C29" s="157" t="n"/>
      <c r="D29" s="157" t="n"/>
      <c r="E29" s="157" t="n"/>
      <c r="F29" s="157" t="n"/>
      <c r="G29" s="157" t="n"/>
      <c r="H29" s="157" t="n"/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57" t="n"/>
      <c r="B30" s="157" t="n"/>
      <c r="C30" s="157" t="n"/>
      <c r="D30" s="157" t="n"/>
      <c r="E30" s="157" t="n"/>
      <c r="F30" s="157" t="n"/>
      <c r="G30" s="157" t="n"/>
      <c r="H30" s="157" t="n"/>
      <c r="I30" s="161" t="n"/>
      <c r="J30" s="161" t="n"/>
      <c r="K30" s="161" t="n"/>
      <c r="L30" s="161" t="n"/>
      <c r="M30" s="161" t="n"/>
      <c r="N30" s="161" t="n"/>
      <c r="O30" s="161" t="n"/>
      <c r="P30" s="161" t="n"/>
      <c r="Q30" s="161" t="n"/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161" t="n"/>
      <c r="B31" s="161" t="n"/>
      <c r="C31" s="161" t="n"/>
      <c r="D31" s="161" t="n"/>
      <c r="E31" s="161" t="n"/>
      <c r="F31" s="161" t="n"/>
      <c r="G31" s="161" t="n"/>
      <c r="H31" s="161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161" t="n"/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161" t="n"/>
      <c r="B33" s="161" t="n"/>
      <c r="C33" s="161" t="n"/>
      <c r="D33" s="161" t="n"/>
      <c r="E33" s="161" t="n"/>
      <c r="F33" s="161" t="n"/>
      <c r="G33" s="161" t="n"/>
      <c r="H33" s="161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1" t="n"/>
      <c r="V33" s="161" t="n"/>
      <c r="W33" s="161" t="n"/>
      <c r="X33" s="161" t="n"/>
      <c r="Y33" s="161" t="n"/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161" t="n"/>
      <c r="B34" s="161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161" t="n"/>
      <c r="B35" s="161" t="n"/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161" t="n"/>
      <c r="B36" s="161" t="n"/>
      <c r="C36" s="161" t="n"/>
      <c r="D36" s="161" t="n"/>
      <c r="E36" s="161" t="n"/>
      <c r="F36" s="161" t="n"/>
      <c r="G36" s="161" t="n"/>
      <c r="H36" s="161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  <c r="S41" s="161" t="n"/>
      <c r="T41" s="161" t="n"/>
      <c r="U41" s="161" t="n"/>
      <c r="V41" s="161" t="n"/>
      <c r="W41" s="161" t="n"/>
      <c r="X41" s="161" t="n"/>
      <c r="Y41" s="16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  <c r="S42" s="161" t="n"/>
      <c r="T42" s="161" t="n"/>
      <c r="U42" s="161" t="n"/>
      <c r="V42" s="161" t="n"/>
      <c r="W42" s="161" t="n"/>
      <c r="X42" s="161" t="n"/>
      <c r="Y42" s="161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4">
    <mergeCell ref="A4:H4"/>
    <mergeCell ref="A2:H2"/>
    <mergeCell ref="A16:H16"/>
    <mergeCell ref="A1:H1"/>
  </mergeCells>
  <conditionalFormatting sqref="D6:E13">
    <cfRule type="expression" priority="1" dxfId="0">
      <formula>OR(D6="FAIL",D6="SUSPEND")</formula>
    </cfRule>
    <cfRule type="expression" priority="2" dxfId="2">
      <formula>OR(D6="PASS",D6="OPEN")</formula>
    </cfRule>
    <cfRule type="expression" priority="3" dxfId="1">
      <formula>D6="PARTIEL"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15" customHeight="1">
      <c r="A1" s="401" t="inlineStr">
        <is>
          <t>WARIBA — Dashboard financier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61" t="n"/>
      <c r="N1" s="161" t="n"/>
      <c r="O1" s="161" t="n"/>
      <c r="P1" s="161" t="n"/>
      <c r="Q1" s="161" t="n"/>
      <c r="R1" s="161" t="n"/>
      <c r="S1" s="161" t="n"/>
      <c r="T1" s="161" t="n"/>
      <c r="U1" s="161" t="n"/>
      <c r="V1" s="161" t="n"/>
      <c r="W1" s="161" t="n"/>
      <c r="X1" s="161" t="n"/>
      <c r="Y1" s="16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67" t="inlineStr">
        <is>
          <t>Vue de décision. Les paramètres restent CANDIDATE jusqu’au modèle stressé, à la bêta et aux launch gates.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61" t="n"/>
      <c r="N2" s="161" t="inlineStr">
        <is>
          <t>M1</t>
        </is>
      </c>
      <c r="O2" s="161" t="inlineStr">
        <is>
          <t>M2</t>
        </is>
      </c>
      <c r="P2" s="161" t="inlineStr">
        <is>
          <t>M3</t>
        </is>
      </c>
      <c r="Q2" s="161" t="inlineStr">
        <is>
          <t>M4</t>
        </is>
      </c>
      <c r="R2" s="161" t="inlineStr">
        <is>
          <t>M5</t>
        </is>
      </c>
      <c r="S2" s="161" t="inlineStr">
        <is>
          <t>M6</t>
        </is>
      </c>
      <c r="T2" s="161" t="inlineStr">
        <is>
          <t>M7</t>
        </is>
      </c>
      <c r="U2" s="161" t="inlineStr">
        <is>
          <t>M8</t>
        </is>
      </c>
      <c r="V2" s="161" t="inlineStr">
        <is>
          <t>M9</t>
        </is>
      </c>
      <c r="W2" s="161" t="inlineStr">
        <is>
          <t>M10</t>
        </is>
      </c>
      <c r="X2" s="161" t="inlineStr">
        <is>
          <t>M11</t>
        </is>
      </c>
      <c r="Y2" s="161" t="inlineStr">
        <is>
          <t>M12</t>
        </is>
      </c>
      <c r="Z2" s="161" t="inlineStr">
        <is>
          <t>M13</t>
        </is>
      </c>
      <c r="AA2" s="161" t="inlineStr">
        <is>
          <t>M14</t>
        </is>
      </c>
      <c r="AB2" s="161" t="inlineStr">
        <is>
          <t>M15</t>
        </is>
      </c>
      <c r="AC2" s="161" t="inlineStr">
        <is>
          <t>M16</t>
        </is>
      </c>
      <c r="AD2" s="161" t="inlineStr">
        <is>
          <t>M17</t>
        </is>
      </c>
      <c r="AE2" s="161" t="inlineStr">
        <is>
          <t>M18</t>
        </is>
      </c>
      <c r="AF2" s="161" t="inlineStr">
        <is>
          <t>M19</t>
        </is>
      </c>
      <c r="AG2" s="161" t="inlineStr">
        <is>
          <t>M20</t>
        </is>
      </c>
      <c r="AH2" s="161" t="inlineStr">
        <is>
          <t>M21</t>
        </is>
      </c>
      <c r="AI2" s="161" t="inlineStr">
        <is>
          <t>M22</t>
        </is>
      </c>
      <c r="AJ2" s="161" t="inlineStr">
        <is>
          <t>M23</t>
        </is>
      </c>
      <c r="AK2" s="161" t="inlineStr">
        <is>
          <t>M24</t>
        </is>
      </c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inlineStr">
        <is>
          <t>CA</t>
        </is>
      </c>
      <c r="N3" s="161">
        <f>'Prévision 24M'!B8</f>
        <v/>
      </c>
      <c r="O3" s="161">
        <f>'Prévision 24M'!C8</f>
        <v/>
      </c>
      <c r="P3" s="161">
        <f>'Prévision 24M'!D8</f>
        <v/>
      </c>
      <c r="Q3" s="161">
        <f>'Prévision 24M'!E8</f>
        <v/>
      </c>
      <c r="R3" s="161">
        <f>'Prévision 24M'!F8</f>
        <v/>
      </c>
      <c r="S3" s="161">
        <f>'Prévision 24M'!G8</f>
        <v/>
      </c>
      <c r="T3" s="161">
        <f>'Prévision 24M'!H8</f>
        <v/>
      </c>
      <c r="U3" s="161">
        <f>'Prévision 24M'!I8</f>
        <v/>
      </c>
      <c r="V3" s="161">
        <f>'Prévision 24M'!J8</f>
        <v/>
      </c>
      <c r="W3" s="161">
        <f>'Prévision 24M'!K8</f>
        <v/>
      </c>
      <c r="X3" s="161">
        <f>'Prévision 24M'!L8</f>
        <v/>
      </c>
      <c r="Y3" s="161">
        <f>'Prévision 24M'!M8</f>
        <v/>
      </c>
      <c r="Z3" s="161">
        <f>'Prévision 24M'!N8</f>
        <v/>
      </c>
      <c r="AA3" s="161">
        <f>'Prévision 24M'!O8</f>
        <v/>
      </c>
      <c r="AB3" s="161">
        <f>'Prévision 24M'!P8</f>
        <v/>
      </c>
      <c r="AC3" s="161">
        <f>'Prévision 24M'!Q8</f>
        <v/>
      </c>
      <c r="AD3" s="161">
        <f>'Prévision 24M'!R8</f>
        <v/>
      </c>
      <c r="AE3" s="161">
        <f>'Prévision 24M'!S8</f>
        <v/>
      </c>
      <c r="AF3" s="161">
        <f>'Prévision 24M'!T8</f>
        <v/>
      </c>
      <c r="AG3" s="161">
        <f>'Prévision 24M'!U8</f>
        <v/>
      </c>
      <c r="AH3" s="161">
        <f>'Prévision 24M'!V8</f>
        <v/>
      </c>
      <c r="AI3" s="161">
        <f>'Prévision 24M'!W8</f>
        <v/>
      </c>
      <c r="AJ3" s="161">
        <f>'Prévision 24M'!X8</f>
        <v/>
      </c>
      <c r="AK3" s="161">
        <f>'Prévision 24M'!Y8</f>
        <v/>
      </c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393" t="inlineStr">
        <is>
          <t>Scénario</t>
        </is>
      </c>
      <c r="B4" s="1" t="n"/>
      <c r="C4" s="1" t="n"/>
      <c r="D4" s="393" t="inlineStr">
        <is>
          <t>Prix moyen</t>
        </is>
      </c>
      <c r="E4" s="1" t="n"/>
      <c r="F4" s="1" t="n"/>
      <c r="G4" s="393" t="inlineStr">
        <is>
          <t>Contribution / achat</t>
        </is>
      </c>
      <c r="H4" s="1" t="n"/>
      <c r="I4" s="1" t="n"/>
      <c r="J4" s="393" t="inlineStr">
        <is>
          <t>Marge contribution</t>
        </is>
      </c>
      <c r="K4" s="1" t="n"/>
      <c r="L4" s="1" t="n"/>
      <c r="M4" s="161" t="inlineStr">
        <is>
          <t>Payouts</t>
        </is>
      </c>
      <c r="N4" s="161">
        <f>-'Prévision 24M'!B26</f>
        <v/>
      </c>
      <c r="O4" s="161">
        <f>-'Prévision 24M'!C26</f>
        <v/>
      </c>
      <c r="P4" s="161">
        <f>-'Prévision 24M'!D26</f>
        <v/>
      </c>
      <c r="Q4" s="161">
        <f>-'Prévision 24M'!E26</f>
        <v/>
      </c>
      <c r="R4" s="161">
        <f>-'Prévision 24M'!F26</f>
        <v/>
      </c>
      <c r="S4" s="161">
        <f>-'Prévision 24M'!G26</f>
        <v/>
      </c>
      <c r="T4" s="161">
        <f>-'Prévision 24M'!H26</f>
        <v/>
      </c>
      <c r="U4" s="161">
        <f>-'Prévision 24M'!I26</f>
        <v/>
      </c>
      <c r="V4" s="161">
        <f>-'Prévision 24M'!J26</f>
        <v/>
      </c>
      <c r="W4" s="161">
        <f>-'Prévision 24M'!K26</f>
        <v/>
      </c>
      <c r="X4" s="161">
        <f>-'Prévision 24M'!L26</f>
        <v/>
      </c>
      <c r="Y4" s="161">
        <f>-'Prévision 24M'!M26</f>
        <v/>
      </c>
      <c r="Z4" s="161">
        <f>-'Prévision 24M'!N26</f>
        <v/>
      </c>
      <c r="AA4" s="161">
        <f>-'Prévision 24M'!O26</f>
        <v/>
      </c>
      <c r="AB4" s="161">
        <f>-'Prévision 24M'!P26</f>
        <v/>
      </c>
      <c r="AC4" s="161">
        <f>-'Prévision 24M'!Q26</f>
        <v/>
      </c>
      <c r="AD4" s="161">
        <f>-'Prévision 24M'!R26</f>
        <v/>
      </c>
      <c r="AE4" s="161">
        <f>-'Prévision 24M'!S26</f>
        <v/>
      </c>
      <c r="AF4" s="161">
        <f>-'Prévision 24M'!T26</f>
        <v/>
      </c>
      <c r="AG4" s="161">
        <f>-'Prévision 24M'!U26</f>
        <v/>
      </c>
      <c r="AH4" s="161">
        <f>-'Prévision 24M'!V26</f>
        <v/>
      </c>
      <c r="AI4" s="161">
        <f>-'Prévision 24M'!W26</f>
        <v/>
      </c>
      <c r="AJ4" s="161">
        <f>-'Prévision 24M'!X26</f>
        <v/>
      </c>
      <c r="AK4" s="161">
        <f>-'Prévision 24M'!Y26</f>
        <v/>
      </c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480">
        <f>'Hypothèses'!B3</f>
        <v/>
      </c>
      <c r="B5" s="1" t="n"/>
      <c r="C5" s="1" t="n"/>
      <c r="D5" s="481">
        <f>'Économie Unitaire'!B7</f>
        <v/>
      </c>
      <c r="E5" s="1" t="n"/>
      <c r="F5" s="1" t="n"/>
      <c r="G5" s="481">
        <f>'Économie Unitaire'!B32</f>
        <v/>
      </c>
      <c r="H5" s="1" t="n"/>
      <c r="I5" s="1" t="n"/>
      <c r="J5" s="482">
        <f>'Économie Unitaire'!B33</f>
        <v/>
      </c>
      <c r="K5" s="1" t="n"/>
      <c r="L5" s="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61" t="n"/>
      <c r="N6" s="161" t="inlineStr">
        <is>
          <t>M1</t>
        </is>
      </c>
      <c r="O6" s="161" t="inlineStr">
        <is>
          <t>M2</t>
        </is>
      </c>
      <c r="P6" s="161" t="inlineStr">
        <is>
          <t>M3</t>
        </is>
      </c>
      <c r="Q6" s="161" t="inlineStr">
        <is>
          <t>M4</t>
        </is>
      </c>
      <c r="R6" s="161" t="inlineStr">
        <is>
          <t>M5</t>
        </is>
      </c>
      <c r="S6" s="161" t="inlineStr">
        <is>
          <t>M6</t>
        </is>
      </c>
      <c r="T6" s="161" t="inlineStr">
        <is>
          <t>M7</t>
        </is>
      </c>
      <c r="U6" s="161" t="inlineStr">
        <is>
          <t>M8</t>
        </is>
      </c>
      <c r="V6" s="161" t="inlineStr">
        <is>
          <t>M9</t>
        </is>
      </c>
      <c r="W6" s="161" t="inlineStr">
        <is>
          <t>M10</t>
        </is>
      </c>
      <c r="X6" s="161" t="inlineStr">
        <is>
          <t>M11</t>
        </is>
      </c>
      <c r="Y6" s="161" t="inlineStr">
        <is>
          <t>M12</t>
        </is>
      </c>
      <c r="Z6" s="161" t="inlineStr">
        <is>
          <t>M13</t>
        </is>
      </c>
      <c r="AA6" s="161" t="inlineStr">
        <is>
          <t>M14</t>
        </is>
      </c>
      <c r="AB6" s="161" t="inlineStr">
        <is>
          <t>M15</t>
        </is>
      </c>
      <c r="AC6" s="161" t="inlineStr">
        <is>
          <t>M16</t>
        </is>
      </c>
      <c r="AD6" s="161" t="inlineStr">
        <is>
          <t>M17</t>
        </is>
      </c>
      <c r="AE6" s="161" t="inlineStr">
        <is>
          <t>M18</t>
        </is>
      </c>
      <c r="AF6" s="161" t="inlineStr">
        <is>
          <t>M19</t>
        </is>
      </c>
      <c r="AG6" s="161" t="inlineStr">
        <is>
          <t>M20</t>
        </is>
      </c>
      <c r="AH6" s="161" t="inlineStr">
        <is>
          <t>M21</t>
        </is>
      </c>
      <c r="AI6" s="161" t="inlineStr">
        <is>
          <t>M22</t>
        </is>
      </c>
      <c r="AJ6" s="161" t="inlineStr">
        <is>
          <t>M23</t>
        </is>
      </c>
      <c r="AK6" s="161" t="inlineStr">
        <is>
          <t>M24</t>
        </is>
      </c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161" t="n"/>
      <c r="B7" s="161" t="n"/>
      <c r="C7" s="161" t="n"/>
      <c r="D7" s="161" t="n"/>
      <c r="E7" s="161" t="n"/>
      <c r="F7" s="161" t="n"/>
      <c r="G7" s="161" t="n"/>
      <c r="H7" s="161" t="n"/>
      <c r="I7" s="161" t="n"/>
      <c r="J7" s="161" t="n"/>
      <c r="K7" s="161" t="n"/>
      <c r="L7" s="161" t="n"/>
      <c r="M7" s="161" t="n"/>
      <c r="N7" s="483">
        <f>'Prévision 24M'!B31</f>
        <v/>
      </c>
      <c r="O7" s="483">
        <f>'Prévision 24M'!C31</f>
        <v/>
      </c>
      <c r="P7" s="483">
        <f>'Prévision 24M'!D31</f>
        <v/>
      </c>
      <c r="Q7" s="483">
        <f>'Prévision 24M'!E31</f>
        <v/>
      </c>
      <c r="R7" s="483">
        <f>'Prévision 24M'!F31</f>
        <v/>
      </c>
      <c r="S7" s="483">
        <f>'Prévision 24M'!G31</f>
        <v/>
      </c>
      <c r="T7" s="483">
        <f>'Prévision 24M'!H31</f>
        <v/>
      </c>
      <c r="U7" s="483">
        <f>'Prévision 24M'!I31</f>
        <v/>
      </c>
      <c r="V7" s="483">
        <f>'Prévision 24M'!J31</f>
        <v/>
      </c>
      <c r="W7" s="483">
        <f>'Prévision 24M'!K31</f>
        <v/>
      </c>
      <c r="X7" s="483">
        <f>'Prévision 24M'!L31</f>
        <v/>
      </c>
      <c r="Y7" s="483">
        <f>'Prévision 24M'!M31</f>
        <v/>
      </c>
      <c r="Z7" s="483">
        <f>'Prévision 24M'!N31</f>
        <v/>
      </c>
      <c r="AA7" s="483">
        <f>'Prévision 24M'!O31</f>
        <v/>
      </c>
      <c r="AB7" s="483">
        <f>'Prévision 24M'!P31</f>
        <v/>
      </c>
      <c r="AC7" s="483">
        <f>'Prévision 24M'!Q31</f>
        <v/>
      </c>
      <c r="AD7" s="483">
        <f>'Prévision 24M'!R31</f>
        <v/>
      </c>
      <c r="AE7" s="483">
        <f>'Prévision 24M'!S31</f>
        <v/>
      </c>
      <c r="AF7" s="483">
        <f>'Prévision 24M'!T31</f>
        <v/>
      </c>
      <c r="AG7" s="483">
        <f>'Prévision 24M'!U31</f>
        <v/>
      </c>
      <c r="AH7" s="483">
        <f>'Prévision 24M'!V31</f>
        <v/>
      </c>
      <c r="AI7" s="483">
        <f>'Prévision 24M'!W31</f>
        <v/>
      </c>
      <c r="AJ7" s="483">
        <f>'Prévision 24M'!X31</f>
        <v/>
      </c>
      <c r="AK7" s="483">
        <f>'Prévision 24M'!Y31</f>
        <v/>
      </c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393" t="inlineStr">
        <is>
          <t>Break-even mensuel</t>
        </is>
      </c>
      <c r="B8" s="1" t="n"/>
      <c r="C8" s="1" t="n"/>
      <c r="D8" s="393" t="inlineStr">
        <is>
          <t>CA 24M</t>
        </is>
      </c>
      <c r="E8" s="1" t="n"/>
      <c r="F8" s="1" t="n"/>
      <c r="G8" s="393" t="inlineStr">
        <is>
          <t>Payouts 24M</t>
        </is>
      </c>
      <c r="H8" s="1" t="n"/>
      <c r="I8" s="1" t="n"/>
      <c r="J8" s="393" t="inlineStr">
        <is>
          <t>Cash total M24</t>
        </is>
      </c>
      <c r="K8" s="1" t="n"/>
      <c r="L8" s="1" t="n"/>
      <c r="M8" s="161" t="n"/>
      <c r="N8" s="161" t="n"/>
      <c r="O8" s="161" t="n"/>
      <c r="P8" s="161" t="n"/>
      <c r="Q8" s="161" t="n"/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484">
        <f>'Économie Unitaire'!B34</f>
        <v/>
      </c>
      <c r="B9" s="1" t="n"/>
      <c r="C9" s="1" t="n"/>
      <c r="D9" s="481">
        <f>SUM('Prévision 24M'!B8:Y8)</f>
        <v/>
      </c>
      <c r="E9" s="1" t="n"/>
      <c r="F9" s="1" t="n"/>
      <c r="G9" s="481">
        <f>-SUM('Prévision 24M'!B26:Y26)</f>
        <v/>
      </c>
      <c r="H9" s="1" t="n"/>
      <c r="I9" s="1" t="n"/>
      <c r="J9" s="481">
        <f>'Prévision 24M'!Y32</f>
        <v/>
      </c>
      <c r="K9" s="1" t="n"/>
      <c r="L9" s="1" t="n"/>
      <c r="M9" s="161" t="n"/>
      <c r="N9" s="161" t="n"/>
      <c r="O9" s="161" t="n"/>
      <c r="P9" s="161" t="n"/>
      <c r="Q9" s="161" t="n"/>
      <c r="R9" s="161" t="n"/>
      <c r="S9" s="161" t="n"/>
      <c r="T9" s="161" t="n"/>
      <c r="U9" s="161" t="n"/>
      <c r="V9" s="161" t="n"/>
      <c r="W9" s="161" t="n"/>
      <c r="X9" s="161" t="n"/>
      <c r="Y9" s="161" t="n"/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61" t="n"/>
      <c r="N10" s="161" t="n"/>
      <c r="O10" s="161" t="n"/>
      <c r="P10" s="161" t="n"/>
      <c r="Q10" s="161" t="n"/>
      <c r="R10" s="161" t="n"/>
      <c r="S10" s="161" t="n"/>
      <c r="T10" s="161" t="n"/>
      <c r="U10" s="161" t="n"/>
      <c r="V10" s="161" t="n"/>
      <c r="W10" s="161" t="n"/>
      <c r="X10" s="161" t="n"/>
      <c r="Y10" s="161" t="n"/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161" t="n"/>
      <c r="B11" s="161" t="n"/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393" t="inlineStr">
        <is>
          <t>Réserve M24</t>
        </is>
      </c>
      <c r="B12" s="1" t="n"/>
      <c r="C12" s="1" t="n"/>
      <c r="D12" s="393" t="inlineStr">
        <is>
          <t>Couverture minimale</t>
        </is>
      </c>
      <c r="E12" s="1" t="n"/>
      <c r="F12" s="1" t="n"/>
      <c r="G12" s="393" t="inlineStr">
        <is>
          <t>Réserve / 1 000</t>
        </is>
      </c>
      <c r="H12" s="1" t="n"/>
      <c r="I12" s="1" t="n"/>
      <c r="J12" s="393" t="inlineStr">
        <is>
          <t>25K Gate</t>
        </is>
      </c>
      <c r="K12" s="1" t="n"/>
      <c r="L12" s="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481">
        <f>'Prévision 24M'!Y29</f>
        <v/>
      </c>
      <c r="B13" s="1" t="n"/>
      <c r="C13" s="1" t="n"/>
      <c r="D13" s="485">
        <f>MIN('Prévision 24M'!B31:Y31)</f>
        <v/>
      </c>
      <c r="E13" s="1" t="n"/>
      <c r="F13" s="1" t="n"/>
      <c r="G13" s="481">
        <f>'Économie Unitaire'!B35</f>
        <v/>
      </c>
      <c r="H13" s="1" t="n"/>
      <c r="I13" s="1" t="n"/>
      <c r="J13" s="480">
        <f>'Decision Gates'!D11</f>
        <v/>
      </c>
      <c r="K13" s="1" t="n"/>
      <c r="L13" s="1" t="n"/>
      <c r="M13" s="161" t="n"/>
      <c r="N13" s="161" t="n"/>
      <c r="O13" s="161" t="n"/>
      <c r="P13" s="161" t="n"/>
      <c r="Q13" s="161" t="n"/>
      <c r="R13" s="161" t="n"/>
      <c r="S13" s="161" t="n"/>
      <c r="T13" s="161" t="n"/>
      <c r="U13" s="161" t="n"/>
      <c r="V13" s="161" t="n"/>
      <c r="W13" s="161" t="n"/>
      <c r="X13" s="161" t="n"/>
      <c r="Y13" s="161" t="n"/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161" t="n"/>
      <c r="B15" s="161" t="n"/>
      <c r="C15" s="161" t="n"/>
      <c r="D15" s="161" t="n"/>
      <c r="E15" s="161" t="n"/>
      <c r="F15" s="161" t="n"/>
      <c r="G15" s="161" t="n"/>
      <c r="H15" s="161" t="n"/>
      <c r="I15" s="161" t="n"/>
      <c r="J15" s="161" t="n"/>
      <c r="K15" s="161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168" t="inlineStr">
        <is>
          <t>Décision immédiate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61" t="n"/>
      <c r="N16" s="161" t="n"/>
      <c r="O16" s="161" t="n"/>
      <c r="P16" s="161" t="n"/>
      <c r="Q16" s="161" t="n"/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37" t="inlineStr">
        <is>
          <t>Question</t>
        </is>
      </c>
      <c r="B17" s="486" t="n"/>
      <c r="C17" s="486" t="n"/>
      <c r="D17" s="31" t="inlineStr">
        <is>
          <t>Réponse</t>
        </is>
      </c>
      <c r="E17" s="37" t="inlineStr">
        <is>
          <t>Lecture</t>
        </is>
      </c>
      <c r="F17" s="486" t="n"/>
      <c r="G17" s="486" t="n"/>
      <c r="H17" s="486" t="n"/>
      <c r="I17" s="486" t="n"/>
      <c r="J17" s="486" t="n"/>
      <c r="K17" s="486" t="n"/>
      <c r="L17" s="486" t="n"/>
      <c r="M17" s="161" t="n"/>
      <c r="N17" s="161" t="n"/>
      <c r="O17" s="161" t="n"/>
      <c r="P17" s="161" t="n"/>
      <c r="Q17" s="161" t="n"/>
      <c r="R17" s="161" t="n"/>
      <c r="S17" s="161" t="n"/>
      <c r="T17" s="161" t="n"/>
      <c r="U17" s="161" t="n"/>
      <c r="V17" s="161" t="n"/>
      <c r="W17" s="161" t="n"/>
      <c r="X17" s="161" t="n"/>
      <c r="Y17" s="161" t="n"/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30" customHeight="1">
      <c r="A18" s="159" t="inlineStr">
        <is>
          <t>Le scénario actif est-il rentable ?</t>
        </is>
      </c>
      <c r="B18" s="1" t="n"/>
      <c r="C18" s="1" t="n"/>
      <c r="D18" s="380">
        <f>IF('Économie Unitaire'!B32&gt;0,"OUI","NON")</f>
        <v/>
      </c>
      <c r="E18" s="159" t="inlineStr">
        <is>
          <t>Contribution positive dans le scénario actif ; contrôler aussi le scénario Stress.</t>
        </is>
      </c>
      <c r="F18" s="1" t="n"/>
      <c r="G18" s="1" t="n"/>
      <c r="H18" s="1" t="n"/>
      <c r="I18" s="1" t="n"/>
      <c r="J18" s="1" t="n"/>
      <c r="K18" s="1" t="n"/>
      <c r="L18" s="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30" customHeight="1">
      <c r="A19" s="159" t="inlineStr">
        <is>
          <t>Le 25K peut-il être ouvert ?</t>
        </is>
      </c>
      <c r="B19" s="1" t="n"/>
      <c r="C19" s="1" t="n"/>
      <c r="D19" s="380">
        <f>'Decision Gates'!D11</f>
        <v/>
      </c>
      <c r="E19" s="159" t="inlineStr">
        <is>
          <t>Le 25K reste un feature flag dépendant de la couverture de réserve.</t>
        </is>
      </c>
      <c r="F19" s="1" t="n"/>
      <c r="G19" s="1" t="n"/>
      <c r="H19" s="1" t="n"/>
      <c r="I19" s="1" t="n"/>
      <c r="J19" s="1" t="n"/>
      <c r="K19" s="1" t="n"/>
      <c r="L19" s="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30" customHeight="1">
      <c r="A20" s="159" t="inlineStr">
        <is>
          <t>La réserve initiale couvre-t-elle 1 000 achats ?</t>
        </is>
      </c>
      <c r="B20" s="1" t="n"/>
      <c r="C20" s="1" t="n"/>
      <c r="D20" s="380">
        <f>IF('Hypothèses'!B37&gt;='Économie Unitaire'!B35,"OUI","NON")</f>
        <v/>
      </c>
      <c r="E20" s="159" t="inlineStr">
        <is>
          <t>Comparer la réserve initiale au besoin prudentiel à 2,0x.</t>
        </is>
      </c>
      <c r="F20" s="1" t="n"/>
      <c r="G20" s="1" t="n"/>
      <c r="H20" s="1" t="n"/>
      <c r="I20" s="1" t="n"/>
      <c r="J20" s="1" t="n"/>
      <c r="K20" s="1" t="n"/>
      <c r="L20" s="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30" customHeight="1">
      <c r="A21" s="159" t="inlineStr">
        <is>
          <t>Quel volume mensuel couvre l’OPEX ?</t>
        </is>
      </c>
      <c r="B21" s="1" t="n"/>
      <c r="C21" s="1" t="n"/>
      <c r="D21" s="487">
        <f>'Économie Unitaire'!B34</f>
        <v/>
      </c>
      <c r="E21" s="159" t="inlineStr">
        <is>
          <t>Nombre d’achats mensuels requis au scénario actif.</t>
        </is>
      </c>
      <c r="F21" s="1" t="n"/>
      <c r="G21" s="1" t="n"/>
      <c r="H21" s="1" t="n"/>
      <c r="I21" s="1" t="n"/>
      <c r="J21" s="1" t="n"/>
      <c r="K21" s="1" t="n"/>
      <c r="L21" s="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30" customHeight="1">
      <c r="A22" s="159" t="inlineStr">
        <is>
          <t>Le lancement public est-il autorisé ?</t>
        </is>
      </c>
      <c r="B22" s="1" t="n"/>
      <c r="C22" s="1" t="n"/>
      <c r="D22" s="380">
        <f>"NON"</f>
        <v/>
      </c>
      <c r="E22" s="159" t="inlineStr">
        <is>
          <t>Les gates juridiques, PSP, données de marché, sécurité et opérations restent ouverts.</t>
        </is>
      </c>
      <c r="F22" s="1" t="n"/>
      <c r="G22" s="1" t="n"/>
      <c r="H22" s="1" t="n"/>
      <c r="I22" s="1" t="n"/>
      <c r="J22" s="1" t="n"/>
      <c r="K22" s="1" t="n"/>
      <c r="L22" s="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61" t="n"/>
      <c r="B23" s="161" t="n"/>
      <c r="C23" s="161" t="n"/>
      <c r="D23" s="161" t="n"/>
      <c r="E23" s="161" t="n"/>
      <c r="F23" s="161" t="n"/>
      <c r="G23" s="161" t="n"/>
      <c r="H23" s="161" t="n"/>
      <c r="I23" s="161" t="n"/>
      <c r="J23" s="161" t="n"/>
      <c r="K23" s="161" t="n"/>
      <c r="L23" s="161" t="n"/>
      <c r="M23" s="161" t="n"/>
      <c r="N23" s="161" t="n"/>
      <c r="O23" s="161" t="n"/>
      <c r="P23" s="161" t="n"/>
      <c r="Q23" s="161" t="n"/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161" t="n"/>
      <c r="B24" s="161" t="n"/>
      <c r="C24" s="161" t="n"/>
      <c r="D24" s="161" t="n"/>
      <c r="E24" s="161" t="n"/>
      <c r="F24" s="161" t="n"/>
      <c r="G24" s="161" t="n"/>
      <c r="H24" s="161" t="n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161" t="n"/>
      <c r="B25" s="161" t="n"/>
      <c r="C25" s="161" t="n"/>
      <c r="D25" s="161" t="n"/>
      <c r="E25" s="161" t="n"/>
      <c r="F25" s="161" t="n"/>
      <c r="G25" s="161" t="n"/>
      <c r="H25" s="161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161" t="n"/>
      <c r="B26" s="161" t="n"/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161" t="n"/>
      <c r="B27" s="161" t="n"/>
      <c r="C27" s="161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161" t="n"/>
      <c r="B28" s="161" t="n"/>
      <c r="C28" s="161" t="n"/>
      <c r="D28" s="161" t="n"/>
      <c r="E28" s="161" t="n"/>
      <c r="F28" s="161" t="n"/>
      <c r="G28" s="161" t="n"/>
      <c r="H28" s="161" t="n"/>
      <c r="I28" s="161" t="n"/>
      <c r="J28" s="161" t="n"/>
      <c r="K28" s="161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61" t="n"/>
      <c r="B30" s="161" t="n"/>
      <c r="C30" s="161" t="n"/>
      <c r="D30" s="161" t="n"/>
      <c r="E30" s="161" t="n"/>
      <c r="F30" s="161" t="n"/>
      <c r="G30" s="161" t="n"/>
      <c r="H30" s="161" t="n"/>
      <c r="I30" s="161" t="n"/>
      <c r="J30" s="161" t="n"/>
      <c r="K30" s="161" t="n"/>
      <c r="L30" s="161" t="n"/>
      <c r="M30" s="161" t="n"/>
      <c r="N30" s="161" t="n"/>
      <c r="O30" s="161" t="n"/>
      <c r="P30" s="161" t="n"/>
      <c r="Q30" s="161" t="n"/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161" t="n"/>
      <c r="B31" s="161" t="n"/>
      <c r="C31" s="161" t="n"/>
      <c r="D31" s="161" t="n"/>
      <c r="E31" s="161" t="n"/>
      <c r="F31" s="161" t="n"/>
      <c r="G31" s="161" t="n"/>
      <c r="H31" s="161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161" t="n"/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161" t="n"/>
      <c r="B33" s="161" t="n"/>
      <c r="C33" s="161" t="n"/>
      <c r="D33" s="161" t="n"/>
      <c r="E33" s="161" t="n"/>
      <c r="F33" s="161" t="n"/>
      <c r="G33" s="161" t="n"/>
      <c r="H33" s="161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1" t="n"/>
      <c r="V33" s="161" t="n"/>
      <c r="W33" s="161" t="n"/>
      <c r="X33" s="161" t="n"/>
      <c r="Y33" s="161" t="n"/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161" t="n"/>
      <c r="B34" s="161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161" t="n"/>
      <c r="B35" s="161" t="n"/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161" t="n"/>
      <c r="B36" s="161" t="n"/>
      <c r="C36" s="161" t="n"/>
      <c r="D36" s="161" t="n"/>
      <c r="E36" s="161" t="n"/>
      <c r="F36" s="161" t="n"/>
      <c r="G36" s="161" t="n"/>
      <c r="H36" s="161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  <c r="S41" s="161" t="n"/>
      <c r="T41" s="161" t="n"/>
      <c r="U41" s="161" t="n"/>
      <c r="V41" s="161" t="n"/>
      <c r="W41" s="161" t="n"/>
      <c r="X41" s="161" t="n"/>
      <c r="Y41" s="16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  <c r="S42" s="161" t="n"/>
      <c r="T42" s="161" t="n"/>
      <c r="U42" s="161" t="n"/>
      <c r="V42" s="161" t="n"/>
      <c r="W42" s="161" t="n"/>
      <c r="X42" s="161" t="n"/>
      <c r="Y42" s="161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39">
    <mergeCell ref="A16:L16"/>
    <mergeCell ref="E18:L18"/>
    <mergeCell ref="E21:L21"/>
    <mergeCell ref="D5:F6"/>
    <mergeCell ref="G9:I10"/>
    <mergeCell ref="A18:C18"/>
    <mergeCell ref="J5:L6"/>
    <mergeCell ref="A9:C10"/>
    <mergeCell ref="J4:L4"/>
    <mergeCell ref="A21:C21"/>
    <mergeCell ref="A12:C12"/>
    <mergeCell ref="E17:L17"/>
    <mergeCell ref="A2:L2"/>
    <mergeCell ref="E20:L20"/>
    <mergeCell ref="A8:C8"/>
    <mergeCell ref="D4:F4"/>
    <mergeCell ref="J13:L14"/>
    <mergeCell ref="A22:C22"/>
    <mergeCell ref="D12:F12"/>
    <mergeCell ref="A17:C17"/>
    <mergeCell ref="G4:I4"/>
    <mergeCell ref="J9:L10"/>
    <mergeCell ref="E19:L19"/>
    <mergeCell ref="J12:L12"/>
    <mergeCell ref="D8:F8"/>
    <mergeCell ref="A4:C4"/>
    <mergeCell ref="G13:I14"/>
    <mergeCell ref="A20:C20"/>
    <mergeCell ref="A19:C19"/>
    <mergeCell ref="J8:L8"/>
    <mergeCell ref="G12:I12"/>
    <mergeCell ref="D13:F14"/>
    <mergeCell ref="A5:C6"/>
    <mergeCell ref="G5:I6"/>
    <mergeCell ref="A1:L1"/>
    <mergeCell ref="G8:I8"/>
    <mergeCell ref="A13:C14"/>
    <mergeCell ref="D9:F10"/>
    <mergeCell ref="E22:L22"/>
  </mergeCells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20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6" customWidth="1" min="3" max="3"/>
    <col width="18" customWidth="1" min="4" max="4"/>
    <col width="18" customWidth="1" min="5" max="5"/>
    <col width="18" customWidth="1" min="6" max="6"/>
    <col width="16" customWidth="1" min="7" max="7"/>
    <col width="32" customWidth="1" min="8" max="8"/>
  </cols>
  <sheetData>
    <row r="1" ht="15" customHeight="1">
      <c r="A1" s="404" t="inlineStr">
        <is>
          <t>WARIBA — Registre des hypothèses</t>
        </is>
      </c>
      <c r="B1" s="1" t="n"/>
      <c r="C1" s="1" t="n"/>
      <c r="D1" s="1" t="n"/>
      <c r="E1" s="1" t="n"/>
      <c r="F1" s="1" t="n"/>
      <c r="G1" s="1" t="n"/>
      <c r="H1" s="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  <c r="U1" s="161" t="n"/>
      <c r="V1" s="161" t="n"/>
      <c r="W1" s="161" t="n"/>
      <c r="X1" s="161" t="n"/>
      <c r="Y1" s="161" t="n"/>
      <c r="Z1" s="161" t="n"/>
      <c r="AA1" s="161" t="n"/>
      <c r="AB1" s="161" t="n"/>
      <c r="AC1" s="161" t="n"/>
      <c r="AD1" s="161" t="n"/>
      <c r="AE1" s="161" t="n"/>
      <c r="AF1" s="161" t="n"/>
      <c r="AG1" s="161" t="n"/>
      <c r="AH1" s="161" t="n"/>
      <c r="AI1" s="161" t="n"/>
      <c r="AJ1" s="161" t="n"/>
      <c r="AK1" s="161" t="n"/>
      <c r="AL1" s="161" t="n"/>
      <c r="AM1" s="161" t="n"/>
      <c r="AN1" s="161" t="n"/>
      <c r="AO1" s="161" t="n"/>
      <c r="AP1" s="161" t="n"/>
      <c r="AQ1" s="161" t="n"/>
      <c r="AR1" s="161" t="n"/>
      <c r="AS1" s="161" t="n"/>
      <c r="AT1" s="161" t="n"/>
      <c r="AU1" s="161" t="n"/>
      <c r="AV1" s="161" t="n"/>
      <c r="AW1" s="161" t="n"/>
      <c r="AX1" s="161" t="n"/>
      <c r="AY1" s="161" t="n"/>
      <c r="AZ1" s="161" t="n"/>
    </row>
    <row r="2" ht="15" customHeight="1">
      <c r="A2" s="17" t="inlineStr">
        <is>
          <t>Ce registre doit être mis à jour à chaque remplacement d’une hypothèse par une donnée réelle.</t>
        </is>
      </c>
      <c r="B2" s="1" t="n"/>
      <c r="C2" s="1" t="n"/>
      <c r="D2" s="1" t="n"/>
      <c r="E2" s="1" t="n"/>
      <c r="F2" s="1" t="n"/>
      <c r="G2" s="1" t="n"/>
      <c r="H2" s="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1" t="n"/>
      <c r="AQ2" s="161" t="n"/>
      <c r="AR2" s="161" t="n"/>
      <c r="AS2" s="161" t="n"/>
      <c r="AT2" s="161" t="n"/>
      <c r="AU2" s="161" t="n"/>
      <c r="AV2" s="161" t="n"/>
      <c r="AW2" s="161" t="n"/>
      <c r="AX2" s="161" t="n"/>
      <c r="AY2" s="161" t="n"/>
      <c r="AZ2" s="161" t="n"/>
    </row>
    <row r="3" ht="15" customHeight="1">
      <c r="A3" s="157" t="n"/>
      <c r="B3" s="157" t="n"/>
      <c r="C3" s="157" t="n"/>
      <c r="D3" s="157" t="n"/>
      <c r="E3" s="157" t="n"/>
      <c r="F3" s="157" t="n"/>
      <c r="G3" s="157" t="n"/>
      <c r="H3" s="157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1" t="n"/>
      <c r="AQ3" s="161" t="n"/>
      <c r="AR3" s="161" t="n"/>
      <c r="AS3" s="161" t="n"/>
      <c r="AT3" s="161" t="n"/>
      <c r="AU3" s="161" t="n"/>
      <c r="AV3" s="161" t="n"/>
      <c r="AW3" s="161" t="n"/>
      <c r="AX3" s="161" t="n"/>
      <c r="AY3" s="161" t="n"/>
      <c r="AZ3" s="161" t="n"/>
    </row>
    <row r="4" ht="15" customHeight="1">
      <c r="A4" s="149" t="inlineStr">
        <is>
          <t>ID</t>
        </is>
      </c>
      <c r="B4" s="149" t="inlineStr">
        <is>
          <t>Hypothèse</t>
        </is>
      </c>
      <c r="C4" s="149" t="inlineStr">
        <is>
          <t>Valeur active</t>
        </is>
      </c>
      <c r="D4" s="149" t="inlineStr">
        <is>
          <t>Source</t>
        </is>
      </c>
      <c r="E4" s="149" t="inlineStr">
        <is>
          <t>Statut</t>
        </is>
      </c>
      <c r="F4" s="149" t="inlineStr">
        <is>
          <t>Owner</t>
        </is>
      </c>
      <c r="G4" s="149" t="inlineStr">
        <is>
          <t>Dernière mise à jour</t>
        </is>
      </c>
      <c r="H4" s="149" t="inlineStr">
        <is>
          <t>Action suivante</t>
        </is>
      </c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1" t="n"/>
      <c r="AO4" s="161" t="n"/>
      <c r="AP4" s="161" t="n"/>
      <c r="AQ4" s="161" t="n"/>
      <c r="AR4" s="161" t="n"/>
      <c r="AS4" s="161" t="n"/>
      <c r="AT4" s="161" t="n"/>
      <c r="AU4" s="161" t="n"/>
      <c r="AV4" s="161" t="n"/>
      <c r="AW4" s="161" t="n"/>
      <c r="AX4" s="161" t="n"/>
      <c r="AY4" s="161" t="n"/>
      <c r="AZ4" s="161" t="n"/>
    </row>
    <row r="5" ht="15" customHeight="1">
      <c r="A5" s="157" t="inlineStr">
        <is>
          <t>AS-001</t>
        </is>
      </c>
      <c r="B5" s="157" t="inlineStr">
        <is>
          <t>Taux de réussite</t>
        </is>
      </c>
      <c r="C5" s="448">
        <f>'Hypothèses'!B7</f>
        <v/>
      </c>
      <c r="D5" s="157" t="inlineStr">
        <is>
          <t>Management</t>
        </is>
      </c>
      <c r="E5" s="157" t="inlineStr">
        <is>
          <t>À calibrer</t>
        </is>
      </c>
      <c r="F5" s="157" t="inlineStr">
        <is>
          <t>Risk</t>
        </is>
      </c>
      <c r="G5" s="157" t="inlineStr">
        <is>
          <t>2026-08-01</t>
        </is>
      </c>
      <c r="H5" s="157" t="inlineStr">
        <is>
          <t>Mesurer sur bêta</t>
        </is>
      </c>
      <c r="I5" s="161" t="n"/>
      <c r="J5" s="161" t="n"/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</row>
    <row r="6" ht="15" customHeight="1">
      <c r="A6" s="157" t="inlineStr">
        <is>
          <t>AS-002</t>
        </is>
      </c>
      <c r="B6" s="157" t="inlineStr">
        <is>
          <t>Accès payout #1</t>
        </is>
      </c>
      <c r="C6" s="448">
        <f>'Hypothèses'!B8</f>
        <v/>
      </c>
      <c r="D6" s="157" t="inlineStr">
        <is>
          <t>Management</t>
        </is>
      </c>
      <c r="E6" s="157" t="inlineStr">
        <is>
          <t>À calibrer</t>
        </is>
      </c>
      <c r="F6" s="157" t="inlineStr">
        <is>
          <t>Risk/Finance</t>
        </is>
      </c>
      <c r="G6" s="157" t="inlineStr">
        <is>
          <t>2026-08-01</t>
        </is>
      </c>
      <c r="H6" s="157" t="inlineStr">
        <is>
          <t>Mesurer sur cohortes</t>
        </is>
      </c>
      <c r="I6" s="161" t="n"/>
      <c r="J6" s="161" t="n"/>
      <c r="K6" s="161" t="n"/>
      <c r="L6" s="161" t="n"/>
      <c r="M6" s="161" t="n"/>
      <c r="N6" s="161" t="n"/>
      <c r="O6" s="161" t="n"/>
      <c r="P6" s="161" t="n"/>
      <c r="Q6" s="161" t="n"/>
      <c r="R6" s="161" t="n"/>
      <c r="S6" s="161" t="n"/>
      <c r="T6" s="161" t="n"/>
      <c r="U6" s="161" t="n"/>
      <c r="V6" s="161" t="n"/>
      <c r="W6" s="161" t="n"/>
      <c r="X6" s="161" t="n"/>
      <c r="Y6" s="161" t="n"/>
      <c r="Z6" s="161" t="n"/>
      <c r="AA6" s="161" t="n"/>
      <c r="AB6" s="161" t="n"/>
      <c r="AC6" s="161" t="n"/>
      <c r="AD6" s="161" t="n"/>
      <c r="AE6" s="161" t="n"/>
      <c r="AF6" s="161" t="n"/>
      <c r="AG6" s="161" t="n"/>
      <c r="AH6" s="161" t="n"/>
      <c r="AI6" s="161" t="n"/>
      <c r="AJ6" s="161" t="n"/>
      <c r="AK6" s="161" t="n"/>
      <c r="AL6" s="161" t="n"/>
      <c r="AM6" s="161" t="n"/>
      <c r="AN6" s="161" t="n"/>
      <c r="AO6" s="161" t="n"/>
      <c r="AP6" s="161" t="n"/>
      <c r="AQ6" s="161" t="n"/>
      <c r="AR6" s="161" t="n"/>
      <c r="AS6" s="161" t="n"/>
      <c r="AT6" s="161" t="n"/>
      <c r="AU6" s="161" t="n"/>
      <c r="AV6" s="161" t="n"/>
      <c r="AW6" s="161" t="n"/>
      <c r="AX6" s="161" t="n"/>
      <c r="AY6" s="161" t="n"/>
      <c r="AZ6" s="161" t="n"/>
    </row>
    <row r="7" ht="15" customHeight="1">
      <c r="A7" s="157" t="inlineStr">
        <is>
          <t>AS-003</t>
        </is>
      </c>
      <c r="B7" s="157" t="inlineStr">
        <is>
          <t>Utilisation caps</t>
        </is>
      </c>
      <c r="C7" s="448">
        <f>'Hypothèses'!B13</f>
        <v/>
      </c>
      <c r="D7" s="157" t="inlineStr">
        <is>
          <t>Management</t>
        </is>
      </c>
      <c r="E7" s="157" t="inlineStr">
        <is>
          <t>À calibrer</t>
        </is>
      </c>
      <c r="F7" s="157" t="inlineStr">
        <is>
          <t>Finance</t>
        </is>
      </c>
      <c r="G7" s="157" t="inlineStr">
        <is>
          <t>2026-08-01</t>
        </is>
      </c>
      <c r="H7" s="157" t="inlineStr">
        <is>
          <t>Mesurer après payouts</t>
        </is>
      </c>
      <c r="I7" s="161" t="n"/>
      <c r="J7" s="161" t="n"/>
      <c r="K7" s="161" t="n"/>
      <c r="L7" s="161" t="n"/>
      <c r="M7" s="161" t="n"/>
      <c r="N7" s="161" t="n"/>
      <c r="O7" s="161" t="n"/>
      <c r="P7" s="161" t="n"/>
      <c r="Q7" s="161" t="n"/>
      <c r="R7" s="161" t="n"/>
      <c r="S7" s="161" t="n"/>
      <c r="T7" s="161" t="n"/>
      <c r="U7" s="161" t="n"/>
      <c r="V7" s="161" t="n"/>
      <c r="W7" s="161" t="n"/>
      <c r="X7" s="161" t="n"/>
      <c r="Y7" s="161" t="n"/>
      <c r="Z7" s="161" t="n"/>
      <c r="AA7" s="161" t="n"/>
      <c r="AB7" s="161" t="n"/>
      <c r="AC7" s="161" t="n"/>
      <c r="AD7" s="161" t="n"/>
      <c r="AE7" s="161" t="n"/>
      <c r="AF7" s="161" t="n"/>
      <c r="AG7" s="161" t="n"/>
      <c r="AH7" s="161" t="n"/>
      <c r="AI7" s="161" t="n"/>
      <c r="AJ7" s="161" t="n"/>
      <c r="AK7" s="161" t="n"/>
      <c r="AL7" s="161" t="n"/>
      <c r="AM7" s="161" t="n"/>
      <c r="AN7" s="161" t="n"/>
      <c r="AO7" s="161" t="n"/>
      <c r="AP7" s="161" t="n"/>
      <c r="AQ7" s="161" t="n"/>
      <c r="AR7" s="161" t="n"/>
      <c r="AS7" s="161" t="n"/>
      <c r="AT7" s="161" t="n"/>
      <c r="AU7" s="161" t="n"/>
      <c r="AV7" s="161" t="n"/>
      <c r="AW7" s="161" t="n"/>
      <c r="AX7" s="161" t="n"/>
      <c r="AY7" s="161" t="n"/>
      <c r="AZ7" s="161" t="n"/>
    </row>
    <row r="8" ht="15" customHeight="1">
      <c r="A8" s="157" t="inlineStr">
        <is>
          <t>AS-004</t>
        </is>
      </c>
      <c r="B8" s="157" t="inlineStr">
        <is>
          <t>Chargebacks</t>
        </is>
      </c>
      <c r="C8" s="448">
        <f>'Hypothèses'!B14</f>
        <v/>
      </c>
      <c r="D8" s="157" t="inlineStr">
        <is>
          <t>Management</t>
        </is>
      </c>
      <c r="E8" s="157" t="inlineStr">
        <is>
          <t>À confirmer</t>
        </is>
      </c>
      <c r="F8" s="157" t="inlineStr">
        <is>
          <t>Payments</t>
        </is>
      </c>
      <c r="G8" s="157" t="inlineStr">
        <is>
          <t>2026-08-01</t>
        </is>
      </c>
      <c r="H8" s="157" t="inlineStr">
        <is>
          <t>Obtenir devis PSP</t>
        </is>
      </c>
      <c r="I8" s="161" t="n"/>
      <c r="J8" s="161" t="n"/>
      <c r="K8" s="161" t="n"/>
      <c r="L8" s="161" t="n"/>
      <c r="M8" s="161" t="n"/>
      <c r="N8" s="161" t="n"/>
      <c r="O8" s="161" t="n"/>
      <c r="P8" s="161" t="n"/>
      <c r="Q8" s="161" t="n"/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  <c r="AB8" s="161" t="n"/>
      <c r="AC8" s="161" t="n"/>
      <c r="AD8" s="161" t="n"/>
      <c r="AE8" s="161" t="n"/>
      <c r="AF8" s="161" t="n"/>
      <c r="AG8" s="161" t="n"/>
      <c r="AH8" s="161" t="n"/>
      <c r="AI8" s="161" t="n"/>
      <c r="AJ8" s="161" t="n"/>
      <c r="AK8" s="161" t="n"/>
      <c r="AL8" s="161" t="n"/>
      <c r="AM8" s="161" t="n"/>
      <c r="AN8" s="161" t="n"/>
      <c r="AO8" s="161" t="n"/>
      <c r="AP8" s="161" t="n"/>
      <c r="AQ8" s="161" t="n"/>
      <c r="AR8" s="161" t="n"/>
      <c r="AS8" s="161" t="n"/>
      <c r="AT8" s="161" t="n"/>
      <c r="AU8" s="161" t="n"/>
      <c r="AV8" s="161" t="n"/>
      <c r="AW8" s="161" t="n"/>
      <c r="AX8" s="161" t="n"/>
      <c r="AY8" s="161" t="n"/>
      <c r="AZ8" s="161" t="n"/>
    </row>
    <row r="9" ht="15" customHeight="1">
      <c r="A9" s="157" t="inlineStr">
        <is>
          <t>AS-005</t>
        </is>
      </c>
      <c r="B9" s="157" t="inlineStr">
        <is>
          <t>Frais PSP</t>
        </is>
      </c>
      <c r="C9" s="452">
        <f>'Hypothèses'!B15</f>
        <v/>
      </c>
      <c r="D9" s="157" t="inlineStr">
        <is>
          <t>Aucun devis</t>
        </is>
      </c>
      <c r="E9" s="157" t="inlineStr">
        <is>
          <t>OPEN</t>
        </is>
      </c>
      <c r="F9" s="157" t="inlineStr">
        <is>
          <t>Payments</t>
        </is>
      </c>
      <c r="G9" s="157" t="inlineStr">
        <is>
          <t>2026-08-01</t>
        </is>
      </c>
      <c r="H9" s="157" t="inlineStr">
        <is>
          <t>Négocier PSP</t>
        </is>
      </c>
      <c r="I9" s="161" t="n"/>
      <c r="J9" s="161" t="n"/>
      <c r="K9" s="161" t="n"/>
      <c r="L9" s="161" t="n"/>
      <c r="M9" s="161" t="n"/>
      <c r="N9" s="161" t="n"/>
      <c r="O9" s="161" t="n"/>
      <c r="P9" s="161" t="n"/>
      <c r="Q9" s="161" t="n"/>
      <c r="R9" s="161" t="n"/>
      <c r="S9" s="161" t="n"/>
      <c r="T9" s="161" t="n"/>
      <c r="U9" s="161" t="n"/>
      <c r="V9" s="161" t="n"/>
      <c r="W9" s="161" t="n"/>
      <c r="X9" s="161" t="n"/>
      <c r="Y9" s="161" t="n"/>
      <c r="Z9" s="161" t="n"/>
      <c r="AA9" s="161" t="n"/>
      <c r="AB9" s="161" t="n"/>
      <c r="AC9" s="161" t="n"/>
      <c r="AD9" s="161" t="n"/>
      <c r="AE9" s="161" t="n"/>
      <c r="AF9" s="161" t="n"/>
      <c r="AG9" s="161" t="n"/>
      <c r="AH9" s="161" t="n"/>
      <c r="AI9" s="161" t="n"/>
      <c r="AJ9" s="161" t="n"/>
      <c r="AK9" s="161" t="n"/>
      <c r="AL9" s="161" t="n"/>
      <c r="AM9" s="161" t="n"/>
      <c r="AN9" s="161" t="n"/>
      <c r="AO9" s="161" t="n"/>
      <c r="AP9" s="161" t="n"/>
      <c r="AQ9" s="161" t="n"/>
      <c r="AR9" s="161" t="n"/>
      <c r="AS9" s="161" t="n"/>
      <c r="AT9" s="161" t="n"/>
      <c r="AU9" s="161" t="n"/>
      <c r="AV9" s="161" t="n"/>
      <c r="AW9" s="161" t="n"/>
      <c r="AX9" s="161" t="n"/>
      <c r="AY9" s="161" t="n"/>
      <c r="AZ9" s="161" t="n"/>
    </row>
    <row r="10" ht="15" customHeight="1">
      <c r="A10" s="157" t="inlineStr">
        <is>
          <t>AS-006</t>
        </is>
      </c>
      <c r="B10" s="157" t="inlineStr">
        <is>
          <t>CAC</t>
        </is>
      </c>
      <c r="C10" s="452">
        <f>'Hypothèses'!B16</f>
        <v/>
      </c>
      <c r="D10" s="157" t="inlineStr">
        <is>
          <t>Management</t>
        </is>
      </c>
      <c r="E10" s="157" t="inlineStr">
        <is>
          <t>À calibrer</t>
        </is>
      </c>
      <c r="F10" s="157" t="inlineStr">
        <is>
          <t>Growth</t>
        </is>
      </c>
      <c r="G10" s="157" t="inlineStr">
        <is>
          <t>2026-08-01</t>
        </is>
      </c>
      <c r="H10" s="157" t="inlineStr">
        <is>
          <t>Tester acquisition</t>
        </is>
      </c>
      <c r="I10" s="161" t="n"/>
      <c r="J10" s="161" t="n"/>
      <c r="K10" s="161" t="n"/>
      <c r="L10" s="161" t="n"/>
      <c r="M10" s="161" t="n"/>
      <c r="N10" s="161" t="n"/>
      <c r="O10" s="161" t="n"/>
      <c r="P10" s="161" t="n"/>
      <c r="Q10" s="161" t="n"/>
      <c r="R10" s="161" t="n"/>
      <c r="S10" s="161" t="n"/>
      <c r="T10" s="161" t="n"/>
      <c r="U10" s="161" t="n"/>
      <c r="V10" s="161" t="n"/>
      <c r="W10" s="161" t="n"/>
      <c r="X10" s="161" t="n"/>
      <c r="Y10" s="161" t="n"/>
      <c r="Z10" s="161" t="n"/>
      <c r="AA10" s="161" t="n"/>
      <c r="AB10" s="161" t="n"/>
      <c r="AC10" s="161" t="n"/>
      <c r="AD10" s="161" t="n"/>
      <c r="AE10" s="161" t="n"/>
      <c r="AF10" s="161" t="n"/>
      <c r="AG10" s="161" t="n"/>
      <c r="AH10" s="161" t="n"/>
      <c r="AI10" s="161" t="n"/>
      <c r="AJ10" s="161" t="n"/>
      <c r="AK10" s="161" t="n"/>
      <c r="AL10" s="161" t="n"/>
      <c r="AM10" s="161" t="n"/>
      <c r="AN10" s="161" t="n"/>
      <c r="AO10" s="161" t="n"/>
      <c r="AP10" s="161" t="n"/>
      <c r="AQ10" s="161" t="n"/>
      <c r="AR10" s="161" t="n"/>
      <c r="AS10" s="161" t="n"/>
      <c r="AT10" s="161" t="n"/>
      <c r="AU10" s="161" t="n"/>
      <c r="AV10" s="161" t="n"/>
      <c r="AW10" s="161" t="n"/>
      <c r="AX10" s="161" t="n"/>
      <c r="AY10" s="161" t="n"/>
      <c r="AZ10" s="161" t="n"/>
    </row>
    <row r="11" ht="15" customHeight="1">
      <c r="A11" s="157" t="inlineStr">
        <is>
          <t>AS-007</t>
        </is>
      </c>
      <c r="B11" s="157" t="inlineStr">
        <is>
          <t>Coût KYC</t>
        </is>
      </c>
      <c r="C11" s="452">
        <f>'Hypothèses'!B18</f>
        <v/>
      </c>
      <c r="D11" s="157" t="inlineStr">
        <is>
          <t>Aucun devis</t>
        </is>
      </c>
      <c r="E11" s="157" t="inlineStr">
        <is>
          <t>OPEN</t>
        </is>
      </c>
      <c r="F11" s="157" t="inlineStr">
        <is>
          <t>Operations</t>
        </is>
      </c>
      <c r="G11" s="157" t="inlineStr">
        <is>
          <t>2026-08-01</t>
        </is>
      </c>
      <c r="H11" s="157" t="inlineStr">
        <is>
          <t>Choisir fournisseur</t>
        </is>
      </c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</row>
    <row r="12" ht="15" customHeight="1">
      <c r="A12" s="157" t="inlineStr">
        <is>
          <t>AS-008</t>
        </is>
      </c>
      <c r="B12" s="157" t="inlineStr">
        <is>
          <t>Frais payout</t>
        </is>
      </c>
      <c r="C12" s="452">
        <f>'Hypothèses'!B19</f>
        <v/>
      </c>
      <c r="D12" s="157" t="inlineStr">
        <is>
          <t>Aucun devis</t>
        </is>
      </c>
      <c r="E12" s="157" t="inlineStr">
        <is>
          <t>OPEN</t>
        </is>
      </c>
      <c r="F12" s="157" t="inlineStr">
        <is>
          <t>Payments</t>
        </is>
      </c>
      <c r="G12" s="157" t="inlineStr">
        <is>
          <t>2026-08-01</t>
        </is>
      </c>
      <c r="H12" s="157" t="inlineStr">
        <is>
          <t>Choisir rails</t>
        </is>
      </c>
      <c r="I12" s="161" t="n"/>
      <c r="J12" s="161" t="n"/>
      <c r="K12" s="161" t="n"/>
      <c r="L12" s="16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</row>
    <row r="13" ht="15" customHeight="1">
      <c r="A13" s="157" t="inlineStr">
        <is>
          <t>AS-009</t>
        </is>
      </c>
      <c r="B13" s="157" t="inlineStr">
        <is>
          <t>Provision fiscale</t>
        </is>
      </c>
      <c r="C13" s="448">
        <f>'Hypothèses'!B25</f>
        <v/>
      </c>
      <c r="D13" s="157" t="inlineStr">
        <is>
          <t>Non validé</t>
        </is>
      </c>
      <c r="E13" s="157" t="inlineStr">
        <is>
          <t>OPEN</t>
        </is>
      </c>
      <c r="F13" s="157" t="inlineStr">
        <is>
          <t>Legal/Finance</t>
        </is>
      </c>
      <c r="G13" s="157" t="inlineStr">
        <is>
          <t>2026-08-01</t>
        </is>
      </c>
      <c r="H13" s="157" t="inlineStr">
        <is>
          <t>Conseil fiscal</t>
        </is>
      </c>
      <c r="I13" s="161" t="n"/>
      <c r="J13" s="161" t="n"/>
      <c r="K13" s="161" t="n"/>
      <c r="L13" s="161" t="n"/>
      <c r="M13" s="161" t="n"/>
      <c r="N13" s="161" t="n"/>
      <c r="O13" s="161" t="n"/>
      <c r="P13" s="161" t="n"/>
      <c r="Q13" s="161" t="n"/>
      <c r="R13" s="161" t="n"/>
      <c r="S13" s="161" t="n"/>
      <c r="T13" s="161" t="n"/>
      <c r="U13" s="161" t="n"/>
      <c r="V13" s="161" t="n"/>
      <c r="W13" s="161" t="n"/>
      <c r="X13" s="161" t="n"/>
      <c r="Y13" s="161" t="n"/>
      <c r="Z13" s="161" t="n"/>
      <c r="AA13" s="161" t="n"/>
      <c r="AB13" s="161" t="n"/>
      <c r="AC13" s="161" t="n"/>
      <c r="AD13" s="161" t="n"/>
      <c r="AE13" s="161" t="n"/>
      <c r="AF13" s="161" t="n"/>
      <c r="AG13" s="161" t="n"/>
      <c r="AH13" s="161" t="n"/>
      <c r="AI13" s="161" t="n"/>
      <c r="AJ13" s="161" t="n"/>
      <c r="AK13" s="161" t="n"/>
      <c r="AL13" s="161" t="n"/>
      <c r="AM13" s="161" t="n"/>
      <c r="AN13" s="161" t="n"/>
      <c r="AO13" s="161" t="n"/>
      <c r="AP13" s="161" t="n"/>
      <c r="AQ13" s="161" t="n"/>
      <c r="AR13" s="161" t="n"/>
      <c r="AS13" s="161" t="n"/>
      <c r="AT13" s="161" t="n"/>
      <c r="AU13" s="161" t="n"/>
      <c r="AV13" s="161" t="n"/>
      <c r="AW13" s="161" t="n"/>
      <c r="AX13" s="161" t="n"/>
      <c r="AY13" s="161" t="n"/>
      <c r="AZ13" s="161" t="n"/>
    </row>
    <row r="14" ht="15" customHeight="1">
      <c r="A14" s="157" t="inlineStr">
        <is>
          <t>AS-010</t>
        </is>
      </c>
      <c r="B14" s="157" t="inlineStr">
        <is>
          <t>FX FCFA/USD</t>
        </is>
      </c>
      <c r="C14" s="452">
        <f>'Hypothèses'!B35</f>
        <v/>
      </c>
      <c r="D14" s="157" t="inlineStr">
        <is>
          <t>Hypothèse arrondie</t>
        </is>
      </c>
      <c r="E14" s="157" t="inlineStr">
        <is>
          <t>À actualiser</t>
        </is>
      </c>
      <c r="F14" s="157" t="inlineStr">
        <is>
          <t>Finance</t>
        </is>
      </c>
      <c r="G14" s="157" t="inlineStr">
        <is>
          <t>2026-08-01</t>
        </is>
      </c>
      <c r="H14" s="157" t="inlineStr">
        <is>
          <t>Fixer source et méthode</t>
        </is>
      </c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1" t="n"/>
      <c r="W14" s="161" t="n"/>
      <c r="X14" s="161" t="n"/>
      <c r="Y14" s="161" t="n"/>
      <c r="Z14" s="161" t="n"/>
      <c r="AA14" s="161" t="n"/>
      <c r="AB14" s="161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1" t="n"/>
      <c r="AO14" s="161" t="n"/>
      <c r="AP14" s="161" t="n"/>
      <c r="AQ14" s="161" t="n"/>
      <c r="AR14" s="161" t="n"/>
      <c r="AS14" s="161" t="n"/>
      <c r="AT14" s="161" t="n"/>
      <c r="AU14" s="161" t="n"/>
      <c r="AV14" s="161" t="n"/>
      <c r="AW14" s="161" t="n"/>
      <c r="AX14" s="161" t="n"/>
      <c r="AY14" s="161" t="n"/>
      <c r="AZ14" s="161" t="n"/>
    </row>
    <row r="15" ht="15" customHeight="1">
      <c r="A15" s="157" t="n"/>
      <c r="B15" s="157" t="n"/>
      <c r="C15" s="157" t="n"/>
      <c r="D15" s="157" t="n"/>
      <c r="E15" s="157" t="n"/>
      <c r="F15" s="157" t="n"/>
      <c r="G15" s="157" t="n"/>
      <c r="H15" s="157" t="n"/>
      <c r="I15" s="161" t="n"/>
      <c r="J15" s="161" t="n"/>
      <c r="K15" s="161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1" t="n"/>
      <c r="AD15" s="161" t="n"/>
      <c r="AE15" s="161" t="n"/>
      <c r="AF15" s="161" t="n"/>
      <c r="AG15" s="161" t="n"/>
      <c r="AH15" s="161" t="n"/>
      <c r="AI15" s="161" t="n"/>
      <c r="AJ15" s="161" t="n"/>
      <c r="AK15" s="161" t="n"/>
      <c r="AL15" s="161" t="n"/>
      <c r="AM15" s="161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</row>
    <row r="16" ht="15" customHeight="1">
      <c r="A16" s="157" t="n"/>
      <c r="B16" s="157" t="n"/>
      <c r="C16" s="157" t="n"/>
      <c r="D16" s="157" t="n"/>
      <c r="E16" s="157" t="n"/>
      <c r="F16" s="157" t="n"/>
      <c r="G16" s="157" t="n"/>
      <c r="H16" s="157" t="n"/>
      <c r="I16" s="161" t="n"/>
      <c r="J16" s="161" t="n"/>
      <c r="K16" s="161" t="n"/>
      <c r="L16" s="161" t="n"/>
      <c r="M16" s="161" t="n"/>
      <c r="N16" s="161" t="n"/>
      <c r="O16" s="161" t="n"/>
      <c r="P16" s="161" t="n"/>
      <c r="Q16" s="161" t="n"/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  <c r="AA16" s="161" t="n"/>
      <c r="AB16" s="161" t="n"/>
      <c r="AC16" s="161" t="n"/>
      <c r="AD16" s="161" t="n"/>
      <c r="AE16" s="161" t="n"/>
      <c r="AF16" s="161" t="n"/>
      <c r="AG16" s="161" t="n"/>
      <c r="AH16" s="161" t="n"/>
      <c r="AI16" s="161" t="n"/>
      <c r="AJ16" s="161" t="n"/>
      <c r="AK16" s="161" t="n"/>
      <c r="AL16" s="161" t="n"/>
      <c r="AM16" s="161" t="n"/>
      <c r="AN16" s="161" t="n"/>
      <c r="AO16" s="161" t="n"/>
      <c r="AP16" s="161" t="n"/>
      <c r="AQ16" s="161" t="n"/>
      <c r="AR16" s="161" t="n"/>
      <c r="AS16" s="161" t="n"/>
      <c r="AT16" s="161" t="n"/>
      <c r="AU16" s="161" t="n"/>
      <c r="AV16" s="161" t="n"/>
      <c r="AW16" s="161" t="n"/>
      <c r="AX16" s="161" t="n"/>
      <c r="AY16" s="161" t="n"/>
      <c r="AZ16" s="161" t="n"/>
    </row>
    <row r="17" ht="15" customHeight="1">
      <c r="A17" s="157" t="n"/>
      <c r="B17" s="157" t="n"/>
      <c r="C17" s="157" t="n"/>
      <c r="D17" s="157" t="n"/>
      <c r="E17" s="157" t="n"/>
      <c r="F17" s="157" t="n"/>
      <c r="G17" s="157" t="n"/>
      <c r="H17" s="157" t="n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  <c r="S17" s="161" t="n"/>
      <c r="T17" s="161" t="n"/>
      <c r="U17" s="161" t="n"/>
      <c r="V17" s="161" t="n"/>
      <c r="W17" s="161" t="n"/>
      <c r="X17" s="161" t="n"/>
      <c r="Y17" s="161" t="n"/>
      <c r="Z17" s="161" t="n"/>
      <c r="AA17" s="161" t="n"/>
      <c r="AB17" s="161" t="n"/>
      <c r="AC17" s="161" t="n"/>
      <c r="AD17" s="161" t="n"/>
      <c r="AE17" s="161" t="n"/>
      <c r="AF17" s="161" t="n"/>
      <c r="AG17" s="161" t="n"/>
      <c r="AH17" s="161" t="n"/>
      <c r="AI17" s="161" t="n"/>
      <c r="AJ17" s="161" t="n"/>
      <c r="AK17" s="161" t="n"/>
      <c r="AL17" s="161" t="n"/>
      <c r="AM17" s="161" t="n"/>
      <c r="AN17" s="161" t="n"/>
      <c r="AO17" s="161" t="n"/>
      <c r="AP17" s="161" t="n"/>
      <c r="AQ17" s="161" t="n"/>
      <c r="AR17" s="161" t="n"/>
      <c r="AS17" s="161" t="n"/>
      <c r="AT17" s="161" t="n"/>
      <c r="AU17" s="161" t="n"/>
      <c r="AV17" s="161" t="n"/>
      <c r="AW17" s="161" t="n"/>
      <c r="AX17" s="161" t="n"/>
      <c r="AY17" s="161" t="n"/>
      <c r="AZ17" s="161" t="n"/>
    </row>
    <row r="18" ht="15" customHeight="1">
      <c r="A18" s="157" t="n"/>
      <c r="B18" s="157" t="n"/>
      <c r="C18" s="157" t="n"/>
      <c r="D18" s="157" t="n"/>
      <c r="E18" s="157" t="n"/>
      <c r="F18" s="157" t="n"/>
      <c r="G18" s="157" t="n"/>
      <c r="H18" s="157" t="n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1" t="n"/>
      <c r="V18" s="161" t="n"/>
      <c r="W18" s="161" t="n"/>
      <c r="X18" s="161" t="n"/>
      <c r="Y18" s="161" t="n"/>
      <c r="Z18" s="161" t="n"/>
      <c r="AA18" s="161" t="n"/>
      <c r="AB18" s="161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1" t="n"/>
      <c r="AO18" s="161" t="n"/>
      <c r="AP18" s="161" t="n"/>
      <c r="AQ18" s="161" t="n"/>
      <c r="AR18" s="161" t="n"/>
      <c r="AS18" s="161" t="n"/>
      <c r="AT18" s="161" t="n"/>
      <c r="AU18" s="161" t="n"/>
      <c r="AV18" s="161" t="n"/>
      <c r="AW18" s="161" t="n"/>
      <c r="AX18" s="161" t="n"/>
      <c r="AY18" s="161" t="n"/>
      <c r="AZ18" s="161" t="n"/>
    </row>
    <row r="19" ht="15" customHeight="1">
      <c r="A19" s="157" t="n"/>
      <c r="B19" s="157" t="n"/>
      <c r="C19" s="157" t="n"/>
      <c r="D19" s="157" t="n"/>
      <c r="E19" s="157" t="n"/>
      <c r="F19" s="157" t="n"/>
      <c r="G19" s="157" t="n"/>
      <c r="H19" s="157" t="n"/>
      <c r="I19" s="161" t="n"/>
      <c r="J19" s="161" t="n"/>
      <c r="K19" s="161" t="n"/>
      <c r="L19" s="16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1" t="n"/>
      <c r="AD19" s="161" t="n"/>
      <c r="AE19" s="161" t="n"/>
      <c r="AF19" s="161" t="n"/>
      <c r="AG19" s="161" t="n"/>
      <c r="AH19" s="161" t="n"/>
      <c r="AI19" s="161" t="n"/>
      <c r="AJ19" s="161" t="n"/>
      <c r="AK19" s="161" t="n"/>
      <c r="AL19" s="161" t="n"/>
      <c r="AM19" s="161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</row>
    <row r="20" ht="15" customHeight="1">
      <c r="A20" s="157" t="n"/>
      <c r="B20" s="157" t="n"/>
      <c r="C20" s="157" t="n"/>
      <c r="D20" s="157" t="n"/>
      <c r="E20" s="157" t="n"/>
      <c r="F20" s="157" t="n"/>
      <c r="G20" s="157" t="n"/>
      <c r="H20" s="157" t="n"/>
      <c r="I20" s="161" t="n"/>
      <c r="J20" s="161" t="n"/>
      <c r="K20" s="161" t="n"/>
      <c r="L20" s="161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61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61" t="n"/>
      <c r="AU20" s="161" t="n"/>
      <c r="AV20" s="161" t="n"/>
      <c r="AW20" s="161" t="n"/>
      <c r="AX20" s="161" t="n"/>
      <c r="AY20" s="161" t="n"/>
      <c r="AZ20" s="161" t="n"/>
    </row>
    <row r="21" ht="15" customHeight="1">
      <c r="A21" s="161" t="n"/>
      <c r="B21" s="161" t="n"/>
      <c r="C21" s="161" t="n"/>
      <c r="D21" s="161" t="n"/>
      <c r="E21" s="161" t="n"/>
      <c r="F21" s="161" t="n"/>
      <c r="G21" s="161" t="n"/>
      <c r="H21" s="161" t="n"/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1" t="n"/>
      <c r="V21" s="161" t="n"/>
      <c r="W21" s="161" t="n"/>
      <c r="X21" s="161" t="n"/>
      <c r="Y21" s="161" t="n"/>
      <c r="Z21" s="161" t="n"/>
      <c r="AA21" s="161" t="n"/>
      <c r="AB21" s="161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1" t="n"/>
      <c r="AO21" s="161" t="n"/>
      <c r="AP21" s="161" t="n"/>
      <c r="AQ21" s="161" t="n"/>
      <c r="AR21" s="161" t="n"/>
      <c r="AS21" s="161" t="n"/>
      <c r="AT21" s="161" t="n"/>
      <c r="AU21" s="161" t="n"/>
      <c r="AV21" s="161" t="n"/>
      <c r="AW21" s="161" t="n"/>
      <c r="AX21" s="161" t="n"/>
      <c r="AY21" s="161" t="n"/>
      <c r="AZ21" s="161" t="n"/>
    </row>
    <row r="22" ht="15" customHeight="1">
      <c r="A22" s="161" t="n"/>
      <c r="B22" s="161" t="n"/>
      <c r="C22" s="161" t="n"/>
      <c r="D22" s="161" t="n"/>
      <c r="E22" s="161" t="n"/>
      <c r="F22" s="161" t="n"/>
      <c r="G22" s="161" t="n"/>
      <c r="H22" s="161" t="n"/>
      <c r="I22" s="161" t="n"/>
      <c r="J22" s="161" t="n"/>
      <c r="K22" s="161" t="n"/>
      <c r="L22" s="16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1" t="n"/>
      <c r="AD22" s="161" t="n"/>
      <c r="AE22" s="161" t="n"/>
      <c r="AF22" s="161" t="n"/>
      <c r="AG22" s="161" t="n"/>
      <c r="AH22" s="161" t="n"/>
      <c r="AI22" s="161" t="n"/>
      <c r="AJ22" s="161" t="n"/>
      <c r="AK22" s="161" t="n"/>
      <c r="AL22" s="161" t="n"/>
      <c r="AM22" s="161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</row>
    <row r="23" ht="15" customHeight="1">
      <c r="A23" s="161" t="n"/>
      <c r="B23" s="161" t="n"/>
      <c r="C23" s="161" t="n"/>
      <c r="D23" s="161" t="n"/>
      <c r="E23" s="161" t="n"/>
      <c r="F23" s="161" t="n"/>
      <c r="G23" s="161" t="n"/>
      <c r="H23" s="161" t="n"/>
      <c r="I23" s="161" t="n"/>
      <c r="J23" s="161" t="n"/>
      <c r="K23" s="161" t="n"/>
      <c r="L23" s="161" t="n"/>
      <c r="M23" s="161" t="n"/>
      <c r="N23" s="161" t="n"/>
      <c r="O23" s="161" t="n"/>
      <c r="P23" s="161" t="n"/>
      <c r="Q23" s="161" t="n"/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  <c r="AA23" s="161" t="n"/>
      <c r="AB23" s="161" t="n"/>
      <c r="AC23" s="161" t="n"/>
      <c r="AD23" s="161" t="n"/>
      <c r="AE23" s="161" t="n"/>
      <c r="AF23" s="161" t="n"/>
      <c r="AG23" s="161" t="n"/>
      <c r="AH23" s="161" t="n"/>
      <c r="AI23" s="161" t="n"/>
      <c r="AJ23" s="161" t="n"/>
      <c r="AK23" s="161" t="n"/>
      <c r="AL23" s="161" t="n"/>
      <c r="AM23" s="161" t="n"/>
      <c r="AN23" s="161" t="n"/>
      <c r="AO23" s="161" t="n"/>
      <c r="AP23" s="161" t="n"/>
      <c r="AQ23" s="161" t="n"/>
      <c r="AR23" s="161" t="n"/>
      <c r="AS23" s="161" t="n"/>
      <c r="AT23" s="161" t="n"/>
      <c r="AU23" s="161" t="n"/>
      <c r="AV23" s="161" t="n"/>
      <c r="AW23" s="161" t="n"/>
      <c r="AX23" s="161" t="n"/>
      <c r="AY23" s="161" t="n"/>
      <c r="AZ23" s="161" t="n"/>
    </row>
    <row r="24" ht="15" customHeight="1">
      <c r="A24" s="161" t="n"/>
      <c r="B24" s="161" t="n"/>
      <c r="C24" s="161" t="n"/>
      <c r="D24" s="161" t="n"/>
      <c r="E24" s="161" t="n"/>
      <c r="F24" s="161" t="n"/>
      <c r="G24" s="161" t="n"/>
      <c r="H24" s="161" t="n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1" t="n"/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1" t="n"/>
      <c r="AO24" s="161" t="n"/>
      <c r="AP24" s="161" t="n"/>
      <c r="AQ24" s="161" t="n"/>
      <c r="AR24" s="161" t="n"/>
      <c r="AS24" s="161" t="n"/>
      <c r="AT24" s="161" t="n"/>
      <c r="AU24" s="161" t="n"/>
      <c r="AV24" s="161" t="n"/>
      <c r="AW24" s="161" t="n"/>
      <c r="AX24" s="161" t="n"/>
      <c r="AY24" s="161" t="n"/>
      <c r="AZ24" s="161" t="n"/>
    </row>
    <row r="25" ht="15" customHeight="1">
      <c r="A25" s="161" t="n"/>
      <c r="B25" s="161" t="n"/>
      <c r="C25" s="161" t="n"/>
      <c r="D25" s="161" t="n"/>
      <c r="E25" s="161" t="n"/>
      <c r="F25" s="161" t="n"/>
      <c r="G25" s="161" t="n"/>
      <c r="H25" s="161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1" t="n"/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</row>
    <row r="26" ht="15" customHeight="1">
      <c r="A26" s="161" t="n"/>
      <c r="B26" s="161" t="n"/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</row>
    <row r="27" ht="15" customHeight="1">
      <c r="A27" s="161" t="n"/>
      <c r="B27" s="161" t="n"/>
      <c r="C27" s="161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61" t="n"/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1" t="n"/>
      <c r="AO27" s="161" t="n"/>
      <c r="AP27" s="161" t="n"/>
      <c r="AQ27" s="161" t="n"/>
      <c r="AR27" s="161" t="n"/>
      <c r="AS27" s="161" t="n"/>
      <c r="AT27" s="161" t="n"/>
      <c r="AU27" s="161" t="n"/>
      <c r="AV27" s="161" t="n"/>
      <c r="AW27" s="161" t="n"/>
      <c r="AX27" s="161" t="n"/>
      <c r="AY27" s="161" t="n"/>
      <c r="AZ27" s="161" t="n"/>
    </row>
    <row r="28" ht="15" customHeight="1">
      <c r="A28" s="161" t="n"/>
      <c r="B28" s="161" t="n"/>
      <c r="C28" s="161" t="n"/>
      <c r="D28" s="161" t="n"/>
      <c r="E28" s="161" t="n"/>
      <c r="F28" s="161" t="n"/>
      <c r="G28" s="161" t="n"/>
      <c r="H28" s="161" t="n"/>
      <c r="I28" s="161" t="n"/>
      <c r="J28" s="161" t="n"/>
      <c r="K28" s="161" t="n"/>
      <c r="L28" s="161" t="n"/>
      <c r="M28" s="161" t="n"/>
      <c r="N28" s="161" t="n"/>
      <c r="O28" s="161" t="n"/>
      <c r="P28" s="161" t="n"/>
      <c r="Q28" s="161" t="n"/>
      <c r="R28" s="161" t="n"/>
      <c r="S28" s="161" t="n"/>
      <c r="T28" s="161" t="n"/>
      <c r="U28" s="161" t="n"/>
      <c r="V28" s="161" t="n"/>
      <c r="W28" s="161" t="n"/>
      <c r="X28" s="161" t="n"/>
      <c r="Y28" s="161" t="n"/>
      <c r="Z28" s="161" t="n"/>
      <c r="AA28" s="161" t="n"/>
      <c r="AB28" s="161" t="n"/>
      <c r="AC28" s="161" t="n"/>
      <c r="AD28" s="161" t="n"/>
      <c r="AE28" s="161" t="n"/>
      <c r="AF28" s="161" t="n"/>
      <c r="AG28" s="161" t="n"/>
      <c r="AH28" s="161" t="n"/>
      <c r="AI28" s="161" t="n"/>
      <c r="AJ28" s="161" t="n"/>
      <c r="AK28" s="161" t="n"/>
      <c r="AL28" s="161" t="n"/>
      <c r="AM28" s="161" t="n"/>
      <c r="AN28" s="161" t="n"/>
      <c r="AO28" s="161" t="n"/>
      <c r="AP28" s="161" t="n"/>
      <c r="AQ28" s="161" t="n"/>
      <c r="AR28" s="161" t="n"/>
      <c r="AS28" s="161" t="n"/>
      <c r="AT28" s="161" t="n"/>
      <c r="AU28" s="161" t="n"/>
      <c r="AV28" s="161" t="n"/>
      <c r="AW28" s="161" t="n"/>
      <c r="AX28" s="161" t="n"/>
      <c r="AY28" s="161" t="n"/>
      <c r="AZ28" s="161" t="n"/>
    </row>
    <row r="29" ht="15" customHeight="1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  <c r="AB29" s="161" t="n"/>
      <c r="AC29" s="161" t="n"/>
      <c r="AD29" s="161" t="n"/>
      <c r="AE29" s="161" t="n"/>
      <c r="AF29" s="161" t="n"/>
      <c r="AG29" s="161" t="n"/>
      <c r="AH29" s="161" t="n"/>
      <c r="AI29" s="161" t="n"/>
      <c r="AJ29" s="161" t="n"/>
      <c r="AK29" s="161" t="n"/>
      <c r="AL29" s="161" t="n"/>
      <c r="AM29" s="161" t="n"/>
      <c r="AN29" s="161" t="n"/>
      <c r="AO29" s="161" t="n"/>
      <c r="AP29" s="161" t="n"/>
      <c r="AQ29" s="161" t="n"/>
      <c r="AR29" s="161" t="n"/>
      <c r="AS29" s="161" t="n"/>
      <c r="AT29" s="161" t="n"/>
      <c r="AU29" s="161" t="n"/>
      <c r="AV29" s="161" t="n"/>
      <c r="AW29" s="161" t="n"/>
      <c r="AX29" s="161" t="n"/>
      <c r="AY29" s="161" t="n"/>
      <c r="AZ29" s="161" t="n"/>
    </row>
    <row r="30" ht="15" customHeight="1">
      <c r="A30" s="161" t="n"/>
      <c r="B30" s="161" t="n"/>
      <c r="C30" s="161" t="n"/>
      <c r="D30" s="161" t="n"/>
      <c r="E30" s="161" t="n"/>
      <c r="F30" s="161" t="n"/>
      <c r="G30" s="161" t="n"/>
      <c r="H30" s="161" t="n"/>
      <c r="I30" s="161" t="n"/>
      <c r="J30" s="161" t="n"/>
      <c r="K30" s="161" t="n"/>
      <c r="L30" s="161" t="n"/>
      <c r="M30" s="161" t="n"/>
      <c r="N30" s="161" t="n"/>
      <c r="O30" s="161" t="n"/>
      <c r="P30" s="161" t="n"/>
      <c r="Q30" s="161" t="n"/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  <c r="AA30" s="161" t="n"/>
      <c r="AB30" s="161" t="n"/>
      <c r="AC30" s="161" t="n"/>
      <c r="AD30" s="161" t="n"/>
      <c r="AE30" s="161" t="n"/>
      <c r="AF30" s="161" t="n"/>
      <c r="AG30" s="161" t="n"/>
      <c r="AH30" s="161" t="n"/>
      <c r="AI30" s="161" t="n"/>
      <c r="AJ30" s="161" t="n"/>
      <c r="AK30" s="161" t="n"/>
      <c r="AL30" s="161" t="n"/>
      <c r="AM30" s="161" t="n"/>
      <c r="AN30" s="161" t="n"/>
      <c r="AO30" s="161" t="n"/>
      <c r="AP30" s="161" t="n"/>
      <c r="AQ30" s="161" t="n"/>
      <c r="AR30" s="161" t="n"/>
      <c r="AS30" s="161" t="n"/>
      <c r="AT30" s="161" t="n"/>
      <c r="AU30" s="161" t="n"/>
      <c r="AV30" s="161" t="n"/>
      <c r="AW30" s="161" t="n"/>
      <c r="AX30" s="161" t="n"/>
      <c r="AY30" s="161" t="n"/>
      <c r="AZ30" s="161" t="n"/>
    </row>
    <row r="31" ht="15" customHeight="1">
      <c r="A31" s="161" t="n"/>
      <c r="B31" s="161" t="n"/>
      <c r="C31" s="161" t="n"/>
      <c r="D31" s="161" t="n"/>
      <c r="E31" s="161" t="n"/>
      <c r="F31" s="161" t="n"/>
      <c r="G31" s="161" t="n"/>
      <c r="H31" s="161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1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</row>
    <row r="32" ht="15" customHeight="1">
      <c r="A32" s="161" t="n"/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1" t="n"/>
      <c r="AD32" s="161" t="n"/>
      <c r="AE32" s="161" t="n"/>
      <c r="AF32" s="161" t="n"/>
      <c r="AG32" s="161" t="n"/>
      <c r="AH32" s="161" t="n"/>
      <c r="AI32" s="161" t="n"/>
      <c r="AJ32" s="161" t="n"/>
      <c r="AK32" s="161" t="n"/>
      <c r="AL32" s="161" t="n"/>
      <c r="AM32" s="161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</row>
    <row r="33" ht="15" customHeight="1">
      <c r="A33" s="161" t="n"/>
      <c r="B33" s="161" t="n"/>
      <c r="C33" s="161" t="n"/>
      <c r="D33" s="161" t="n"/>
      <c r="E33" s="161" t="n"/>
      <c r="F33" s="161" t="n"/>
      <c r="G33" s="161" t="n"/>
      <c r="H33" s="161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1" t="n"/>
      <c r="V33" s="161" t="n"/>
      <c r="W33" s="161" t="n"/>
      <c r="X33" s="161" t="n"/>
      <c r="Y33" s="161" t="n"/>
      <c r="Z33" s="161" t="n"/>
      <c r="AA33" s="161" t="n"/>
      <c r="AB33" s="161" t="n"/>
      <c r="AC33" s="161" t="n"/>
      <c r="AD33" s="161" t="n"/>
      <c r="AE33" s="161" t="n"/>
      <c r="AF33" s="161" t="n"/>
      <c r="AG33" s="161" t="n"/>
      <c r="AH33" s="161" t="n"/>
      <c r="AI33" s="161" t="n"/>
      <c r="AJ33" s="161" t="n"/>
      <c r="AK33" s="161" t="n"/>
      <c r="AL33" s="161" t="n"/>
      <c r="AM33" s="161" t="n"/>
      <c r="AN33" s="161" t="n"/>
      <c r="AO33" s="161" t="n"/>
      <c r="AP33" s="161" t="n"/>
      <c r="AQ33" s="161" t="n"/>
      <c r="AR33" s="161" t="n"/>
      <c r="AS33" s="161" t="n"/>
      <c r="AT33" s="161" t="n"/>
      <c r="AU33" s="161" t="n"/>
      <c r="AV33" s="161" t="n"/>
      <c r="AW33" s="161" t="n"/>
      <c r="AX33" s="161" t="n"/>
      <c r="AY33" s="161" t="n"/>
      <c r="AZ33" s="161" t="n"/>
    </row>
    <row r="34" ht="15" customHeight="1">
      <c r="A34" s="161" t="n"/>
      <c r="B34" s="161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  <c r="S34" s="161" t="n"/>
      <c r="T34" s="161" t="n"/>
      <c r="U34" s="161" t="n"/>
      <c r="V34" s="161" t="n"/>
      <c r="W34" s="161" t="n"/>
      <c r="X34" s="161" t="n"/>
      <c r="Y34" s="161" t="n"/>
      <c r="Z34" s="161" t="n"/>
      <c r="AA34" s="161" t="n"/>
      <c r="AB34" s="161" t="n"/>
      <c r="AC34" s="161" t="n"/>
      <c r="AD34" s="161" t="n"/>
      <c r="AE34" s="161" t="n"/>
      <c r="AF34" s="161" t="n"/>
      <c r="AG34" s="161" t="n"/>
      <c r="AH34" s="161" t="n"/>
      <c r="AI34" s="161" t="n"/>
      <c r="AJ34" s="161" t="n"/>
      <c r="AK34" s="161" t="n"/>
      <c r="AL34" s="161" t="n"/>
      <c r="AM34" s="161" t="n"/>
      <c r="AN34" s="161" t="n"/>
      <c r="AO34" s="161" t="n"/>
      <c r="AP34" s="161" t="n"/>
      <c r="AQ34" s="161" t="n"/>
      <c r="AR34" s="161" t="n"/>
      <c r="AS34" s="161" t="n"/>
      <c r="AT34" s="161" t="n"/>
      <c r="AU34" s="161" t="n"/>
      <c r="AV34" s="161" t="n"/>
      <c r="AW34" s="161" t="n"/>
      <c r="AX34" s="161" t="n"/>
      <c r="AY34" s="161" t="n"/>
      <c r="AZ34" s="161" t="n"/>
    </row>
    <row r="35" ht="15" customHeight="1">
      <c r="A35" s="161" t="n"/>
      <c r="B35" s="161" t="n"/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61" t="n"/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61" t="n"/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</row>
    <row r="36" ht="15" customHeight="1">
      <c r="A36" s="161" t="n"/>
      <c r="B36" s="161" t="n"/>
      <c r="C36" s="161" t="n"/>
      <c r="D36" s="161" t="n"/>
      <c r="E36" s="161" t="n"/>
      <c r="F36" s="161" t="n"/>
      <c r="G36" s="161" t="n"/>
      <c r="H36" s="161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  <c r="AB36" s="161" t="n"/>
      <c r="AC36" s="161" t="n"/>
      <c r="AD36" s="161" t="n"/>
      <c r="AE36" s="161" t="n"/>
      <c r="AF36" s="161" t="n"/>
      <c r="AG36" s="161" t="n"/>
      <c r="AH36" s="161" t="n"/>
      <c r="AI36" s="161" t="n"/>
      <c r="AJ36" s="161" t="n"/>
      <c r="AK36" s="161" t="n"/>
      <c r="AL36" s="161" t="n"/>
      <c r="AM36" s="161" t="n"/>
      <c r="AN36" s="161" t="n"/>
      <c r="AO36" s="161" t="n"/>
      <c r="AP36" s="161" t="n"/>
      <c r="AQ36" s="161" t="n"/>
      <c r="AR36" s="161" t="n"/>
      <c r="AS36" s="161" t="n"/>
      <c r="AT36" s="161" t="n"/>
      <c r="AU36" s="161" t="n"/>
      <c r="AV36" s="161" t="n"/>
      <c r="AW36" s="161" t="n"/>
      <c r="AX36" s="161" t="n"/>
      <c r="AY36" s="161" t="n"/>
      <c r="AZ36" s="161" t="n"/>
    </row>
    <row r="37" ht="15" customHeight="1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  <c r="AA37" s="161" t="n"/>
      <c r="AB37" s="161" t="n"/>
      <c r="AC37" s="161" t="n"/>
      <c r="AD37" s="161" t="n"/>
      <c r="AE37" s="161" t="n"/>
      <c r="AF37" s="161" t="n"/>
      <c r="AG37" s="161" t="n"/>
      <c r="AH37" s="161" t="n"/>
      <c r="AI37" s="161" t="n"/>
      <c r="AJ37" s="161" t="n"/>
      <c r="AK37" s="161" t="n"/>
      <c r="AL37" s="161" t="n"/>
      <c r="AM37" s="161" t="n"/>
      <c r="AN37" s="161" t="n"/>
      <c r="AO37" s="161" t="n"/>
      <c r="AP37" s="161" t="n"/>
      <c r="AQ37" s="161" t="n"/>
      <c r="AR37" s="161" t="n"/>
      <c r="AS37" s="161" t="n"/>
      <c r="AT37" s="161" t="n"/>
      <c r="AU37" s="161" t="n"/>
      <c r="AV37" s="161" t="n"/>
      <c r="AW37" s="161" t="n"/>
      <c r="AX37" s="161" t="n"/>
      <c r="AY37" s="161" t="n"/>
      <c r="AZ37" s="161" t="n"/>
    </row>
    <row r="38" ht="15" customHeight="1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  <c r="S38" s="161" t="n"/>
      <c r="T38" s="161" t="n"/>
      <c r="U38" s="161" t="n"/>
      <c r="V38" s="161" t="n"/>
      <c r="W38" s="161" t="n"/>
      <c r="X38" s="161" t="n"/>
      <c r="Y38" s="161" t="n"/>
      <c r="Z38" s="161" t="n"/>
      <c r="AA38" s="161" t="n"/>
      <c r="AB38" s="161" t="n"/>
      <c r="AC38" s="161" t="n"/>
      <c r="AD38" s="161" t="n"/>
      <c r="AE38" s="161" t="n"/>
      <c r="AF38" s="161" t="n"/>
      <c r="AG38" s="161" t="n"/>
      <c r="AH38" s="161" t="n"/>
      <c r="AI38" s="161" t="n"/>
      <c r="AJ38" s="161" t="n"/>
      <c r="AK38" s="161" t="n"/>
      <c r="AL38" s="161" t="n"/>
      <c r="AM38" s="161" t="n"/>
      <c r="AN38" s="161" t="n"/>
      <c r="AO38" s="161" t="n"/>
      <c r="AP38" s="161" t="n"/>
      <c r="AQ38" s="161" t="n"/>
      <c r="AR38" s="161" t="n"/>
      <c r="AS38" s="161" t="n"/>
      <c r="AT38" s="161" t="n"/>
      <c r="AU38" s="161" t="n"/>
      <c r="AV38" s="161" t="n"/>
      <c r="AW38" s="161" t="n"/>
      <c r="AX38" s="161" t="n"/>
      <c r="AY38" s="161" t="n"/>
      <c r="AZ38" s="161" t="n"/>
    </row>
    <row r="39" ht="15" customHeight="1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  <c r="S39" s="161" t="n"/>
      <c r="T39" s="161" t="n"/>
      <c r="U39" s="161" t="n"/>
      <c r="V39" s="161" t="n"/>
      <c r="W39" s="161" t="n"/>
      <c r="X39" s="161" t="n"/>
      <c r="Y39" s="161" t="n"/>
      <c r="Z39" s="161" t="n"/>
      <c r="AA39" s="161" t="n"/>
      <c r="AB39" s="161" t="n"/>
      <c r="AC39" s="161" t="n"/>
      <c r="AD39" s="161" t="n"/>
      <c r="AE39" s="161" t="n"/>
      <c r="AF39" s="161" t="n"/>
      <c r="AG39" s="161" t="n"/>
      <c r="AH39" s="161" t="n"/>
      <c r="AI39" s="161" t="n"/>
      <c r="AJ39" s="161" t="n"/>
      <c r="AK39" s="161" t="n"/>
      <c r="AL39" s="161" t="n"/>
      <c r="AM39" s="161" t="n"/>
      <c r="AN39" s="161" t="n"/>
      <c r="AO39" s="161" t="n"/>
      <c r="AP39" s="161" t="n"/>
      <c r="AQ39" s="161" t="n"/>
      <c r="AR39" s="161" t="n"/>
      <c r="AS39" s="161" t="n"/>
      <c r="AT39" s="161" t="n"/>
      <c r="AU39" s="161" t="n"/>
      <c r="AV39" s="161" t="n"/>
      <c r="AW39" s="161" t="n"/>
      <c r="AX39" s="161" t="n"/>
      <c r="AY39" s="161" t="n"/>
      <c r="AZ39" s="161" t="n"/>
    </row>
    <row r="40" ht="15" customHeight="1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  <c r="S40" s="161" t="n"/>
      <c r="T40" s="161" t="n"/>
      <c r="U40" s="161" t="n"/>
      <c r="V40" s="161" t="n"/>
      <c r="W40" s="161" t="n"/>
      <c r="X40" s="161" t="n"/>
      <c r="Y40" s="161" t="n"/>
      <c r="Z40" s="161" t="n"/>
      <c r="AA40" s="161" t="n"/>
      <c r="AB40" s="161" t="n"/>
      <c r="AC40" s="161" t="n"/>
      <c r="AD40" s="161" t="n"/>
      <c r="AE40" s="161" t="n"/>
      <c r="AF40" s="161" t="n"/>
      <c r="AG40" s="161" t="n"/>
      <c r="AH40" s="161" t="n"/>
      <c r="AI40" s="161" t="n"/>
      <c r="AJ40" s="161" t="n"/>
      <c r="AK40" s="161" t="n"/>
      <c r="AL40" s="161" t="n"/>
      <c r="AM40" s="161" t="n"/>
      <c r="AN40" s="161" t="n"/>
      <c r="AO40" s="161" t="n"/>
      <c r="AP40" s="161" t="n"/>
      <c r="AQ40" s="161" t="n"/>
      <c r="AR40" s="161" t="n"/>
      <c r="AS40" s="161" t="n"/>
      <c r="AT40" s="161" t="n"/>
      <c r="AU40" s="161" t="n"/>
      <c r="AV40" s="161" t="n"/>
      <c r="AW40" s="161" t="n"/>
      <c r="AX40" s="161" t="n"/>
      <c r="AY40" s="161" t="n"/>
      <c r="AZ40" s="161" t="n"/>
    </row>
    <row r="41" ht="15" customHeight="1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  <c r="S41" s="161" t="n"/>
      <c r="T41" s="161" t="n"/>
      <c r="U41" s="161" t="n"/>
      <c r="V41" s="161" t="n"/>
      <c r="W41" s="161" t="n"/>
      <c r="X41" s="161" t="n"/>
      <c r="Y41" s="161" t="n"/>
      <c r="Z41" s="161" t="n"/>
      <c r="AA41" s="161" t="n"/>
      <c r="AB41" s="161" t="n"/>
      <c r="AC41" s="161" t="n"/>
      <c r="AD41" s="161" t="n"/>
      <c r="AE41" s="161" t="n"/>
      <c r="AF41" s="161" t="n"/>
      <c r="AG41" s="161" t="n"/>
      <c r="AH41" s="161" t="n"/>
      <c r="AI41" s="161" t="n"/>
      <c r="AJ41" s="161" t="n"/>
      <c r="AK41" s="161" t="n"/>
      <c r="AL41" s="161" t="n"/>
      <c r="AM41" s="161" t="n"/>
      <c r="AN41" s="161" t="n"/>
      <c r="AO41" s="161" t="n"/>
      <c r="AP41" s="161" t="n"/>
      <c r="AQ41" s="161" t="n"/>
      <c r="AR41" s="161" t="n"/>
      <c r="AS41" s="161" t="n"/>
      <c r="AT41" s="161" t="n"/>
      <c r="AU41" s="161" t="n"/>
      <c r="AV41" s="161" t="n"/>
      <c r="AW41" s="161" t="n"/>
      <c r="AX41" s="161" t="n"/>
      <c r="AY41" s="161" t="n"/>
      <c r="AZ41" s="161" t="n"/>
    </row>
    <row r="42" ht="15" customHeight="1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  <c r="S42" s="161" t="n"/>
      <c r="T42" s="161" t="n"/>
      <c r="U42" s="161" t="n"/>
      <c r="V42" s="161" t="n"/>
      <c r="W42" s="161" t="n"/>
      <c r="X42" s="161" t="n"/>
      <c r="Y42" s="161" t="n"/>
      <c r="Z42" s="161" t="n"/>
      <c r="AA42" s="161" t="n"/>
      <c r="AB42" s="161" t="n"/>
      <c r="AC42" s="161" t="n"/>
      <c r="AD42" s="161" t="n"/>
      <c r="AE42" s="161" t="n"/>
      <c r="AF42" s="161" t="n"/>
      <c r="AG42" s="161" t="n"/>
      <c r="AH42" s="161" t="n"/>
      <c r="AI42" s="161" t="n"/>
      <c r="AJ42" s="161" t="n"/>
      <c r="AK42" s="161" t="n"/>
      <c r="AL42" s="161" t="n"/>
      <c r="AM42" s="161" t="n"/>
      <c r="AN42" s="161" t="n"/>
      <c r="AO42" s="161" t="n"/>
      <c r="AP42" s="161" t="n"/>
      <c r="AQ42" s="161" t="n"/>
      <c r="AR42" s="161" t="n"/>
      <c r="AS42" s="161" t="n"/>
      <c r="AT42" s="161" t="n"/>
      <c r="AU42" s="161" t="n"/>
      <c r="AV42" s="161" t="n"/>
      <c r="AW42" s="161" t="n"/>
      <c r="AX42" s="161" t="n"/>
      <c r="AY42" s="161" t="n"/>
      <c r="AZ42" s="161" t="n"/>
    </row>
    <row r="43" ht="15" customHeight="1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  <c r="AB43" s="161" t="n"/>
      <c r="AC43" s="161" t="n"/>
      <c r="AD43" s="161" t="n"/>
      <c r="AE43" s="161" t="n"/>
      <c r="AF43" s="161" t="n"/>
      <c r="AG43" s="161" t="n"/>
      <c r="AH43" s="161" t="n"/>
      <c r="AI43" s="161" t="n"/>
      <c r="AJ43" s="161" t="n"/>
      <c r="AK43" s="161" t="n"/>
      <c r="AL43" s="161" t="n"/>
      <c r="AM43" s="161" t="n"/>
      <c r="AN43" s="161" t="n"/>
      <c r="AO43" s="161" t="n"/>
      <c r="AP43" s="161" t="n"/>
      <c r="AQ43" s="161" t="n"/>
      <c r="AR43" s="161" t="n"/>
      <c r="AS43" s="161" t="n"/>
      <c r="AT43" s="161" t="n"/>
      <c r="AU43" s="161" t="n"/>
      <c r="AV43" s="161" t="n"/>
      <c r="AW43" s="161" t="n"/>
      <c r="AX43" s="161" t="n"/>
      <c r="AY43" s="161" t="n"/>
      <c r="AZ43" s="161" t="n"/>
    </row>
    <row r="44" ht="15" customHeight="1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  <c r="AA44" s="161" t="n"/>
      <c r="AB44" s="161" t="n"/>
      <c r="AC44" s="161" t="n"/>
      <c r="AD44" s="161" t="n"/>
      <c r="AE44" s="161" t="n"/>
      <c r="AF44" s="161" t="n"/>
      <c r="AG44" s="161" t="n"/>
      <c r="AH44" s="161" t="n"/>
      <c r="AI44" s="161" t="n"/>
      <c r="AJ44" s="161" t="n"/>
      <c r="AK44" s="161" t="n"/>
      <c r="AL44" s="161" t="n"/>
      <c r="AM44" s="161" t="n"/>
      <c r="AN44" s="161" t="n"/>
      <c r="AO44" s="161" t="n"/>
      <c r="AP44" s="161" t="n"/>
      <c r="AQ44" s="161" t="n"/>
      <c r="AR44" s="161" t="n"/>
      <c r="AS44" s="161" t="n"/>
      <c r="AT44" s="161" t="n"/>
      <c r="AU44" s="161" t="n"/>
      <c r="AV44" s="161" t="n"/>
      <c r="AW44" s="161" t="n"/>
      <c r="AX44" s="161" t="n"/>
      <c r="AY44" s="161" t="n"/>
      <c r="AZ44" s="161" t="n"/>
    </row>
    <row r="45" ht="15" customHeight="1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  <c r="S45" s="161" t="n"/>
      <c r="T45" s="161" t="n"/>
      <c r="U45" s="161" t="n"/>
      <c r="V45" s="161" t="n"/>
      <c r="W45" s="161" t="n"/>
      <c r="X45" s="161" t="n"/>
      <c r="Y45" s="161" t="n"/>
      <c r="Z45" s="161" t="n"/>
      <c r="AA45" s="161" t="n"/>
      <c r="AB45" s="161" t="n"/>
      <c r="AC45" s="161" t="n"/>
      <c r="AD45" s="161" t="n"/>
      <c r="AE45" s="161" t="n"/>
      <c r="AF45" s="161" t="n"/>
      <c r="AG45" s="161" t="n"/>
      <c r="AH45" s="161" t="n"/>
      <c r="AI45" s="161" t="n"/>
      <c r="AJ45" s="161" t="n"/>
      <c r="AK45" s="161" t="n"/>
      <c r="AL45" s="161" t="n"/>
      <c r="AM45" s="161" t="n"/>
      <c r="AN45" s="161" t="n"/>
      <c r="AO45" s="161" t="n"/>
      <c r="AP45" s="161" t="n"/>
      <c r="AQ45" s="161" t="n"/>
      <c r="AR45" s="161" t="n"/>
      <c r="AS45" s="161" t="n"/>
      <c r="AT45" s="161" t="n"/>
      <c r="AU45" s="161" t="n"/>
      <c r="AV45" s="161" t="n"/>
      <c r="AW45" s="161" t="n"/>
      <c r="AX45" s="161" t="n"/>
      <c r="AY45" s="161" t="n"/>
      <c r="AZ45" s="161" t="n"/>
    </row>
    <row r="46" ht="15" customHeight="1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61" t="n"/>
      <c r="U46" s="161" t="n"/>
      <c r="V46" s="161" t="n"/>
      <c r="W46" s="161" t="n"/>
      <c r="X46" s="161" t="n"/>
      <c r="Y46" s="161" t="n"/>
      <c r="Z46" s="161" t="n"/>
      <c r="AA46" s="161" t="n"/>
      <c r="AB46" s="161" t="n"/>
      <c r="AC46" s="161" t="n"/>
      <c r="AD46" s="161" t="n"/>
      <c r="AE46" s="161" t="n"/>
      <c r="AF46" s="161" t="n"/>
      <c r="AG46" s="161" t="n"/>
      <c r="AH46" s="161" t="n"/>
      <c r="AI46" s="161" t="n"/>
      <c r="AJ46" s="161" t="n"/>
      <c r="AK46" s="161" t="n"/>
      <c r="AL46" s="161" t="n"/>
      <c r="AM46" s="161" t="n"/>
      <c r="AN46" s="161" t="n"/>
      <c r="AO46" s="161" t="n"/>
      <c r="AP46" s="161" t="n"/>
      <c r="AQ46" s="161" t="n"/>
      <c r="AR46" s="161" t="n"/>
      <c r="AS46" s="161" t="n"/>
      <c r="AT46" s="161" t="n"/>
      <c r="AU46" s="161" t="n"/>
      <c r="AV46" s="161" t="n"/>
      <c r="AW46" s="161" t="n"/>
      <c r="AX46" s="161" t="n"/>
      <c r="AY46" s="161" t="n"/>
      <c r="AZ46" s="161" t="n"/>
    </row>
    <row r="47" ht="15" customHeight="1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61" t="n"/>
      <c r="U47" s="161" t="n"/>
      <c r="V47" s="161" t="n"/>
      <c r="W47" s="161" t="n"/>
      <c r="X47" s="161" t="n"/>
      <c r="Y47" s="161" t="n"/>
      <c r="Z47" s="161" t="n"/>
      <c r="AA47" s="161" t="n"/>
      <c r="AB47" s="161" t="n"/>
      <c r="AC47" s="161" t="n"/>
      <c r="AD47" s="161" t="n"/>
      <c r="AE47" s="161" t="n"/>
      <c r="AF47" s="161" t="n"/>
      <c r="AG47" s="161" t="n"/>
      <c r="AH47" s="161" t="n"/>
      <c r="AI47" s="161" t="n"/>
      <c r="AJ47" s="161" t="n"/>
      <c r="AK47" s="161" t="n"/>
      <c r="AL47" s="161" t="n"/>
      <c r="AM47" s="161" t="n"/>
      <c r="AN47" s="161" t="n"/>
      <c r="AO47" s="161" t="n"/>
      <c r="AP47" s="161" t="n"/>
      <c r="AQ47" s="161" t="n"/>
      <c r="AR47" s="161" t="n"/>
      <c r="AS47" s="161" t="n"/>
      <c r="AT47" s="161" t="n"/>
      <c r="AU47" s="161" t="n"/>
      <c r="AV47" s="161" t="n"/>
      <c r="AW47" s="161" t="n"/>
      <c r="AX47" s="161" t="n"/>
      <c r="AY47" s="161" t="n"/>
      <c r="AZ47" s="161" t="n"/>
    </row>
    <row r="48" ht="15" customHeight="1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61" t="n"/>
      <c r="U48" s="161" t="n"/>
      <c r="V48" s="161" t="n"/>
      <c r="W48" s="161" t="n"/>
      <c r="X48" s="161" t="n"/>
      <c r="Y48" s="161" t="n"/>
      <c r="Z48" s="161" t="n"/>
      <c r="AA48" s="161" t="n"/>
      <c r="AB48" s="161" t="n"/>
      <c r="AC48" s="161" t="n"/>
      <c r="AD48" s="161" t="n"/>
      <c r="AE48" s="161" t="n"/>
      <c r="AF48" s="161" t="n"/>
      <c r="AG48" s="161" t="n"/>
      <c r="AH48" s="161" t="n"/>
      <c r="AI48" s="161" t="n"/>
      <c r="AJ48" s="161" t="n"/>
      <c r="AK48" s="161" t="n"/>
      <c r="AL48" s="161" t="n"/>
      <c r="AM48" s="161" t="n"/>
      <c r="AN48" s="161" t="n"/>
      <c r="AO48" s="161" t="n"/>
      <c r="AP48" s="161" t="n"/>
      <c r="AQ48" s="161" t="n"/>
      <c r="AR48" s="161" t="n"/>
      <c r="AS48" s="161" t="n"/>
      <c r="AT48" s="161" t="n"/>
      <c r="AU48" s="161" t="n"/>
      <c r="AV48" s="161" t="n"/>
      <c r="AW48" s="161" t="n"/>
      <c r="AX48" s="161" t="n"/>
      <c r="AY48" s="161" t="n"/>
      <c r="AZ48" s="161" t="n"/>
    </row>
    <row r="49" ht="15" customHeight="1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61" t="n"/>
      <c r="U49" s="161" t="n"/>
      <c r="V49" s="161" t="n"/>
      <c r="W49" s="161" t="n"/>
      <c r="X49" s="161" t="n"/>
      <c r="Y49" s="161" t="n"/>
      <c r="Z49" s="161" t="n"/>
      <c r="AA49" s="161" t="n"/>
      <c r="AB49" s="161" t="n"/>
      <c r="AC49" s="161" t="n"/>
      <c r="AD49" s="161" t="n"/>
      <c r="AE49" s="161" t="n"/>
      <c r="AF49" s="161" t="n"/>
      <c r="AG49" s="161" t="n"/>
      <c r="AH49" s="161" t="n"/>
      <c r="AI49" s="161" t="n"/>
      <c r="AJ49" s="161" t="n"/>
      <c r="AK49" s="161" t="n"/>
      <c r="AL49" s="161" t="n"/>
      <c r="AM49" s="161" t="n"/>
      <c r="AN49" s="161" t="n"/>
      <c r="AO49" s="161" t="n"/>
      <c r="AP49" s="161" t="n"/>
      <c r="AQ49" s="161" t="n"/>
      <c r="AR49" s="161" t="n"/>
      <c r="AS49" s="161" t="n"/>
      <c r="AT49" s="161" t="n"/>
      <c r="AU49" s="161" t="n"/>
      <c r="AV49" s="161" t="n"/>
      <c r="AW49" s="161" t="n"/>
      <c r="AX49" s="161" t="n"/>
      <c r="AY49" s="161" t="n"/>
      <c r="AZ49" s="161" t="n"/>
    </row>
    <row r="50" ht="15" customHeight="1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  <c r="AB50" s="161" t="n"/>
      <c r="AC50" s="161" t="n"/>
      <c r="AD50" s="161" t="n"/>
      <c r="AE50" s="161" t="n"/>
      <c r="AF50" s="161" t="n"/>
      <c r="AG50" s="161" t="n"/>
      <c r="AH50" s="161" t="n"/>
      <c r="AI50" s="161" t="n"/>
      <c r="AJ50" s="161" t="n"/>
      <c r="AK50" s="161" t="n"/>
      <c r="AL50" s="161" t="n"/>
      <c r="AM50" s="161" t="n"/>
      <c r="AN50" s="161" t="n"/>
      <c r="AO50" s="161" t="n"/>
      <c r="AP50" s="161" t="n"/>
      <c r="AQ50" s="161" t="n"/>
      <c r="AR50" s="161" t="n"/>
      <c r="AS50" s="161" t="n"/>
      <c r="AT50" s="161" t="n"/>
      <c r="AU50" s="161" t="n"/>
      <c r="AV50" s="161" t="n"/>
      <c r="AW50" s="161" t="n"/>
      <c r="AX50" s="161" t="n"/>
      <c r="AY50" s="161" t="n"/>
      <c r="AZ50" s="161" t="n"/>
    </row>
    <row r="51" ht="15" customHeight="1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61" t="n"/>
      <c r="U51" s="161" t="n"/>
      <c r="V51" s="161" t="n"/>
      <c r="W51" s="161" t="n"/>
      <c r="X51" s="161" t="n"/>
      <c r="Y51" s="161" t="n"/>
      <c r="Z51" s="161" t="n"/>
      <c r="AA51" s="161" t="n"/>
      <c r="AB51" s="161" t="n"/>
      <c r="AC51" s="161" t="n"/>
      <c r="AD51" s="161" t="n"/>
      <c r="AE51" s="161" t="n"/>
      <c r="AF51" s="161" t="n"/>
      <c r="AG51" s="161" t="n"/>
      <c r="AH51" s="161" t="n"/>
      <c r="AI51" s="161" t="n"/>
      <c r="AJ51" s="161" t="n"/>
      <c r="AK51" s="161" t="n"/>
      <c r="AL51" s="161" t="n"/>
      <c r="AM51" s="161" t="n"/>
      <c r="AN51" s="161" t="n"/>
      <c r="AO51" s="161" t="n"/>
      <c r="AP51" s="161" t="n"/>
      <c r="AQ51" s="161" t="n"/>
      <c r="AR51" s="161" t="n"/>
      <c r="AS51" s="161" t="n"/>
      <c r="AT51" s="161" t="n"/>
      <c r="AU51" s="161" t="n"/>
      <c r="AV51" s="161" t="n"/>
      <c r="AW51" s="161" t="n"/>
      <c r="AX51" s="161" t="n"/>
      <c r="AY51" s="161" t="n"/>
      <c r="AZ51" s="161" t="n"/>
    </row>
    <row r="52" ht="15" customHeight="1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  <c r="S52" s="161" t="n"/>
      <c r="T52" s="161" t="n"/>
      <c r="U52" s="161" t="n"/>
      <c r="V52" s="161" t="n"/>
      <c r="W52" s="161" t="n"/>
      <c r="X52" s="161" t="n"/>
      <c r="Y52" s="161" t="n"/>
      <c r="Z52" s="161" t="n"/>
      <c r="AA52" s="161" t="n"/>
      <c r="AB52" s="161" t="n"/>
      <c r="AC52" s="161" t="n"/>
      <c r="AD52" s="161" t="n"/>
      <c r="AE52" s="161" t="n"/>
      <c r="AF52" s="161" t="n"/>
      <c r="AG52" s="161" t="n"/>
      <c r="AH52" s="161" t="n"/>
      <c r="AI52" s="161" t="n"/>
      <c r="AJ52" s="161" t="n"/>
      <c r="AK52" s="161" t="n"/>
      <c r="AL52" s="161" t="n"/>
      <c r="AM52" s="161" t="n"/>
      <c r="AN52" s="161" t="n"/>
      <c r="AO52" s="161" t="n"/>
      <c r="AP52" s="161" t="n"/>
      <c r="AQ52" s="161" t="n"/>
      <c r="AR52" s="161" t="n"/>
      <c r="AS52" s="161" t="n"/>
      <c r="AT52" s="161" t="n"/>
      <c r="AU52" s="161" t="n"/>
      <c r="AV52" s="161" t="n"/>
      <c r="AW52" s="161" t="n"/>
      <c r="AX52" s="161" t="n"/>
      <c r="AY52" s="161" t="n"/>
      <c r="AZ52" s="161" t="n"/>
    </row>
    <row r="53" ht="15" customHeight="1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  <c r="S53" s="161" t="n"/>
      <c r="T53" s="161" t="n"/>
      <c r="U53" s="161" t="n"/>
      <c r="V53" s="161" t="n"/>
      <c r="W53" s="161" t="n"/>
      <c r="X53" s="161" t="n"/>
      <c r="Y53" s="161" t="n"/>
      <c r="Z53" s="161" t="n"/>
      <c r="AA53" s="161" t="n"/>
      <c r="AB53" s="161" t="n"/>
      <c r="AC53" s="161" t="n"/>
      <c r="AD53" s="161" t="n"/>
      <c r="AE53" s="161" t="n"/>
      <c r="AF53" s="161" t="n"/>
      <c r="AG53" s="161" t="n"/>
      <c r="AH53" s="161" t="n"/>
      <c r="AI53" s="161" t="n"/>
      <c r="AJ53" s="161" t="n"/>
      <c r="AK53" s="161" t="n"/>
      <c r="AL53" s="161" t="n"/>
      <c r="AM53" s="161" t="n"/>
      <c r="AN53" s="161" t="n"/>
      <c r="AO53" s="161" t="n"/>
      <c r="AP53" s="161" t="n"/>
      <c r="AQ53" s="161" t="n"/>
      <c r="AR53" s="161" t="n"/>
      <c r="AS53" s="161" t="n"/>
      <c r="AT53" s="161" t="n"/>
      <c r="AU53" s="161" t="n"/>
      <c r="AV53" s="161" t="n"/>
      <c r="AW53" s="161" t="n"/>
      <c r="AX53" s="161" t="n"/>
      <c r="AY53" s="161" t="n"/>
      <c r="AZ53" s="161" t="n"/>
    </row>
    <row r="54" ht="15" customHeight="1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  <c r="S54" s="161" t="n"/>
      <c r="T54" s="161" t="n"/>
      <c r="U54" s="161" t="n"/>
      <c r="V54" s="161" t="n"/>
      <c r="W54" s="161" t="n"/>
      <c r="X54" s="161" t="n"/>
      <c r="Y54" s="161" t="n"/>
      <c r="Z54" s="161" t="n"/>
      <c r="AA54" s="161" t="n"/>
      <c r="AB54" s="161" t="n"/>
      <c r="AC54" s="161" t="n"/>
      <c r="AD54" s="161" t="n"/>
      <c r="AE54" s="161" t="n"/>
      <c r="AF54" s="161" t="n"/>
      <c r="AG54" s="161" t="n"/>
      <c r="AH54" s="161" t="n"/>
      <c r="AI54" s="161" t="n"/>
      <c r="AJ54" s="161" t="n"/>
      <c r="AK54" s="161" t="n"/>
      <c r="AL54" s="161" t="n"/>
      <c r="AM54" s="161" t="n"/>
      <c r="AN54" s="161" t="n"/>
      <c r="AO54" s="161" t="n"/>
      <c r="AP54" s="161" t="n"/>
      <c r="AQ54" s="161" t="n"/>
      <c r="AR54" s="161" t="n"/>
      <c r="AS54" s="161" t="n"/>
      <c r="AT54" s="161" t="n"/>
      <c r="AU54" s="161" t="n"/>
      <c r="AV54" s="161" t="n"/>
      <c r="AW54" s="161" t="n"/>
      <c r="AX54" s="161" t="n"/>
      <c r="AY54" s="161" t="n"/>
      <c r="AZ54" s="161" t="n"/>
    </row>
    <row r="55" ht="15" customHeight="1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  <c r="S55" s="161" t="n"/>
      <c r="T55" s="161" t="n"/>
      <c r="U55" s="161" t="n"/>
      <c r="V55" s="161" t="n"/>
      <c r="W55" s="161" t="n"/>
      <c r="X55" s="161" t="n"/>
      <c r="Y55" s="161" t="n"/>
      <c r="Z55" s="161" t="n"/>
      <c r="AA55" s="161" t="n"/>
      <c r="AB55" s="161" t="n"/>
      <c r="AC55" s="161" t="n"/>
      <c r="AD55" s="161" t="n"/>
      <c r="AE55" s="161" t="n"/>
      <c r="AF55" s="161" t="n"/>
      <c r="AG55" s="161" t="n"/>
      <c r="AH55" s="161" t="n"/>
      <c r="AI55" s="161" t="n"/>
      <c r="AJ55" s="161" t="n"/>
      <c r="AK55" s="161" t="n"/>
      <c r="AL55" s="161" t="n"/>
      <c r="AM55" s="161" t="n"/>
      <c r="AN55" s="161" t="n"/>
      <c r="AO55" s="161" t="n"/>
      <c r="AP55" s="161" t="n"/>
      <c r="AQ55" s="161" t="n"/>
      <c r="AR55" s="161" t="n"/>
      <c r="AS55" s="161" t="n"/>
      <c r="AT55" s="161" t="n"/>
      <c r="AU55" s="161" t="n"/>
      <c r="AV55" s="161" t="n"/>
      <c r="AW55" s="161" t="n"/>
      <c r="AX55" s="161" t="n"/>
      <c r="AY55" s="161" t="n"/>
      <c r="AZ55" s="161" t="n"/>
    </row>
    <row r="56" ht="15" customHeight="1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  <c r="S56" s="161" t="n"/>
      <c r="T56" s="161" t="n"/>
      <c r="U56" s="161" t="n"/>
      <c r="V56" s="161" t="n"/>
      <c r="W56" s="161" t="n"/>
      <c r="X56" s="161" t="n"/>
      <c r="Y56" s="161" t="n"/>
      <c r="Z56" s="161" t="n"/>
      <c r="AA56" s="161" t="n"/>
      <c r="AB56" s="161" t="n"/>
      <c r="AC56" s="161" t="n"/>
      <c r="AD56" s="161" t="n"/>
      <c r="AE56" s="161" t="n"/>
      <c r="AF56" s="161" t="n"/>
      <c r="AG56" s="161" t="n"/>
      <c r="AH56" s="161" t="n"/>
      <c r="AI56" s="161" t="n"/>
      <c r="AJ56" s="161" t="n"/>
      <c r="AK56" s="161" t="n"/>
      <c r="AL56" s="161" t="n"/>
      <c r="AM56" s="161" t="n"/>
      <c r="AN56" s="161" t="n"/>
      <c r="AO56" s="161" t="n"/>
      <c r="AP56" s="161" t="n"/>
      <c r="AQ56" s="161" t="n"/>
      <c r="AR56" s="161" t="n"/>
      <c r="AS56" s="161" t="n"/>
      <c r="AT56" s="161" t="n"/>
      <c r="AU56" s="161" t="n"/>
      <c r="AV56" s="161" t="n"/>
      <c r="AW56" s="161" t="n"/>
      <c r="AX56" s="161" t="n"/>
      <c r="AY56" s="161" t="n"/>
      <c r="AZ56" s="161" t="n"/>
    </row>
    <row r="57" ht="15" customHeight="1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  <c r="AB57" s="161" t="n"/>
      <c r="AC57" s="161" t="n"/>
      <c r="AD57" s="161" t="n"/>
      <c r="AE57" s="161" t="n"/>
      <c r="AF57" s="161" t="n"/>
      <c r="AG57" s="161" t="n"/>
      <c r="AH57" s="161" t="n"/>
      <c r="AI57" s="161" t="n"/>
      <c r="AJ57" s="161" t="n"/>
      <c r="AK57" s="161" t="n"/>
      <c r="AL57" s="161" t="n"/>
      <c r="AM57" s="161" t="n"/>
      <c r="AN57" s="161" t="n"/>
      <c r="AO57" s="161" t="n"/>
      <c r="AP57" s="161" t="n"/>
      <c r="AQ57" s="161" t="n"/>
      <c r="AR57" s="161" t="n"/>
      <c r="AS57" s="161" t="n"/>
      <c r="AT57" s="161" t="n"/>
      <c r="AU57" s="161" t="n"/>
      <c r="AV57" s="161" t="n"/>
      <c r="AW57" s="161" t="n"/>
      <c r="AX57" s="161" t="n"/>
      <c r="AY57" s="161" t="n"/>
      <c r="AZ57" s="161" t="n"/>
    </row>
    <row r="58" ht="15" customHeight="1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  <c r="S58" s="161" t="n"/>
      <c r="T58" s="161" t="n"/>
      <c r="U58" s="161" t="n"/>
      <c r="V58" s="161" t="n"/>
      <c r="W58" s="161" t="n"/>
      <c r="X58" s="161" t="n"/>
      <c r="Y58" s="161" t="n"/>
      <c r="Z58" s="161" t="n"/>
      <c r="AA58" s="161" t="n"/>
      <c r="AB58" s="161" t="n"/>
      <c r="AC58" s="161" t="n"/>
      <c r="AD58" s="161" t="n"/>
      <c r="AE58" s="161" t="n"/>
      <c r="AF58" s="161" t="n"/>
      <c r="AG58" s="161" t="n"/>
      <c r="AH58" s="161" t="n"/>
      <c r="AI58" s="161" t="n"/>
      <c r="AJ58" s="161" t="n"/>
      <c r="AK58" s="161" t="n"/>
      <c r="AL58" s="161" t="n"/>
      <c r="AM58" s="161" t="n"/>
      <c r="AN58" s="161" t="n"/>
      <c r="AO58" s="161" t="n"/>
      <c r="AP58" s="161" t="n"/>
      <c r="AQ58" s="161" t="n"/>
      <c r="AR58" s="161" t="n"/>
      <c r="AS58" s="161" t="n"/>
      <c r="AT58" s="161" t="n"/>
      <c r="AU58" s="161" t="n"/>
      <c r="AV58" s="161" t="n"/>
      <c r="AW58" s="161" t="n"/>
      <c r="AX58" s="161" t="n"/>
      <c r="AY58" s="161" t="n"/>
      <c r="AZ58" s="161" t="n"/>
    </row>
    <row r="59" ht="15" customHeight="1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  <c r="S59" s="161" t="n"/>
      <c r="T59" s="161" t="n"/>
      <c r="U59" s="161" t="n"/>
      <c r="V59" s="161" t="n"/>
      <c r="W59" s="161" t="n"/>
      <c r="X59" s="161" t="n"/>
      <c r="Y59" s="161" t="n"/>
      <c r="Z59" s="161" t="n"/>
      <c r="AA59" s="161" t="n"/>
      <c r="AB59" s="161" t="n"/>
      <c r="AC59" s="161" t="n"/>
      <c r="AD59" s="161" t="n"/>
      <c r="AE59" s="161" t="n"/>
      <c r="AF59" s="161" t="n"/>
      <c r="AG59" s="161" t="n"/>
      <c r="AH59" s="161" t="n"/>
      <c r="AI59" s="161" t="n"/>
      <c r="AJ59" s="161" t="n"/>
      <c r="AK59" s="161" t="n"/>
      <c r="AL59" s="161" t="n"/>
      <c r="AM59" s="161" t="n"/>
      <c r="AN59" s="161" t="n"/>
      <c r="AO59" s="161" t="n"/>
      <c r="AP59" s="161" t="n"/>
      <c r="AQ59" s="161" t="n"/>
      <c r="AR59" s="161" t="n"/>
      <c r="AS59" s="161" t="n"/>
      <c r="AT59" s="161" t="n"/>
      <c r="AU59" s="161" t="n"/>
      <c r="AV59" s="161" t="n"/>
      <c r="AW59" s="161" t="n"/>
      <c r="AX59" s="161" t="n"/>
      <c r="AY59" s="161" t="n"/>
      <c r="AZ59" s="161" t="n"/>
    </row>
    <row r="60" ht="15" customHeight="1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  <c r="S60" s="161" t="n"/>
      <c r="T60" s="161" t="n"/>
      <c r="U60" s="161" t="n"/>
      <c r="V60" s="161" t="n"/>
      <c r="W60" s="161" t="n"/>
      <c r="X60" s="161" t="n"/>
      <c r="Y60" s="161" t="n"/>
      <c r="Z60" s="161" t="n"/>
      <c r="AA60" s="161" t="n"/>
      <c r="AB60" s="161" t="n"/>
      <c r="AC60" s="161" t="n"/>
      <c r="AD60" s="161" t="n"/>
      <c r="AE60" s="161" t="n"/>
      <c r="AF60" s="161" t="n"/>
      <c r="AG60" s="161" t="n"/>
      <c r="AH60" s="161" t="n"/>
      <c r="AI60" s="161" t="n"/>
      <c r="AJ60" s="161" t="n"/>
      <c r="AK60" s="161" t="n"/>
      <c r="AL60" s="161" t="n"/>
      <c r="AM60" s="161" t="n"/>
      <c r="AN60" s="161" t="n"/>
      <c r="AO60" s="161" t="n"/>
      <c r="AP60" s="161" t="n"/>
      <c r="AQ60" s="161" t="n"/>
      <c r="AR60" s="161" t="n"/>
      <c r="AS60" s="161" t="n"/>
      <c r="AT60" s="161" t="n"/>
      <c r="AU60" s="161" t="n"/>
      <c r="AV60" s="161" t="n"/>
      <c r="AW60" s="161" t="n"/>
      <c r="AX60" s="161" t="n"/>
      <c r="AY60" s="161" t="n"/>
      <c r="AZ60" s="161" t="n"/>
    </row>
    <row r="61" ht="15" customHeight="1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  <c r="S61" s="161" t="n"/>
      <c r="T61" s="161" t="n"/>
      <c r="U61" s="161" t="n"/>
      <c r="V61" s="161" t="n"/>
      <c r="W61" s="161" t="n"/>
      <c r="X61" s="161" t="n"/>
      <c r="Y61" s="161" t="n"/>
      <c r="Z61" s="161" t="n"/>
      <c r="AA61" s="161" t="n"/>
      <c r="AB61" s="161" t="n"/>
      <c r="AC61" s="161" t="n"/>
      <c r="AD61" s="161" t="n"/>
      <c r="AE61" s="161" t="n"/>
      <c r="AF61" s="161" t="n"/>
      <c r="AG61" s="161" t="n"/>
      <c r="AH61" s="161" t="n"/>
      <c r="AI61" s="161" t="n"/>
      <c r="AJ61" s="161" t="n"/>
      <c r="AK61" s="161" t="n"/>
      <c r="AL61" s="161" t="n"/>
      <c r="AM61" s="161" t="n"/>
      <c r="AN61" s="161" t="n"/>
      <c r="AO61" s="161" t="n"/>
      <c r="AP61" s="161" t="n"/>
      <c r="AQ61" s="161" t="n"/>
      <c r="AR61" s="161" t="n"/>
      <c r="AS61" s="161" t="n"/>
      <c r="AT61" s="161" t="n"/>
      <c r="AU61" s="161" t="n"/>
      <c r="AV61" s="161" t="n"/>
      <c r="AW61" s="161" t="n"/>
      <c r="AX61" s="161" t="n"/>
      <c r="AY61" s="161" t="n"/>
      <c r="AZ61" s="161" t="n"/>
    </row>
    <row r="62" ht="15" customHeight="1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  <c r="S62" s="161" t="n"/>
      <c r="T62" s="161" t="n"/>
      <c r="U62" s="161" t="n"/>
      <c r="V62" s="161" t="n"/>
      <c r="W62" s="161" t="n"/>
      <c r="X62" s="161" t="n"/>
      <c r="Y62" s="161" t="n"/>
      <c r="Z62" s="161" t="n"/>
      <c r="AA62" s="161" t="n"/>
      <c r="AB62" s="161" t="n"/>
      <c r="AC62" s="161" t="n"/>
      <c r="AD62" s="161" t="n"/>
      <c r="AE62" s="161" t="n"/>
      <c r="AF62" s="161" t="n"/>
      <c r="AG62" s="161" t="n"/>
      <c r="AH62" s="161" t="n"/>
      <c r="AI62" s="161" t="n"/>
      <c r="AJ62" s="161" t="n"/>
      <c r="AK62" s="161" t="n"/>
      <c r="AL62" s="161" t="n"/>
      <c r="AM62" s="161" t="n"/>
      <c r="AN62" s="161" t="n"/>
      <c r="AO62" s="161" t="n"/>
      <c r="AP62" s="161" t="n"/>
      <c r="AQ62" s="161" t="n"/>
      <c r="AR62" s="161" t="n"/>
      <c r="AS62" s="161" t="n"/>
      <c r="AT62" s="161" t="n"/>
      <c r="AU62" s="161" t="n"/>
      <c r="AV62" s="161" t="n"/>
      <c r="AW62" s="161" t="n"/>
      <c r="AX62" s="161" t="n"/>
      <c r="AY62" s="161" t="n"/>
      <c r="AZ62" s="161" t="n"/>
    </row>
    <row r="63" ht="15" customHeight="1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  <c r="S63" s="161" t="n"/>
      <c r="T63" s="161" t="n"/>
      <c r="U63" s="161" t="n"/>
      <c r="V63" s="161" t="n"/>
      <c r="W63" s="161" t="n"/>
      <c r="X63" s="161" t="n"/>
      <c r="Y63" s="161" t="n"/>
      <c r="Z63" s="161" t="n"/>
      <c r="AA63" s="161" t="n"/>
      <c r="AB63" s="161" t="n"/>
      <c r="AC63" s="161" t="n"/>
      <c r="AD63" s="161" t="n"/>
      <c r="AE63" s="161" t="n"/>
      <c r="AF63" s="161" t="n"/>
      <c r="AG63" s="161" t="n"/>
      <c r="AH63" s="161" t="n"/>
      <c r="AI63" s="161" t="n"/>
      <c r="AJ63" s="161" t="n"/>
      <c r="AK63" s="161" t="n"/>
      <c r="AL63" s="161" t="n"/>
      <c r="AM63" s="161" t="n"/>
      <c r="AN63" s="161" t="n"/>
      <c r="AO63" s="161" t="n"/>
      <c r="AP63" s="161" t="n"/>
      <c r="AQ63" s="161" t="n"/>
      <c r="AR63" s="161" t="n"/>
      <c r="AS63" s="161" t="n"/>
      <c r="AT63" s="161" t="n"/>
      <c r="AU63" s="161" t="n"/>
      <c r="AV63" s="161" t="n"/>
      <c r="AW63" s="161" t="n"/>
      <c r="AX63" s="161" t="n"/>
      <c r="AY63" s="161" t="n"/>
      <c r="AZ63" s="161" t="n"/>
    </row>
    <row r="64" ht="15" customHeight="1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  <c r="AB64" s="161" t="n"/>
      <c r="AC64" s="161" t="n"/>
      <c r="AD64" s="161" t="n"/>
      <c r="AE64" s="161" t="n"/>
      <c r="AF64" s="161" t="n"/>
      <c r="AG64" s="161" t="n"/>
      <c r="AH64" s="161" t="n"/>
      <c r="AI64" s="161" t="n"/>
      <c r="AJ64" s="161" t="n"/>
      <c r="AK64" s="161" t="n"/>
      <c r="AL64" s="161" t="n"/>
      <c r="AM64" s="161" t="n"/>
      <c r="AN64" s="161" t="n"/>
      <c r="AO64" s="161" t="n"/>
      <c r="AP64" s="161" t="n"/>
      <c r="AQ64" s="161" t="n"/>
      <c r="AR64" s="161" t="n"/>
      <c r="AS64" s="161" t="n"/>
      <c r="AT64" s="161" t="n"/>
      <c r="AU64" s="161" t="n"/>
      <c r="AV64" s="161" t="n"/>
      <c r="AW64" s="161" t="n"/>
      <c r="AX64" s="161" t="n"/>
      <c r="AY64" s="161" t="n"/>
      <c r="AZ64" s="161" t="n"/>
    </row>
    <row r="65" ht="15" customHeight="1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  <c r="S65" s="161" t="n"/>
      <c r="T65" s="161" t="n"/>
      <c r="U65" s="161" t="n"/>
      <c r="V65" s="161" t="n"/>
      <c r="W65" s="161" t="n"/>
      <c r="X65" s="161" t="n"/>
      <c r="Y65" s="161" t="n"/>
      <c r="Z65" s="161" t="n"/>
      <c r="AA65" s="161" t="n"/>
      <c r="AB65" s="161" t="n"/>
      <c r="AC65" s="161" t="n"/>
      <c r="AD65" s="161" t="n"/>
      <c r="AE65" s="161" t="n"/>
      <c r="AF65" s="161" t="n"/>
      <c r="AG65" s="161" t="n"/>
      <c r="AH65" s="161" t="n"/>
      <c r="AI65" s="161" t="n"/>
      <c r="AJ65" s="161" t="n"/>
      <c r="AK65" s="161" t="n"/>
      <c r="AL65" s="161" t="n"/>
      <c r="AM65" s="161" t="n"/>
      <c r="AN65" s="161" t="n"/>
      <c r="AO65" s="161" t="n"/>
      <c r="AP65" s="161" t="n"/>
      <c r="AQ65" s="161" t="n"/>
      <c r="AR65" s="161" t="n"/>
      <c r="AS65" s="161" t="n"/>
      <c r="AT65" s="161" t="n"/>
      <c r="AU65" s="161" t="n"/>
      <c r="AV65" s="161" t="n"/>
      <c r="AW65" s="161" t="n"/>
      <c r="AX65" s="161" t="n"/>
      <c r="AY65" s="161" t="n"/>
      <c r="AZ65" s="161" t="n"/>
    </row>
    <row r="66" ht="15" customHeight="1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  <c r="S66" s="161" t="n"/>
      <c r="T66" s="161" t="n"/>
      <c r="U66" s="161" t="n"/>
      <c r="V66" s="161" t="n"/>
      <c r="W66" s="161" t="n"/>
      <c r="X66" s="161" t="n"/>
      <c r="Y66" s="161" t="n"/>
      <c r="Z66" s="161" t="n"/>
      <c r="AA66" s="161" t="n"/>
      <c r="AB66" s="161" t="n"/>
      <c r="AC66" s="161" t="n"/>
      <c r="AD66" s="161" t="n"/>
      <c r="AE66" s="161" t="n"/>
      <c r="AF66" s="161" t="n"/>
      <c r="AG66" s="161" t="n"/>
      <c r="AH66" s="161" t="n"/>
      <c r="AI66" s="161" t="n"/>
      <c r="AJ66" s="161" t="n"/>
      <c r="AK66" s="161" t="n"/>
      <c r="AL66" s="161" t="n"/>
      <c r="AM66" s="161" t="n"/>
      <c r="AN66" s="161" t="n"/>
      <c r="AO66" s="161" t="n"/>
      <c r="AP66" s="161" t="n"/>
      <c r="AQ66" s="161" t="n"/>
      <c r="AR66" s="161" t="n"/>
      <c r="AS66" s="161" t="n"/>
      <c r="AT66" s="161" t="n"/>
      <c r="AU66" s="161" t="n"/>
      <c r="AV66" s="161" t="n"/>
      <c r="AW66" s="161" t="n"/>
      <c r="AX66" s="161" t="n"/>
      <c r="AY66" s="161" t="n"/>
      <c r="AZ66" s="161" t="n"/>
    </row>
    <row r="67" ht="15" customHeight="1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  <c r="S67" s="161" t="n"/>
      <c r="T67" s="161" t="n"/>
      <c r="U67" s="161" t="n"/>
      <c r="V67" s="161" t="n"/>
      <c r="W67" s="161" t="n"/>
      <c r="X67" s="161" t="n"/>
      <c r="Y67" s="161" t="n"/>
      <c r="Z67" s="161" t="n"/>
      <c r="AA67" s="161" t="n"/>
      <c r="AB67" s="161" t="n"/>
      <c r="AC67" s="161" t="n"/>
      <c r="AD67" s="161" t="n"/>
      <c r="AE67" s="161" t="n"/>
      <c r="AF67" s="161" t="n"/>
      <c r="AG67" s="161" t="n"/>
      <c r="AH67" s="161" t="n"/>
      <c r="AI67" s="161" t="n"/>
      <c r="AJ67" s="161" t="n"/>
      <c r="AK67" s="161" t="n"/>
      <c r="AL67" s="161" t="n"/>
      <c r="AM67" s="161" t="n"/>
      <c r="AN67" s="161" t="n"/>
      <c r="AO67" s="161" t="n"/>
      <c r="AP67" s="161" t="n"/>
      <c r="AQ67" s="161" t="n"/>
      <c r="AR67" s="161" t="n"/>
      <c r="AS67" s="161" t="n"/>
      <c r="AT67" s="161" t="n"/>
      <c r="AU67" s="161" t="n"/>
      <c r="AV67" s="161" t="n"/>
      <c r="AW67" s="161" t="n"/>
      <c r="AX67" s="161" t="n"/>
      <c r="AY67" s="161" t="n"/>
      <c r="AZ67" s="161" t="n"/>
    </row>
    <row r="68" ht="15" customHeight="1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  <c r="S68" s="161" t="n"/>
      <c r="T68" s="161" t="n"/>
      <c r="U68" s="161" t="n"/>
      <c r="V68" s="161" t="n"/>
      <c r="W68" s="161" t="n"/>
      <c r="X68" s="161" t="n"/>
      <c r="Y68" s="161" t="n"/>
      <c r="Z68" s="161" t="n"/>
      <c r="AA68" s="161" t="n"/>
      <c r="AB68" s="161" t="n"/>
      <c r="AC68" s="161" t="n"/>
      <c r="AD68" s="161" t="n"/>
      <c r="AE68" s="161" t="n"/>
      <c r="AF68" s="161" t="n"/>
      <c r="AG68" s="161" t="n"/>
      <c r="AH68" s="161" t="n"/>
      <c r="AI68" s="161" t="n"/>
      <c r="AJ68" s="161" t="n"/>
      <c r="AK68" s="161" t="n"/>
      <c r="AL68" s="161" t="n"/>
      <c r="AM68" s="161" t="n"/>
      <c r="AN68" s="161" t="n"/>
      <c r="AO68" s="161" t="n"/>
      <c r="AP68" s="161" t="n"/>
      <c r="AQ68" s="161" t="n"/>
      <c r="AR68" s="161" t="n"/>
      <c r="AS68" s="161" t="n"/>
      <c r="AT68" s="161" t="n"/>
      <c r="AU68" s="161" t="n"/>
      <c r="AV68" s="161" t="n"/>
      <c r="AW68" s="161" t="n"/>
      <c r="AX68" s="161" t="n"/>
      <c r="AY68" s="161" t="n"/>
      <c r="AZ68" s="161" t="n"/>
    </row>
    <row r="69" ht="15" customHeight="1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  <c r="S69" s="161" t="n"/>
      <c r="T69" s="161" t="n"/>
      <c r="U69" s="161" t="n"/>
      <c r="V69" s="161" t="n"/>
      <c r="W69" s="161" t="n"/>
      <c r="X69" s="161" t="n"/>
      <c r="Y69" s="161" t="n"/>
      <c r="Z69" s="161" t="n"/>
      <c r="AA69" s="161" t="n"/>
      <c r="AB69" s="161" t="n"/>
      <c r="AC69" s="161" t="n"/>
      <c r="AD69" s="161" t="n"/>
      <c r="AE69" s="161" t="n"/>
      <c r="AF69" s="161" t="n"/>
      <c r="AG69" s="161" t="n"/>
      <c r="AH69" s="161" t="n"/>
      <c r="AI69" s="161" t="n"/>
      <c r="AJ69" s="161" t="n"/>
      <c r="AK69" s="161" t="n"/>
      <c r="AL69" s="161" t="n"/>
      <c r="AM69" s="161" t="n"/>
      <c r="AN69" s="161" t="n"/>
      <c r="AO69" s="161" t="n"/>
      <c r="AP69" s="161" t="n"/>
      <c r="AQ69" s="161" t="n"/>
      <c r="AR69" s="161" t="n"/>
      <c r="AS69" s="161" t="n"/>
      <c r="AT69" s="161" t="n"/>
      <c r="AU69" s="161" t="n"/>
      <c r="AV69" s="161" t="n"/>
      <c r="AW69" s="161" t="n"/>
      <c r="AX69" s="161" t="n"/>
      <c r="AY69" s="161" t="n"/>
      <c r="AZ69" s="161" t="n"/>
    </row>
    <row r="70" ht="15" customHeight="1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  <c r="S70" s="161" t="n"/>
      <c r="T70" s="161" t="n"/>
      <c r="U70" s="161" t="n"/>
      <c r="V70" s="161" t="n"/>
      <c r="W70" s="161" t="n"/>
      <c r="X70" s="161" t="n"/>
      <c r="Y70" s="161" t="n"/>
      <c r="Z70" s="161" t="n"/>
      <c r="AA70" s="161" t="n"/>
      <c r="AB70" s="161" t="n"/>
      <c r="AC70" s="161" t="n"/>
      <c r="AD70" s="161" t="n"/>
      <c r="AE70" s="161" t="n"/>
      <c r="AF70" s="161" t="n"/>
      <c r="AG70" s="161" t="n"/>
      <c r="AH70" s="161" t="n"/>
      <c r="AI70" s="161" t="n"/>
      <c r="AJ70" s="161" t="n"/>
      <c r="AK70" s="161" t="n"/>
      <c r="AL70" s="161" t="n"/>
      <c r="AM70" s="161" t="n"/>
      <c r="AN70" s="161" t="n"/>
      <c r="AO70" s="161" t="n"/>
      <c r="AP70" s="161" t="n"/>
      <c r="AQ70" s="161" t="n"/>
      <c r="AR70" s="161" t="n"/>
      <c r="AS70" s="161" t="n"/>
      <c r="AT70" s="161" t="n"/>
      <c r="AU70" s="161" t="n"/>
      <c r="AV70" s="161" t="n"/>
      <c r="AW70" s="161" t="n"/>
      <c r="AX70" s="161" t="n"/>
      <c r="AY70" s="161" t="n"/>
      <c r="AZ70" s="161" t="n"/>
    </row>
    <row r="71" ht="15" customHeight="1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  <c r="AB71" s="161" t="n"/>
      <c r="AC71" s="161" t="n"/>
      <c r="AD71" s="161" t="n"/>
      <c r="AE71" s="161" t="n"/>
      <c r="AF71" s="161" t="n"/>
      <c r="AG71" s="161" t="n"/>
      <c r="AH71" s="161" t="n"/>
      <c r="AI71" s="161" t="n"/>
      <c r="AJ71" s="161" t="n"/>
      <c r="AK71" s="161" t="n"/>
      <c r="AL71" s="161" t="n"/>
      <c r="AM71" s="161" t="n"/>
      <c r="AN71" s="161" t="n"/>
      <c r="AO71" s="161" t="n"/>
      <c r="AP71" s="161" t="n"/>
      <c r="AQ71" s="161" t="n"/>
      <c r="AR71" s="161" t="n"/>
      <c r="AS71" s="161" t="n"/>
      <c r="AT71" s="161" t="n"/>
      <c r="AU71" s="161" t="n"/>
      <c r="AV71" s="161" t="n"/>
      <c r="AW71" s="161" t="n"/>
      <c r="AX71" s="161" t="n"/>
      <c r="AY71" s="161" t="n"/>
      <c r="AZ71" s="161" t="n"/>
    </row>
    <row r="72" ht="15" customHeight="1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  <c r="S72" s="161" t="n"/>
      <c r="T72" s="161" t="n"/>
      <c r="U72" s="161" t="n"/>
      <c r="V72" s="161" t="n"/>
      <c r="W72" s="161" t="n"/>
      <c r="X72" s="161" t="n"/>
      <c r="Y72" s="161" t="n"/>
      <c r="Z72" s="161" t="n"/>
      <c r="AA72" s="161" t="n"/>
      <c r="AB72" s="161" t="n"/>
      <c r="AC72" s="161" t="n"/>
      <c r="AD72" s="161" t="n"/>
      <c r="AE72" s="161" t="n"/>
      <c r="AF72" s="161" t="n"/>
      <c r="AG72" s="161" t="n"/>
      <c r="AH72" s="161" t="n"/>
      <c r="AI72" s="161" t="n"/>
      <c r="AJ72" s="161" t="n"/>
      <c r="AK72" s="161" t="n"/>
      <c r="AL72" s="161" t="n"/>
      <c r="AM72" s="161" t="n"/>
      <c r="AN72" s="161" t="n"/>
      <c r="AO72" s="161" t="n"/>
      <c r="AP72" s="161" t="n"/>
      <c r="AQ72" s="161" t="n"/>
      <c r="AR72" s="161" t="n"/>
      <c r="AS72" s="161" t="n"/>
      <c r="AT72" s="161" t="n"/>
      <c r="AU72" s="161" t="n"/>
      <c r="AV72" s="161" t="n"/>
      <c r="AW72" s="161" t="n"/>
      <c r="AX72" s="161" t="n"/>
      <c r="AY72" s="161" t="n"/>
      <c r="AZ72" s="161" t="n"/>
    </row>
    <row r="73" ht="15" customHeight="1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  <c r="S73" s="161" t="n"/>
      <c r="T73" s="161" t="n"/>
      <c r="U73" s="161" t="n"/>
      <c r="V73" s="161" t="n"/>
      <c r="W73" s="161" t="n"/>
      <c r="X73" s="161" t="n"/>
      <c r="Y73" s="161" t="n"/>
      <c r="Z73" s="161" t="n"/>
      <c r="AA73" s="161" t="n"/>
      <c r="AB73" s="161" t="n"/>
      <c r="AC73" s="161" t="n"/>
      <c r="AD73" s="161" t="n"/>
      <c r="AE73" s="161" t="n"/>
      <c r="AF73" s="161" t="n"/>
      <c r="AG73" s="161" t="n"/>
      <c r="AH73" s="161" t="n"/>
      <c r="AI73" s="161" t="n"/>
      <c r="AJ73" s="161" t="n"/>
      <c r="AK73" s="161" t="n"/>
      <c r="AL73" s="161" t="n"/>
      <c r="AM73" s="161" t="n"/>
      <c r="AN73" s="161" t="n"/>
      <c r="AO73" s="161" t="n"/>
      <c r="AP73" s="161" t="n"/>
      <c r="AQ73" s="161" t="n"/>
      <c r="AR73" s="161" t="n"/>
      <c r="AS73" s="161" t="n"/>
      <c r="AT73" s="161" t="n"/>
      <c r="AU73" s="161" t="n"/>
      <c r="AV73" s="161" t="n"/>
      <c r="AW73" s="161" t="n"/>
      <c r="AX73" s="161" t="n"/>
      <c r="AY73" s="161" t="n"/>
      <c r="AZ73" s="161" t="n"/>
    </row>
    <row r="74" ht="15" customHeight="1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  <c r="S74" s="161" t="n"/>
      <c r="T74" s="161" t="n"/>
      <c r="U74" s="161" t="n"/>
      <c r="V74" s="161" t="n"/>
      <c r="W74" s="161" t="n"/>
      <c r="X74" s="161" t="n"/>
      <c r="Y74" s="161" t="n"/>
      <c r="Z74" s="161" t="n"/>
      <c r="AA74" s="161" t="n"/>
      <c r="AB74" s="161" t="n"/>
      <c r="AC74" s="161" t="n"/>
      <c r="AD74" s="161" t="n"/>
      <c r="AE74" s="161" t="n"/>
      <c r="AF74" s="161" t="n"/>
      <c r="AG74" s="161" t="n"/>
      <c r="AH74" s="161" t="n"/>
      <c r="AI74" s="161" t="n"/>
      <c r="AJ74" s="161" t="n"/>
      <c r="AK74" s="161" t="n"/>
      <c r="AL74" s="161" t="n"/>
      <c r="AM74" s="161" t="n"/>
      <c r="AN74" s="161" t="n"/>
      <c r="AO74" s="161" t="n"/>
      <c r="AP74" s="161" t="n"/>
      <c r="AQ74" s="161" t="n"/>
      <c r="AR74" s="161" t="n"/>
      <c r="AS74" s="161" t="n"/>
      <c r="AT74" s="161" t="n"/>
      <c r="AU74" s="161" t="n"/>
      <c r="AV74" s="161" t="n"/>
      <c r="AW74" s="161" t="n"/>
      <c r="AX74" s="161" t="n"/>
      <c r="AY74" s="161" t="n"/>
      <c r="AZ74" s="161" t="n"/>
    </row>
    <row r="75" ht="15" customHeight="1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  <c r="S75" s="161" t="n"/>
      <c r="T75" s="161" t="n"/>
      <c r="U75" s="161" t="n"/>
      <c r="V75" s="161" t="n"/>
      <c r="W75" s="161" t="n"/>
      <c r="X75" s="161" t="n"/>
      <c r="Y75" s="161" t="n"/>
      <c r="Z75" s="161" t="n"/>
      <c r="AA75" s="161" t="n"/>
      <c r="AB75" s="161" t="n"/>
      <c r="AC75" s="161" t="n"/>
      <c r="AD75" s="161" t="n"/>
      <c r="AE75" s="161" t="n"/>
      <c r="AF75" s="161" t="n"/>
      <c r="AG75" s="161" t="n"/>
      <c r="AH75" s="161" t="n"/>
      <c r="AI75" s="161" t="n"/>
      <c r="AJ75" s="161" t="n"/>
      <c r="AK75" s="161" t="n"/>
      <c r="AL75" s="161" t="n"/>
      <c r="AM75" s="161" t="n"/>
      <c r="AN75" s="161" t="n"/>
      <c r="AO75" s="161" t="n"/>
      <c r="AP75" s="161" t="n"/>
      <c r="AQ75" s="161" t="n"/>
      <c r="AR75" s="161" t="n"/>
      <c r="AS75" s="161" t="n"/>
      <c r="AT75" s="161" t="n"/>
      <c r="AU75" s="161" t="n"/>
      <c r="AV75" s="161" t="n"/>
      <c r="AW75" s="161" t="n"/>
      <c r="AX75" s="161" t="n"/>
      <c r="AY75" s="161" t="n"/>
      <c r="AZ75" s="161" t="n"/>
    </row>
    <row r="76" ht="15" customHeight="1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  <c r="S76" s="161" t="n"/>
      <c r="T76" s="161" t="n"/>
      <c r="U76" s="161" t="n"/>
      <c r="V76" s="161" t="n"/>
      <c r="W76" s="161" t="n"/>
      <c r="X76" s="161" t="n"/>
      <c r="Y76" s="161" t="n"/>
      <c r="Z76" s="161" t="n"/>
      <c r="AA76" s="161" t="n"/>
      <c r="AB76" s="161" t="n"/>
      <c r="AC76" s="161" t="n"/>
      <c r="AD76" s="161" t="n"/>
      <c r="AE76" s="161" t="n"/>
      <c r="AF76" s="161" t="n"/>
      <c r="AG76" s="161" t="n"/>
      <c r="AH76" s="161" t="n"/>
      <c r="AI76" s="161" t="n"/>
      <c r="AJ76" s="161" t="n"/>
      <c r="AK76" s="161" t="n"/>
      <c r="AL76" s="161" t="n"/>
      <c r="AM76" s="161" t="n"/>
      <c r="AN76" s="161" t="n"/>
      <c r="AO76" s="161" t="n"/>
      <c r="AP76" s="161" t="n"/>
      <c r="AQ76" s="161" t="n"/>
      <c r="AR76" s="161" t="n"/>
      <c r="AS76" s="161" t="n"/>
      <c r="AT76" s="161" t="n"/>
      <c r="AU76" s="161" t="n"/>
      <c r="AV76" s="161" t="n"/>
      <c r="AW76" s="161" t="n"/>
      <c r="AX76" s="161" t="n"/>
      <c r="AY76" s="161" t="n"/>
      <c r="AZ76" s="161" t="n"/>
    </row>
    <row r="77" ht="15" customHeight="1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  <c r="S77" s="161" t="n"/>
      <c r="T77" s="161" t="n"/>
      <c r="U77" s="161" t="n"/>
      <c r="V77" s="161" t="n"/>
      <c r="W77" s="161" t="n"/>
      <c r="X77" s="161" t="n"/>
      <c r="Y77" s="161" t="n"/>
      <c r="Z77" s="161" t="n"/>
      <c r="AA77" s="161" t="n"/>
      <c r="AB77" s="161" t="n"/>
      <c r="AC77" s="161" t="n"/>
      <c r="AD77" s="161" t="n"/>
      <c r="AE77" s="161" t="n"/>
      <c r="AF77" s="161" t="n"/>
      <c r="AG77" s="161" t="n"/>
      <c r="AH77" s="161" t="n"/>
      <c r="AI77" s="161" t="n"/>
      <c r="AJ77" s="161" t="n"/>
      <c r="AK77" s="161" t="n"/>
      <c r="AL77" s="161" t="n"/>
      <c r="AM77" s="161" t="n"/>
      <c r="AN77" s="161" t="n"/>
      <c r="AO77" s="161" t="n"/>
      <c r="AP77" s="161" t="n"/>
      <c r="AQ77" s="161" t="n"/>
      <c r="AR77" s="161" t="n"/>
      <c r="AS77" s="161" t="n"/>
      <c r="AT77" s="161" t="n"/>
      <c r="AU77" s="161" t="n"/>
      <c r="AV77" s="161" t="n"/>
      <c r="AW77" s="161" t="n"/>
      <c r="AX77" s="161" t="n"/>
      <c r="AY77" s="161" t="n"/>
      <c r="AZ77" s="161" t="n"/>
    </row>
    <row r="78" ht="15" customHeight="1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  <c r="AB78" s="161" t="n"/>
      <c r="AC78" s="161" t="n"/>
      <c r="AD78" s="161" t="n"/>
      <c r="AE78" s="161" t="n"/>
      <c r="AF78" s="161" t="n"/>
      <c r="AG78" s="161" t="n"/>
      <c r="AH78" s="161" t="n"/>
      <c r="AI78" s="161" t="n"/>
      <c r="AJ78" s="161" t="n"/>
      <c r="AK78" s="161" t="n"/>
      <c r="AL78" s="161" t="n"/>
      <c r="AM78" s="161" t="n"/>
      <c r="AN78" s="161" t="n"/>
      <c r="AO78" s="161" t="n"/>
      <c r="AP78" s="161" t="n"/>
      <c r="AQ78" s="161" t="n"/>
      <c r="AR78" s="161" t="n"/>
      <c r="AS78" s="161" t="n"/>
      <c r="AT78" s="161" t="n"/>
      <c r="AU78" s="161" t="n"/>
      <c r="AV78" s="161" t="n"/>
      <c r="AW78" s="161" t="n"/>
      <c r="AX78" s="161" t="n"/>
      <c r="AY78" s="161" t="n"/>
      <c r="AZ78" s="161" t="n"/>
    </row>
    <row r="79" ht="15" customHeight="1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  <c r="S79" s="161" t="n"/>
      <c r="T79" s="161" t="n"/>
      <c r="U79" s="161" t="n"/>
      <c r="V79" s="161" t="n"/>
      <c r="W79" s="161" t="n"/>
      <c r="X79" s="161" t="n"/>
      <c r="Y79" s="161" t="n"/>
      <c r="Z79" s="161" t="n"/>
      <c r="AA79" s="161" t="n"/>
      <c r="AB79" s="161" t="n"/>
      <c r="AC79" s="161" t="n"/>
      <c r="AD79" s="161" t="n"/>
      <c r="AE79" s="161" t="n"/>
      <c r="AF79" s="161" t="n"/>
      <c r="AG79" s="161" t="n"/>
      <c r="AH79" s="161" t="n"/>
      <c r="AI79" s="161" t="n"/>
      <c r="AJ79" s="161" t="n"/>
      <c r="AK79" s="161" t="n"/>
      <c r="AL79" s="161" t="n"/>
      <c r="AM79" s="161" t="n"/>
      <c r="AN79" s="161" t="n"/>
      <c r="AO79" s="161" t="n"/>
      <c r="AP79" s="161" t="n"/>
      <c r="AQ79" s="161" t="n"/>
      <c r="AR79" s="161" t="n"/>
      <c r="AS79" s="161" t="n"/>
      <c r="AT79" s="161" t="n"/>
      <c r="AU79" s="161" t="n"/>
      <c r="AV79" s="161" t="n"/>
      <c r="AW79" s="161" t="n"/>
      <c r="AX79" s="161" t="n"/>
      <c r="AY79" s="161" t="n"/>
      <c r="AZ79" s="161" t="n"/>
    </row>
    <row r="80" ht="15" customHeight="1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  <c r="S80" s="161" t="n"/>
      <c r="T80" s="161" t="n"/>
      <c r="U80" s="161" t="n"/>
      <c r="V80" s="161" t="n"/>
      <c r="W80" s="161" t="n"/>
      <c r="X80" s="161" t="n"/>
      <c r="Y80" s="161" t="n"/>
      <c r="Z80" s="161" t="n"/>
      <c r="AA80" s="161" t="n"/>
      <c r="AB80" s="161" t="n"/>
      <c r="AC80" s="161" t="n"/>
      <c r="AD80" s="161" t="n"/>
      <c r="AE80" s="161" t="n"/>
      <c r="AF80" s="161" t="n"/>
      <c r="AG80" s="161" t="n"/>
      <c r="AH80" s="161" t="n"/>
      <c r="AI80" s="161" t="n"/>
      <c r="AJ80" s="161" t="n"/>
      <c r="AK80" s="161" t="n"/>
      <c r="AL80" s="161" t="n"/>
      <c r="AM80" s="161" t="n"/>
      <c r="AN80" s="161" t="n"/>
      <c r="AO80" s="161" t="n"/>
      <c r="AP80" s="161" t="n"/>
      <c r="AQ80" s="161" t="n"/>
      <c r="AR80" s="161" t="n"/>
      <c r="AS80" s="161" t="n"/>
      <c r="AT80" s="161" t="n"/>
      <c r="AU80" s="161" t="n"/>
      <c r="AV80" s="161" t="n"/>
      <c r="AW80" s="161" t="n"/>
      <c r="AX80" s="161" t="n"/>
      <c r="AY80" s="161" t="n"/>
      <c r="AZ80" s="161" t="n"/>
    </row>
    <row r="81" ht="15" customHeight="1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  <c r="S81" s="161" t="n"/>
      <c r="T81" s="161" t="n"/>
      <c r="U81" s="161" t="n"/>
      <c r="V81" s="161" t="n"/>
      <c r="W81" s="161" t="n"/>
      <c r="X81" s="161" t="n"/>
      <c r="Y81" s="161" t="n"/>
      <c r="Z81" s="161" t="n"/>
      <c r="AA81" s="161" t="n"/>
      <c r="AB81" s="161" t="n"/>
      <c r="AC81" s="161" t="n"/>
      <c r="AD81" s="161" t="n"/>
      <c r="AE81" s="161" t="n"/>
      <c r="AF81" s="161" t="n"/>
      <c r="AG81" s="161" t="n"/>
      <c r="AH81" s="161" t="n"/>
      <c r="AI81" s="161" t="n"/>
      <c r="AJ81" s="161" t="n"/>
      <c r="AK81" s="161" t="n"/>
      <c r="AL81" s="161" t="n"/>
      <c r="AM81" s="161" t="n"/>
      <c r="AN81" s="161" t="n"/>
      <c r="AO81" s="161" t="n"/>
      <c r="AP81" s="161" t="n"/>
      <c r="AQ81" s="161" t="n"/>
      <c r="AR81" s="161" t="n"/>
      <c r="AS81" s="161" t="n"/>
      <c r="AT81" s="161" t="n"/>
      <c r="AU81" s="161" t="n"/>
      <c r="AV81" s="161" t="n"/>
      <c r="AW81" s="161" t="n"/>
      <c r="AX81" s="161" t="n"/>
      <c r="AY81" s="161" t="n"/>
      <c r="AZ81" s="161" t="n"/>
    </row>
    <row r="82" ht="15" customHeight="1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  <c r="S82" s="161" t="n"/>
      <c r="T82" s="161" t="n"/>
      <c r="U82" s="161" t="n"/>
      <c r="V82" s="161" t="n"/>
      <c r="W82" s="161" t="n"/>
      <c r="X82" s="161" t="n"/>
      <c r="Y82" s="161" t="n"/>
      <c r="Z82" s="161" t="n"/>
      <c r="AA82" s="161" t="n"/>
      <c r="AB82" s="161" t="n"/>
      <c r="AC82" s="161" t="n"/>
      <c r="AD82" s="161" t="n"/>
      <c r="AE82" s="161" t="n"/>
      <c r="AF82" s="161" t="n"/>
      <c r="AG82" s="161" t="n"/>
      <c r="AH82" s="161" t="n"/>
      <c r="AI82" s="161" t="n"/>
      <c r="AJ82" s="161" t="n"/>
      <c r="AK82" s="161" t="n"/>
      <c r="AL82" s="161" t="n"/>
      <c r="AM82" s="161" t="n"/>
      <c r="AN82" s="161" t="n"/>
      <c r="AO82" s="161" t="n"/>
      <c r="AP82" s="161" t="n"/>
      <c r="AQ82" s="161" t="n"/>
      <c r="AR82" s="161" t="n"/>
      <c r="AS82" s="161" t="n"/>
      <c r="AT82" s="161" t="n"/>
      <c r="AU82" s="161" t="n"/>
      <c r="AV82" s="161" t="n"/>
      <c r="AW82" s="161" t="n"/>
      <c r="AX82" s="161" t="n"/>
      <c r="AY82" s="161" t="n"/>
      <c r="AZ82" s="161" t="n"/>
    </row>
    <row r="83" ht="15" customHeight="1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1" t="n"/>
      <c r="AI83" s="161" t="n"/>
      <c r="AJ83" s="161" t="n"/>
      <c r="AK83" s="161" t="n"/>
      <c r="AL83" s="161" t="n"/>
      <c r="AM83" s="161" t="n"/>
      <c r="AN83" s="161" t="n"/>
      <c r="AO83" s="161" t="n"/>
      <c r="AP83" s="161" t="n"/>
      <c r="AQ83" s="161" t="n"/>
      <c r="AR83" s="161" t="n"/>
      <c r="AS83" s="161" t="n"/>
      <c r="AT83" s="161" t="n"/>
      <c r="AU83" s="161" t="n"/>
      <c r="AV83" s="161" t="n"/>
      <c r="AW83" s="161" t="n"/>
      <c r="AX83" s="161" t="n"/>
      <c r="AY83" s="161" t="n"/>
      <c r="AZ83" s="161" t="n"/>
    </row>
    <row r="84" ht="15" customHeight="1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  <c r="S84" s="161" t="n"/>
      <c r="T84" s="161" t="n"/>
      <c r="U84" s="161" t="n"/>
      <c r="V84" s="161" t="n"/>
      <c r="W84" s="161" t="n"/>
      <c r="X84" s="161" t="n"/>
      <c r="Y84" s="161" t="n"/>
      <c r="Z84" s="161" t="n"/>
      <c r="AA84" s="161" t="n"/>
      <c r="AB84" s="161" t="n"/>
      <c r="AC84" s="161" t="n"/>
      <c r="AD84" s="161" t="n"/>
      <c r="AE84" s="161" t="n"/>
      <c r="AF84" s="161" t="n"/>
      <c r="AG84" s="161" t="n"/>
      <c r="AH84" s="161" t="n"/>
      <c r="AI84" s="161" t="n"/>
      <c r="AJ84" s="161" t="n"/>
      <c r="AK84" s="161" t="n"/>
      <c r="AL84" s="161" t="n"/>
      <c r="AM84" s="161" t="n"/>
      <c r="AN84" s="161" t="n"/>
      <c r="AO84" s="161" t="n"/>
      <c r="AP84" s="161" t="n"/>
      <c r="AQ84" s="161" t="n"/>
      <c r="AR84" s="161" t="n"/>
      <c r="AS84" s="161" t="n"/>
      <c r="AT84" s="161" t="n"/>
      <c r="AU84" s="161" t="n"/>
      <c r="AV84" s="161" t="n"/>
      <c r="AW84" s="161" t="n"/>
      <c r="AX84" s="161" t="n"/>
      <c r="AY84" s="161" t="n"/>
      <c r="AZ84" s="161" t="n"/>
    </row>
    <row r="85" ht="15" customHeight="1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  <c r="S85" s="161" t="n"/>
      <c r="T85" s="161" t="n"/>
      <c r="U85" s="161" t="n"/>
      <c r="V85" s="161" t="n"/>
      <c r="W85" s="161" t="n"/>
      <c r="X85" s="161" t="n"/>
      <c r="Y85" s="161" t="n"/>
      <c r="Z85" s="161" t="n"/>
      <c r="AA85" s="161" t="n"/>
      <c r="AB85" s="161" t="n"/>
      <c r="AC85" s="161" t="n"/>
      <c r="AD85" s="161" t="n"/>
      <c r="AE85" s="161" t="n"/>
      <c r="AF85" s="161" t="n"/>
      <c r="AG85" s="161" t="n"/>
      <c r="AH85" s="161" t="n"/>
      <c r="AI85" s="161" t="n"/>
      <c r="AJ85" s="161" t="n"/>
      <c r="AK85" s="161" t="n"/>
      <c r="AL85" s="161" t="n"/>
      <c r="AM85" s="161" t="n"/>
      <c r="AN85" s="161" t="n"/>
      <c r="AO85" s="161" t="n"/>
      <c r="AP85" s="161" t="n"/>
      <c r="AQ85" s="161" t="n"/>
      <c r="AR85" s="161" t="n"/>
      <c r="AS85" s="161" t="n"/>
      <c r="AT85" s="161" t="n"/>
      <c r="AU85" s="161" t="n"/>
      <c r="AV85" s="161" t="n"/>
      <c r="AW85" s="161" t="n"/>
      <c r="AX85" s="161" t="n"/>
      <c r="AY85" s="161" t="n"/>
      <c r="AZ85" s="161" t="n"/>
    </row>
    <row r="86" ht="15" customHeight="1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  <c r="S86" s="161" t="n"/>
      <c r="T86" s="161" t="n"/>
      <c r="U86" s="161" t="n"/>
      <c r="V86" s="161" t="n"/>
      <c r="W86" s="161" t="n"/>
      <c r="X86" s="161" t="n"/>
      <c r="Y86" s="161" t="n"/>
      <c r="Z86" s="161" t="n"/>
      <c r="AA86" s="161" t="n"/>
      <c r="AB86" s="161" t="n"/>
      <c r="AC86" s="161" t="n"/>
      <c r="AD86" s="161" t="n"/>
      <c r="AE86" s="161" t="n"/>
      <c r="AF86" s="161" t="n"/>
      <c r="AG86" s="161" t="n"/>
      <c r="AH86" s="161" t="n"/>
      <c r="AI86" s="161" t="n"/>
      <c r="AJ86" s="161" t="n"/>
      <c r="AK86" s="161" t="n"/>
      <c r="AL86" s="161" t="n"/>
      <c r="AM86" s="161" t="n"/>
      <c r="AN86" s="161" t="n"/>
      <c r="AO86" s="161" t="n"/>
      <c r="AP86" s="161" t="n"/>
      <c r="AQ86" s="161" t="n"/>
      <c r="AR86" s="161" t="n"/>
      <c r="AS86" s="161" t="n"/>
      <c r="AT86" s="161" t="n"/>
      <c r="AU86" s="161" t="n"/>
      <c r="AV86" s="161" t="n"/>
      <c r="AW86" s="161" t="n"/>
      <c r="AX86" s="161" t="n"/>
      <c r="AY86" s="161" t="n"/>
      <c r="AZ86" s="161" t="n"/>
    </row>
    <row r="87" ht="15" customHeight="1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  <c r="S87" s="161" t="n"/>
      <c r="T87" s="161" t="n"/>
      <c r="U87" s="161" t="n"/>
      <c r="V87" s="161" t="n"/>
      <c r="W87" s="161" t="n"/>
      <c r="X87" s="161" t="n"/>
      <c r="Y87" s="161" t="n"/>
      <c r="Z87" s="161" t="n"/>
      <c r="AA87" s="161" t="n"/>
      <c r="AB87" s="161" t="n"/>
      <c r="AC87" s="161" t="n"/>
      <c r="AD87" s="161" t="n"/>
      <c r="AE87" s="161" t="n"/>
      <c r="AF87" s="161" t="n"/>
      <c r="AG87" s="161" t="n"/>
      <c r="AH87" s="161" t="n"/>
      <c r="AI87" s="161" t="n"/>
      <c r="AJ87" s="161" t="n"/>
      <c r="AK87" s="161" t="n"/>
      <c r="AL87" s="161" t="n"/>
      <c r="AM87" s="161" t="n"/>
      <c r="AN87" s="161" t="n"/>
      <c r="AO87" s="161" t="n"/>
      <c r="AP87" s="161" t="n"/>
      <c r="AQ87" s="161" t="n"/>
      <c r="AR87" s="161" t="n"/>
      <c r="AS87" s="161" t="n"/>
      <c r="AT87" s="161" t="n"/>
      <c r="AU87" s="161" t="n"/>
      <c r="AV87" s="161" t="n"/>
      <c r="AW87" s="161" t="n"/>
      <c r="AX87" s="161" t="n"/>
      <c r="AY87" s="161" t="n"/>
      <c r="AZ87" s="161" t="n"/>
    </row>
    <row r="88" ht="15" customHeight="1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  <c r="S88" s="161" t="n"/>
      <c r="T88" s="161" t="n"/>
      <c r="U88" s="161" t="n"/>
      <c r="V88" s="161" t="n"/>
      <c r="W88" s="161" t="n"/>
      <c r="X88" s="161" t="n"/>
      <c r="Y88" s="161" t="n"/>
      <c r="Z88" s="161" t="n"/>
      <c r="AA88" s="161" t="n"/>
      <c r="AB88" s="161" t="n"/>
      <c r="AC88" s="161" t="n"/>
      <c r="AD88" s="161" t="n"/>
      <c r="AE88" s="161" t="n"/>
      <c r="AF88" s="161" t="n"/>
      <c r="AG88" s="161" t="n"/>
      <c r="AH88" s="161" t="n"/>
      <c r="AI88" s="161" t="n"/>
      <c r="AJ88" s="161" t="n"/>
      <c r="AK88" s="161" t="n"/>
      <c r="AL88" s="161" t="n"/>
      <c r="AM88" s="161" t="n"/>
      <c r="AN88" s="161" t="n"/>
      <c r="AO88" s="161" t="n"/>
      <c r="AP88" s="161" t="n"/>
      <c r="AQ88" s="161" t="n"/>
      <c r="AR88" s="161" t="n"/>
      <c r="AS88" s="161" t="n"/>
      <c r="AT88" s="161" t="n"/>
      <c r="AU88" s="161" t="n"/>
      <c r="AV88" s="161" t="n"/>
      <c r="AW88" s="161" t="n"/>
      <c r="AX88" s="161" t="n"/>
      <c r="AY88" s="161" t="n"/>
      <c r="AZ88" s="161" t="n"/>
    </row>
    <row r="89" ht="15" customHeight="1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  <c r="S89" s="161" t="n"/>
      <c r="T89" s="161" t="n"/>
      <c r="U89" s="161" t="n"/>
      <c r="V89" s="161" t="n"/>
      <c r="W89" s="161" t="n"/>
      <c r="X89" s="161" t="n"/>
      <c r="Y89" s="161" t="n"/>
      <c r="Z89" s="161" t="n"/>
      <c r="AA89" s="161" t="n"/>
      <c r="AB89" s="161" t="n"/>
      <c r="AC89" s="161" t="n"/>
      <c r="AD89" s="161" t="n"/>
      <c r="AE89" s="161" t="n"/>
      <c r="AF89" s="161" t="n"/>
      <c r="AG89" s="161" t="n"/>
      <c r="AH89" s="161" t="n"/>
      <c r="AI89" s="161" t="n"/>
      <c r="AJ89" s="161" t="n"/>
      <c r="AK89" s="161" t="n"/>
      <c r="AL89" s="161" t="n"/>
      <c r="AM89" s="161" t="n"/>
      <c r="AN89" s="161" t="n"/>
      <c r="AO89" s="161" t="n"/>
      <c r="AP89" s="161" t="n"/>
      <c r="AQ89" s="161" t="n"/>
      <c r="AR89" s="161" t="n"/>
      <c r="AS89" s="161" t="n"/>
      <c r="AT89" s="161" t="n"/>
      <c r="AU89" s="161" t="n"/>
      <c r="AV89" s="161" t="n"/>
      <c r="AW89" s="161" t="n"/>
      <c r="AX89" s="161" t="n"/>
      <c r="AY89" s="161" t="n"/>
      <c r="AZ89" s="161" t="n"/>
    </row>
    <row r="90" ht="15" customHeight="1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  <c r="S90" s="161" t="n"/>
      <c r="T90" s="161" t="n"/>
      <c r="U90" s="161" t="n"/>
      <c r="V90" s="161" t="n"/>
      <c r="W90" s="161" t="n"/>
      <c r="X90" s="161" t="n"/>
      <c r="Y90" s="161" t="n"/>
      <c r="Z90" s="161" t="n"/>
      <c r="AA90" s="161" t="n"/>
      <c r="AB90" s="161" t="n"/>
      <c r="AC90" s="161" t="n"/>
      <c r="AD90" s="161" t="n"/>
      <c r="AE90" s="161" t="n"/>
      <c r="AF90" s="161" t="n"/>
      <c r="AG90" s="161" t="n"/>
      <c r="AH90" s="161" t="n"/>
      <c r="AI90" s="161" t="n"/>
      <c r="AJ90" s="161" t="n"/>
      <c r="AK90" s="161" t="n"/>
      <c r="AL90" s="161" t="n"/>
      <c r="AM90" s="161" t="n"/>
      <c r="AN90" s="161" t="n"/>
      <c r="AO90" s="161" t="n"/>
      <c r="AP90" s="161" t="n"/>
      <c r="AQ90" s="161" t="n"/>
      <c r="AR90" s="161" t="n"/>
      <c r="AS90" s="161" t="n"/>
      <c r="AT90" s="161" t="n"/>
      <c r="AU90" s="161" t="n"/>
      <c r="AV90" s="161" t="n"/>
      <c r="AW90" s="161" t="n"/>
      <c r="AX90" s="161" t="n"/>
      <c r="AY90" s="161" t="n"/>
      <c r="AZ90" s="161" t="n"/>
    </row>
    <row r="91" ht="15" customHeight="1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  <c r="S91" s="161" t="n"/>
      <c r="T91" s="161" t="n"/>
      <c r="U91" s="161" t="n"/>
      <c r="V91" s="161" t="n"/>
      <c r="W91" s="161" t="n"/>
      <c r="X91" s="161" t="n"/>
      <c r="Y91" s="161" t="n"/>
      <c r="Z91" s="161" t="n"/>
      <c r="AA91" s="161" t="n"/>
      <c r="AB91" s="161" t="n"/>
      <c r="AC91" s="161" t="n"/>
      <c r="AD91" s="161" t="n"/>
      <c r="AE91" s="161" t="n"/>
      <c r="AF91" s="161" t="n"/>
      <c r="AG91" s="161" t="n"/>
      <c r="AH91" s="161" t="n"/>
      <c r="AI91" s="161" t="n"/>
      <c r="AJ91" s="161" t="n"/>
      <c r="AK91" s="161" t="n"/>
      <c r="AL91" s="161" t="n"/>
      <c r="AM91" s="161" t="n"/>
      <c r="AN91" s="161" t="n"/>
      <c r="AO91" s="161" t="n"/>
      <c r="AP91" s="161" t="n"/>
      <c r="AQ91" s="161" t="n"/>
      <c r="AR91" s="161" t="n"/>
      <c r="AS91" s="161" t="n"/>
      <c r="AT91" s="161" t="n"/>
      <c r="AU91" s="161" t="n"/>
      <c r="AV91" s="161" t="n"/>
      <c r="AW91" s="161" t="n"/>
      <c r="AX91" s="161" t="n"/>
      <c r="AY91" s="161" t="n"/>
      <c r="AZ91" s="161" t="n"/>
    </row>
    <row r="92" ht="15" customHeight="1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  <c r="S92" s="161" t="n"/>
      <c r="T92" s="161" t="n"/>
      <c r="U92" s="161" t="n"/>
      <c r="V92" s="161" t="n"/>
      <c r="W92" s="161" t="n"/>
      <c r="X92" s="161" t="n"/>
      <c r="Y92" s="161" t="n"/>
      <c r="Z92" s="161" t="n"/>
      <c r="AA92" s="161" t="n"/>
      <c r="AB92" s="161" t="n"/>
      <c r="AC92" s="161" t="n"/>
      <c r="AD92" s="161" t="n"/>
      <c r="AE92" s="161" t="n"/>
      <c r="AF92" s="161" t="n"/>
      <c r="AG92" s="161" t="n"/>
      <c r="AH92" s="161" t="n"/>
      <c r="AI92" s="161" t="n"/>
      <c r="AJ92" s="161" t="n"/>
      <c r="AK92" s="161" t="n"/>
      <c r="AL92" s="161" t="n"/>
      <c r="AM92" s="161" t="n"/>
      <c r="AN92" s="161" t="n"/>
      <c r="AO92" s="161" t="n"/>
      <c r="AP92" s="161" t="n"/>
      <c r="AQ92" s="161" t="n"/>
      <c r="AR92" s="161" t="n"/>
      <c r="AS92" s="161" t="n"/>
      <c r="AT92" s="161" t="n"/>
      <c r="AU92" s="161" t="n"/>
      <c r="AV92" s="161" t="n"/>
      <c r="AW92" s="161" t="n"/>
      <c r="AX92" s="161" t="n"/>
      <c r="AY92" s="161" t="n"/>
      <c r="AZ92" s="161" t="n"/>
    </row>
    <row r="93" ht="15" customHeight="1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  <c r="S93" s="161" t="n"/>
      <c r="T93" s="161" t="n"/>
      <c r="U93" s="161" t="n"/>
      <c r="V93" s="161" t="n"/>
      <c r="W93" s="161" t="n"/>
      <c r="X93" s="161" t="n"/>
      <c r="Y93" s="161" t="n"/>
      <c r="Z93" s="161" t="n"/>
      <c r="AA93" s="161" t="n"/>
      <c r="AB93" s="161" t="n"/>
      <c r="AC93" s="161" t="n"/>
      <c r="AD93" s="161" t="n"/>
      <c r="AE93" s="161" t="n"/>
      <c r="AF93" s="161" t="n"/>
      <c r="AG93" s="161" t="n"/>
      <c r="AH93" s="161" t="n"/>
      <c r="AI93" s="161" t="n"/>
      <c r="AJ93" s="161" t="n"/>
      <c r="AK93" s="161" t="n"/>
      <c r="AL93" s="161" t="n"/>
      <c r="AM93" s="161" t="n"/>
      <c r="AN93" s="161" t="n"/>
      <c r="AO93" s="161" t="n"/>
      <c r="AP93" s="161" t="n"/>
      <c r="AQ93" s="161" t="n"/>
      <c r="AR93" s="161" t="n"/>
      <c r="AS93" s="161" t="n"/>
      <c r="AT93" s="161" t="n"/>
      <c r="AU93" s="161" t="n"/>
      <c r="AV93" s="161" t="n"/>
      <c r="AW93" s="161" t="n"/>
      <c r="AX93" s="161" t="n"/>
      <c r="AY93" s="161" t="n"/>
      <c r="AZ93" s="161" t="n"/>
    </row>
    <row r="94" ht="15" customHeight="1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  <c r="S94" s="161" t="n"/>
      <c r="T94" s="161" t="n"/>
      <c r="U94" s="161" t="n"/>
      <c r="V94" s="161" t="n"/>
      <c r="W94" s="161" t="n"/>
      <c r="X94" s="161" t="n"/>
      <c r="Y94" s="161" t="n"/>
      <c r="Z94" s="161" t="n"/>
      <c r="AA94" s="161" t="n"/>
      <c r="AB94" s="161" t="n"/>
      <c r="AC94" s="161" t="n"/>
      <c r="AD94" s="161" t="n"/>
      <c r="AE94" s="161" t="n"/>
      <c r="AF94" s="161" t="n"/>
      <c r="AG94" s="161" t="n"/>
      <c r="AH94" s="161" t="n"/>
      <c r="AI94" s="161" t="n"/>
      <c r="AJ94" s="161" t="n"/>
      <c r="AK94" s="161" t="n"/>
      <c r="AL94" s="161" t="n"/>
      <c r="AM94" s="161" t="n"/>
      <c r="AN94" s="161" t="n"/>
      <c r="AO94" s="161" t="n"/>
      <c r="AP94" s="161" t="n"/>
      <c r="AQ94" s="161" t="n"/>
      <c r="AR94" s="161" t="n"/>
      <c r="AS94" s="161" t="n"/>
      <c r="AT94" s="161" t="n"/>
      <c r="AU94" s="161" t="n"/>
      <c r="AV94" s="161" t="n"/>
      <c r="AW94" s="161" t="n"/>
      <c r="AX94" s="161" t="n"/>
      <c r="AY94" s="161" t="n"/>
      <c r="AZ94" s="161" t="n"/>
    </row>
    <row r="95" ht="15" customHeight="1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  <c r="S95" s="161" t="n"/>
      <c r="T95" s="161" t="n"/>
      <c r="U95" s="161" t="n"/>
      <c r="V95" s="161" t="n"/>
      <c r="W95" s="161" t="n"/>
      <c r="X95" s="161" t="n"/>
      <c r="Y95" s="161" t="n"/>
      <c r="Z95" s="161" t="n"/>
      <c r="AA95" s="161" t="n"/>
      <c r="AB95" s="161" t="n"/>
      <c r="AC95" s="161" t="n"/>
      <c r="AD95" s="161" t="n"/>
      <c r="AE95" s="161" t="n"/>
      <c r="AF95" s="161" t="n"/>
      <c r="AG95" s="161" t="n"/>
      <c r="AH95" s="161" t="n"/>
      <c r="AI95" s="161" t="n"/>
      <c r="AJ95" s="161" t="n"/>
      <c r="AK95" s="161" t="n"/>
      <c r="AL95" s="161" t="n"/>
      <c r="AM95" s="161" t="n"/>
      <c r="AN95" s="161" t="n"/>
      <c r="AO95" s="161" t="n"/>
      <c r="AP95" s="161" t="n"/>
      <c r="AQ95" s="161" t="n"/>
      <c r="AR95" s="161" t="n"/>
      <c r="AS95" s="161" t="n"/>
      <c r="AT95" s="161" t="n"/>
      <c r="AU95" s="161" t="n"/>
      <c r="AV95" s="161" t="n"/>
      <c r="AW95" s="161" t="n"/>
      <c r="AX95" s="161" t="n"/>
      <c r="AY95" s="161" t="n"/>
      <c r="AZ95" s="161" t="n"/>
    </row>
    <row r="96" ht="15" customHeight="1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  <c r="S96" s="161" t="n"/>
      <c r="T96" s="161" t="n"/>
      <c r="U96" s="161" t="n"/>
      <c r="V96" s="161" t="n"/>
      <c r="W96" s="161" t="n"/>
      <c r="X96" s="161" t="n"/>
      <c r="Y96" s="161" t="n"/>
      <c r="Z96" s="161" t="n"/>
      <c r="AA96" s="161" t="n"/>
      <c r="AB96" s="161" t="n"/>
      <c r="AC96" s="161" t="n"/>
      <c r="AD96" s="161" t="n"/>
      <c r="AE96" s="161" t="n"/>
      <c r="AF96" s="161" t="n"/>
      <c r="AG96" s="161" t="n"/>
      <c r="AH96" s="161" t="n"/>
      <c r="AI96" s="161" t="n"/>
      <c r="AJ96" s="161" t="n"/>
      <c r="AK96" s="161" t="n"/>
      <c r="AL96" s="161" t="n"/>
      <c r="AM96" s="161" t="n"/>
      <c r="AN96" s="161" t="n"/>
      <c r="AO96" s="161" t="n"/>
      <c r="AP96" s="161" t="n"/>
      <c r="AQ96" s="161" t="n"/>
      <c r="AR96" s="161" t="n"/>
      <c r="AS96" s="161" t="n"/>
      <c r="AT96" s="161" t="n"/>
      <c r="AU96" s="161" t="n"/>
      <c r="AV96" s="161" t="n"/>
      <c r="AW96" s="161" t="n"/>
      <c r="AX96" s="161" t="n"/>
      <c r="AY96" s="161" t="n"/>
      <c r="AZ96" s="161" t="n"/>
    </row>
    <row r="97" ht="15" customHeight="1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  <c r="S97" s="161" t="n"/>
      <c r="T97" s="161" t="n"/>
      <c r="U97" s="161" t="n"/>
      <c r="V97" s="161" t="n"/>
      <c r="W97" s="161" t="n"/>
      <c r="X97" s="161" t="n"/>
      <c r="Y97" s="161" t="n"/>
      <c r="Z97" s="161" t="n"/>
      <c r="AA97" s="161" t="n"/>
      <c r="AB97" s="161" t="n"/>
      <c r="AC97" s="161" t="n"/>
      <c r="AD97" s="161" t="n"/>
      <c r="AE97" s="161" t="n"/>
      <c r="AF97" s="161" t="n"/>
      <c r="AG97" s="161" t="n"/>
      <c r="AH97" s="161" t="n"/>
      <c r="AI97" s="161" t="n"/>
      <c r="AJ97" s="161" t="n"/>
      <c r="AK97" s="161" t="n"/>
      <c r="AL97" s="161" t="n"/>
      <c r="AM97" s="161" t="n"/>
      <c r="AN97" s="161" t="n"/>
      <c r="AO97" s="161" t="n"/>
      <c r="AP97" s="161" t="n"/>
      <c r="AQ97" s="161" t="n"/>
      <c r="AR97" s="161" t="n"/>
      <c r="AS97" s="161" t="n"/>
      <c r="AT97" s="161" t="n"/>
      <c r="AU97" s="161" t="n"/>
      <c r="AV97" s="161" t="n"/>
      <c r="AW97" s="161" t="n"/>
      <c r="AX97" s="161" t="n"/>
      <c r="AY97" s="161" t="n"/>
      <c r="AZ97" s="161" t="n"/>
    </row>
    <row r="98" ht="15" customHeight="1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  <c r="S98" s="161" t="n"/>
      <c r="T98" s="161" t="n"/>
      <c r="U98" s="161" t="n"/>
      <c r="V98" s="161" t="n"/>
      <c r="W98" s="161" t="n"/>
      <c r="X98" s="161" t="n"/>
      <c r="Y98" s="161" t="n"/>
      <c r="Z98" s="161" t="n"/>
      <c r="AA98" s="161" t="n"/>
      <c r="AB98" s="161" t="n"/>
      <c r="AC98" s="161" t="n"/>
      <c r="AD98" s="161" t="n"/>
      <c r="AE98" s="161" t="n"/>
      <c r="AF98" s="161" t="n"/>
      <c r="AG98" s="161" t="n"/>
      <c r="AH98" s="161" t="n"/>
      <c r="AI98" s="161" t="n"/>
      <c r="AJ98" s="161" t="n"/>
      <c r="AK98" s="161" t="n"/>
      <c r="AL98" s="161" t="n"/>
      <c r="AM98" s="161" t="n"/>
      <c r="AN98" s="161" t="n"/>
      <c r="AO98" s="161" t="n"/>
      <c r="AP98" s="161" t="n"/>
      <c r="AQ98" s="161" t="n"/>
      <c r="AR98" s="161" t="n"/>
      <c r="AS98" s="161" t="n"/>
      <c r="AT98" s="161" t="n"/>
      <c r="AU98" s="161" t="n"/>
      <c r="AV98" s="161" t="n"/>
      <c r="AW98" s="161" t="n"/>
      <c r="AX98" s="161" t="n"/>
      <c r="AY98" s="161" t="n"/>
      <c r="AZ98" s="161" t="n"/>
    </row>
    <row r="99" ht="15" customHeight="1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  <c r="S99" s="161" t="n"/>
      <c r="T99" s="161" t="n"/>
      <c r="U99" s="161" t="n"/>
      <c r="V99" s="161" t="n"/>
      <c r="W99" s="161" t="n"/>
      <c r="X99" s="161" t="n"/>
      <c r="Y99" s="161" t="n"/>
      <c r="Z99" s="161" t="n"/>
      <c r="AA99" s="161" t="n"/>
      <c r="AB99" s="161" t="n"/>
      <c r="AC99" s="161" t="n"/>
      <c r="AD99" s="161" t="n"/>
      <c r="AE99" s="161" t="n"/>
      <c r="AF99" s="161" t="n"/>
      <c r="AG99" s="161" t="n"/>
      <c r="AH99" s="161" t="n"/>
      <c r="AI99" s="161" t="n"/>
      <c r="AJ99" s="161" t="n"/>
      <c r="AK99" s="161" t="n"/>
      <c r="AL99" s="161" t="n"/>
      <c r="AM99" s="161" t="n"/>
      <c r="AN99" s="161" t="n"/>
      <c r="AO99" s="161" t="n"/>
      <c r="AP99" s="161" t="n"/>
      <c r="AQ99" s="161" t="n"/>
      <c r="AR99" s="161" t="n"/>
      <c r="AS99" s="161" t="n"/>
      <c r="AT99" s="161" t="n"/>
      <c r="AU99" s="161" t="n"/>
      <c r="AV99" s="161" t="n"/>
      <c r="AW99" s="161" t="n"/>
      <c r="AX99" s="161" t="n"/>
      <c r="AY99" s="161" t="n"/>
      <c r="AZ99" s="161" t="n"/>
    </row>
    <row r="100" ht="15" customHeight="1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  <c r="S100" s="161" t="n"/>
      <c r="T100" s="161" t="n"/>
      <c r="U100" s="161" t="n"/>
      <c r="V100" s="161" t="n"/>
      <c r="W100" s="161" t="n"/>
      <c r="X100" s="161" t="n"/>
      <c r="Y100" s="161" t="n"/>
      <c r="Z100" s="161" t="n"/>
      <c r="AA100" s="161" t="n"/>
      <c r="AB100" s="161" t="n"/>
      <c r="AC100" s="161" t="n"/>
      <c r="AD100" s="161" t="n"/>
      <c r="AE100" s="161" t="n"/>
      <c r="AF100" s="161" t="n"/>
      <c r="AG100" s="161" t="n"/>
      <c r="AH100" s="161" t="n"/>
      <c r="AI100" s="161" t="n"/>
      <c r="AJ100" s="161" t="n"/>
      <c r="AK100" s="161" t="n"/>
      <c r="AL100" s="161" t="n"/>
      <c r="AM100" s="161" t="n"/>
      <c r="AN100" s="161" t="n"/>
      <c r="AO100" s="161" t="n"/>
      <c r="AP100" s="161" t="n"/>
      <c r="AQ100" s="161" t="n"/>
      <c r="AR100" s="161" t="n"/>
      <c r="AS100" s="161" t="n"/>
      <c r="AT100" s="161" t="n"/>
      <c r="AU100" s="161" t="n"/>
      <c r="AV100" s="161" t="n"/>
      <c r="AW100" s="161" t="n"/>
      <c r="AX100" s="161" t="n"/>
      <c r="AY100" s="161" t="n"/>
      <c r="AZ100" s="161" t="n"/>
    </row>
    <row r="101" ht="15" customHeight="1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  <c r="S101" s="161" t="n"/>
      <c r="T101" s="161" t="n"/>
      <c r="U101" s="161" t="n"/>
      <c r="V101" s="161" t="n"/>
      <c r="W101" s="161" t="n"/>
      <c r="X101" s="161" t="n"/>
      <c r="Y101" s="161" t="n"/>
      <c r="Z101" s="161" t="n"/>
      <c r="AA101" s="161" t="n"/>
      <c r="AB101" s="161" t="n"/>
      <c r="AC101" s="161" t="n"/>
      <c r="AD101" s="161" t="n"/>
      <c r="AE101" s="161" t="n"/>
      <c r="AF101" s="161" t="n"/>
      <c r="AG101" s="161" t="n"/>
      <c r="AH101" s="161" t="n"/>
      <c r="AI101" s="161" t="n"/>
      <c r="AJ101" s="161" t="n"/>
      <c r="AK101" s="161" t="n"/>
      <c r="AL101" s="161" t="n"/>
      <c r="AM101" s="161" t="n"/>
      <c r="AN101" s="161" t="n"/>
      <c r="AO101" s="161" t="n"/>
      <c r="AP101" s="161" t="n"/>
      <c r="AQ101" s="161" t="n"/>
      <c r="AR101" s="161" t="n"/>
      <c r="AS101" s="161" t="n"/>
      <c r="AT101" s="161" t="n"/>
      <c r="AU101" s="161" t="n"/>
      <c r="AV101" s="161" t="n"/>
      <c r="AW101" s="161" t="n"/>
      <c r="AX101" s="161" t="n"/>
      <c r="AY101" s="161" t="n"/>
      <c r="AZ101" s="161" t="n"/>
    </row>
    <row r="102" ht="15" customHeight="1">
      <c r="A102" s="161" t="n"/>
      <c r="B102" s="161" t="n"/>
      <c r="C102" s="161" t="n"/>
      <c r="D102" s="161" t="n"/>
      <c r="E102" s="161" t="n"/>
      <c r="F102" s="161" t="n"/>
      <c r="G102" s="161" t="n"/>
      <c r="H102" s="161" t="n"/>
      <c r="I102" s="16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  <c r="S102" s="161" t="n"/>
      <c r="T102" s="161" t="n"/>
      <c r="U102" s="161" t="n"/>
      <c r="V102" s="161" t="n"/>
      <c r="W102" s="161" t="n"/>
      <c r="X102" s="161" t="n"/>
      <c r="Y102" s="161" t="n"/>
      <c r="Z102" s="161" t="n"/>
      <c r="AA102" s="161" t="n"/>
      <c r="AB102" s="161" t="n"/>
      <c r="AC102" s="161" t="n"/>
      <c r="AD102" s="161" t="n"/>
      <c r="AE102" s="161" t="n"/>
      <c r="AF102" s="161" t="n"/>
      <c r="AG102" s="161" t="n"/>
      <c r="AH102" s="161" t="n"/>
      <c r="AI102" s="161" t="n"/>
      <c r="AJ102" s="161" t="n"/>
      <c r="AK102" s="161" t="n"/>
      <c r="AL102" s="161" t="n"/>
      <c r="AM102" s="161" t="n"/>
      <c r="AN102" s="161" t="n"/>
      <c r="AO102" s="161" t="n"/>
      <c r="AP102" s="161" t="n"/>
      <c r="AQ102" s="161" t="n"/>
      <c r="AR102" s="161" t="n"/>
      <c r="AS102" s="161" t="n"/>
      <c r="AT102" s="161" t="n"/>
      <c r="AU102" s="161" t="n"/>
      <c r="AV102" s="161" t="n"/>
      <c r="AW102" s="161" t="n"/>
      <c r="AX102" s="161" t="n"/>
      <c r="AY102" s="161" t="n"/>
      <c r="AZ102" s="161" t="n"/>
    </row>
    <row r="103" ht="15" customHeight="1">
      <c r="A103" s="161" t="n"/>
      <c r="B103" s="161" t="n"/>
      <c r="C103" s="161" t="n"/>
      <c r="D103" s="161" t="n"/>
      <c r="E103" s="161" t="n"/>
      <c r="F103" s="161" t="n"/>
      <c r="G103" s="161" t="n"/>
      <c r="H103" s="161" t="n"/>
      <c r="I103" s="161" t="n"/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  <c r="S103" s="161" t="n"/>
      <c r="T103" s="161" t="n"/>
      <c r="U103" s="161" t="n"/>
      <c r="V103" s="161" t="n"/>
      <c r="W103" s="161" t="n"/>
      <c r="X103" s="161" t="n"/>
      <c r="Y103" s="161" t="n"/>
      <c r="Z103" s="161" t="n"/>
      <c r="AA103" s="161" t="n"/>
      <c r="AB103" s="161" t="n"/>
      <c r="AC103" s="161" t="n"/>
      <c r="AD103" s="161" t="n"/>
      <c r="AE103" s="161" t="n"/>
      <c r="AF103" s="161" t="n"/>
      <c r="AG103" s="161" t="n"/>
      <c r="AH103" s="161" t="n"/>
      <c r="AI103" s="161" t="n"/>
      <c r="AJ103" s="161" t="n"/>
      <c r="AK103" s="161" t="n"/>
      <c r="AL103" s="161" t="n"/>
      <c r="AM103" s="161" t="n"/>
      <c r="AN103" s="161" t="n"/>
      <c r="AO103" s="161" t="n"/>
      <c r="AP103" s="161" t="n"/>
      <c r="AQ103" s="161" t="n"/>
      <c r="AR103" s="161" t="n"/>
      <c r="AS103" s="161" t="n"/>
      <c r="AT103" s="161" t="n"/>
      <c r="AU103" s="161" t="n"/>
      <c r="AV103" s="161" t="n"/>
      <c r="AW103" s="161" t="n"/>
      <c r="AX103" s="161" t="n"/>
      <c r="AY103" s="161" t="n"/>
      <c r="AZ103" s="161" t="n"/>
    </row>
    <row r="104" ht="15" customHeight="1">
      <c r="A104" s="161" t="n"/>
      <c r="B104" s="161" t="n"/>
      <c r="C104" s="161" t="n"/>
      <c r="D104" s="161" t="n"/>
      <c r="E104" s="161" t="n"/>
      <c r="F104" s="161" t="n"/>
      <c r="G104" s="161" t="n"/>
      <c r="H104" s="161" t="n"/>
      <c r="I104" s="161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  <c r="S104" s="161" t="n"/>
      <c r="T104" s="161" t="n"/>
      <c r="U104" s="161" t="n"/>
      <c r="V104" s="161" t="n"/>
      <c r="W104" s="161" t="n"/>
      <c r="X104" s="161" t="n"/>
      <c r="Y104" s="161" t="n"/>
      <c r="Z104" s="161" t="n"/>
      <c r="AA104" s="161" t="n"/>
      <c r="AB104" s="161" t="n"/>
      <c r="AC104" s="161" t="n"/>
      <c r="AD104" s="161" t="n"/>
      <c r="AE104" s="161" t="n"/>
      <c r="AF104" s="161" t="n"/>
      <c r="AG104" s="161" t="n"/>
      <c r="AH104" s="161" t="n"/>
      <c r="AI104" s="161" t="n"/>
      <c r="AJ104" s="161" t="n"/>
      <c r="AK104" s="161" t="n"/>
      <c r="AL104" s="161" t="n"/>
      <c r="AM104" s="161" t="n"/>
      <c r="AN104" s="161" t="n"/>
      <c r="AO104" s="161" t="n"/>
      <c r="AP104" s="161" t="n"/>
      <c r="AQ104" s="161" t="n"/>
      <c r="AR104" s="161" t="n"/>
      <c r="AS104" s="161" t="n"/>
      <c r="AT104" s="161" t="n"/>
      <c r="AU104" s="161" t="n"/>
      <c r="AV104" s="161" t="n"/>
      <c r="AW104" s="161" t="n"/>
      <c r="AX104" s="161" t="n"/>
      <c r="AY104" s="161" t="n"/>
      <c r="AZ104" s="161" t="n"/>
    </row>
    <row r="105" ht="15" customHeight="1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  <c r="S105" s="161" t="n"/>
      <c r="T105" s="161" t="n"/>
      <c r="U105" s="161" t="n"/>
      <c r="V105" s="161" t="n"/>
      <c r="W105" s="161" t="n"/>
      <c r="X105" s="161" t="n"/>
      <c r="Y105" s="161" t="n"/>
      <c r="Z105" s="161" t="n"/>
      <c r="AA105" s="161" t="n"/>
      <c r="AB105" s="161" t="n"/>
      <c r="AC105" s="161" t="n"/>
      <c r="AD105" s="161" t="n"/>
      <c r="AE105" s="161" t="n"/>
      <c r="AF105" s="161" t="n"/>
      <c r="AG105" s="161" t="n"/>
      <c r="AH105" s="161" t="n"/>
      <c r="AI105" s="161" t="n"/>
      <c r="AJ105" s="161" t="n"/>
      <c r="AK105" s="161" t="n"/>
      <c r="AL105" s="161" t="n"/>
      <c r="AM105" s="161" t="n"/>
      <c r="AN105" s="161" t="n"/>
      <c r="AO105" s="161" t="n"/>
      <c r="AP105" s="161" t="n"/>
      <c r="AQ105" s="161" t="n"/>
      <c r="AR105" s="161" t="n"/>
      <c r="AS105" s="161" t="n"/>
      <c r="AT105" s="161" t="n"/>
      <c r="AU105" s="161" t="n"/>
      <c r="AV105" s="161" t="n"/>
      <c r="AW105" s="161" t="n"/>
      <c r="AX105" s="161" t="n"/>
      <c r="AY105" s="161" t="n"/>
      <c r="AZ105" s="161" t="n"/>
    </row>
    <row r="106" ht="15" customHeight="1">
      <c r="A106" s="161" t="n"/>
      <c r="B106" s="161" t="n"/>
      <c r="C106" s="161" t="n"/>
      <c r="D106" s="161" t="n"/>
      <c r="E106" s="161" t="n"/>
      <c r="F106" s="161" t="n"/>
      <c r="G106" s="161" t="n"/>
      <c r="H106" s="161" t="n"/>
      <c r="I106" s="161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  <c r="S106" s="161" t="n"/>
      <c r="T106" s="161" t="n"/>
      <c r="U106" s="161" t="n"/>
      <c r="V106" s="161" t="n"/>
      <c r="W106" s="161" t="n"/>
      <c r="X106" s="161" t="n"/>
      <c r="Y106" s="161" t="n"/>
      <c r="Z106" s="161" t="n"/>
      <c r="AA106" s="161" t="n"/>
      <c r="AB106" s="161" t="n"/>
      <c r="AC106" s="161" t="n"/>
      <c r="AD106" s="161" t="n"/>
      <c r="AE106" s="161" t="n"/>
      <c r="AF106" s="161" t="n"/>
      <c r="AG106" s="161" t="n"/>
      <c r="AH106" s="161" t="n"/>
      <c r="AI106" s="161" t="n"/>
      <c r="AJ106" s="161" t="n"/>
      <c r="AK106" s="161" t="n"/>
      <c r="AL106" s="161" t="n"/>
      <c r="AM106" s="161" t="n"/>
      <c r="AN106" s="161" t="n"/>
      <c r="AO106" s="161" t="n"/>
      <c r="AP106" s="161" t="n"/>
      <c r="AQ106" s="161" t="n"/>
      <c r="AR106" s="161" t="n"/>
      <c r="AS106" s="161" t="n"/>
      <c r="AT106" s="161" t="n"/>
      <c r="AU106" s="161" t="n"/>
      <c r="AV106" s="161" t="n"/>
      <c r="AW106" s="161" t="n"/>
      <c r="AX106" s="161" t="n"/>
      <c r="AY106" s="161" t="n"/>
      <c r="AZ106" s="161" t="n"/>
    </row>
    <row r="107" ht="15" customHeight="1">
      <c r="A107" s="161" t="n"/>
      <c r="B107" s="161" t="n"/>
      <c r="C107" s="161" t="n"/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  <c r="S107" s="161" t="n"/>
      <c r="T107" s="161" t="n"/>
      <c r="U107" s="161" t="n"/>
      <c r="V107" s="161" t="n"/>
      <c r="W107" s="161" t="n"/>
      <c r="X107" s="161" t="n"/>
      <c r="Y107" s="161" t="n"/>
      <c r="Z107" s="161" t="n"/>
      <c r="AA107" s="161" t="n"/>
      <c r="AB107" s="161" t="n"/>
      <c r="AC107" s="161" t="n"/>
      <c r="AD107" s="161" t="n"/>
      <c r="AE107" s="161" t="n"/>
      <c r="AF107" s="161" t="n"/>
      <c r="AG107" s="161" t="n"/>
      <c r="AH107" s="161" t="n"/>
      <c r="AI107" s="161" t="n"/>
      <c r="AJ107" s="161" t="n"/>
      <c r="AK107" s="161" t="n"/>
      <c r="AL107" s="161" t="n"/>
      <c r="AM107" s="161" t="n"/>
      <c r="AN107" s="161" t="n"/>
      <c r="AO107" s="161" t="n"/>
      <c r="AP107" s="161" t="n"/>
      <c r="AQ107" s="161" t="n"/>
      <c r="AR107" s="161" t="n"/>
      <c r="AS107" s="161" t="n"/>
      <c r="AT107" s="161" t="n"/>
      <c r="AU107" s="161" t="n"/>
      <c r="AV107" s="161" t="n"/>
      <c r="AW107" s="161" t="n"/>
      <c r="AX107" s="161" t="n"/>
      <c r="AY107" s="161" t="n"/>
      <c r="AZ107" s="161" t="n"/>
    </row>
    <row r="108" ht="15" customHeight="1">
      <c r="A108" s="161" t="n"/>
      <c r="B108" s="161" t="n"/>
      <c r="C108" s="161" t="n"/>
      <c r="D108" s="161" t="n"/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  <c r="S108" s="161" t="n"/>
      <c r="T108" s="161" t="n"/>
      <c r="U108" s="161" t="n"/>
      <c r="V108" s="161" t="n"/>
      <c r="W108" s="161" t="n"/>
      <c r="X108" s="161" t="n"/>
      <c r="Y108" s="161" t="n"/>
      <c r="Z108" s="161" t="n"/>
      <c r="AA108" s="161" t="n"/>
      <c r="AB108" s="161" t="n"/>
      <c r="AC108" s="161" t="n"/>
      <c r="AD108" s="161" t="n"/>
      <c r="AE108" s="161" t="n"/>
      <c r="AF108" s="161" t="n"/>
      <c r="AG108" s="161" t="n"/>
      <c r="AH108" s="161" t="n"/>
      <c r="AI108" s="161" t="n"/>
      <c r="AJ108" s="161" t="n"/>
      <c r="AK108" s="161" t="n"/>
      <c r="AL108" s="161" t="n"/>
      <c r="AM108" s="161" t="n"/>
      <c r="AN108" s="161" t="n"/>
      <c r="AO108" s="161" t="n"/>
      <c r="AP108" s="161" t="n"/>
      <c r="AQ108" s="161" t="n"/>
      <c r="AR108" s="161" t="n"/>
      <c r="AS108" s="161" t="n"/>
      <c r="AT108" s="161" t="n"/>
      <c r="AU108" s="161" t="n"/>
      <c r="AV108" s="161" t="n"/>
      <c r="AW108" s="161" t="n"/>
      <c r="AX108" s="161" t="n"/>
      <c r="AY108" s="161" t="n"/>
      <c r="AZ108" s="161" t="n"/>
    </row>
    <row r="109" ht="15" customHeight="1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  <c r="S109" s="161" t="n"/>
      <c r="T109" s="161" t="n"/>
      <c r="U109" s="161" t="n"/>
      <c r="V109" s="161" t="n"/>
      <c r="W109" s="161" t="n"/>
      <c r="X109" s="161" t="n"/>
      <c r="Y109" s="161" t="n"/>
      <c r="Z109" s="161" t="n"/>
      <c r="AA109" s="161" t="n"/>
      <c r="AB109" s="161" t="n"/>
      <c r="AC109" s="161" t="n"/>
      <c r="AD109" s="161" t="n"/>
      <c r="AE109" s="161" t="n"/>
      <c r="AF109" s="161" t="n"/>
      <c r="AG109" s="161" t="n"/>
      <c r="AH109" s="161" t="n"/>
      <c r="AI109" s="161" t="n"/>
      <c r="AJ109" s="161" t="n"/>
      <c r="AK109" s="161" t="n"/>
      <c r="AL109" s="161" t="n"/>
      <c r="AM109" s="161" t="n"/>
      <c r="AN109" s="161" t="n"/>
      <c r="AO109" s="161" t="n"/>
      <c r="AP109" s="161" t="n"/>
      <c r="AQ109" s="161" t="n"/>
      <c r="AR109" s="161" t="n"/>
      <c r="AS109" s="161" t="n"/>
      <c r="AT109" s="161" t="n"/>
      <c r="AU109" s="161" t="n"/>
      <c r="AV109" s="161" t="n"/>
      <c r="AW109" s="161" t="n"/>
      <c r="AX109" s="161" t="n"/>
      <c r="AY109" s="161" t="n"/>
      <c r="AZ109" s="161" t="n"/>
    </row>
    <row r="110" ht="15" customHeight="1">
      <c r="A110" s="161" t="n"/>
      <c r="B110" s="161" t="n"/>
      <c r="C110" s="161" t="n"/>
      <c r="D110" s="161" t="n"/>
      <c r="E110" s="161" t="n"/>
      <c r="F110" s="161" t="n"/>
      <c r="G110" s="161" t="n"/>
      <c r="H110" s="161" t="n"/>
      <c r="I110" s="161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  <c r="S110" s="161" t="n"/>
      <c r="T110" s="161" t="n"/>
      <c r="U110" s="161" t="n"/>
      <c r="V110" s="161" t="n"/>
      <c r="W110" s="161" t="n"/>
      <c r="X110" s="161" t="n"/>
      <c r="Y110" s="161" t="n"/>
      <c r="Z110" s="161" t="n"/>
      <c r="AA110" s="161" t="n"/>
      <c r="AB110" s="161" t="n"/>
      <c r="AC110" s="161" t="n"/>
      <c r="AD110" s="161" t="n"/>
      <c r="AE110" s="161" t="n"/>
      <c r="AF110" s="161" t="n"/>
      <c r="AG110" s="161" t="n"/>
      <c r="AH110" s="161" t="n"/>
      <c r="AI110" s="161" t="n"/>
      <c r="AJ110" s="161" t="n"/>
      <c r="AK110" s="161" t="n"/>
      <c r="AL110" s="161" t="n"/>
      <c r="AM110" s="161" t="n"/>
      <c r="AN110" s="161" t="n"/>
      <c r="AO110" s="161" t="n"/>
      <c r="AP110" s="161" t="n"/>
      <c r="AQ110" s="161" t="n"/>
      <c r="AR110" s="161" t="n"/>
      <c r="AS110" s="161" t="n"/>
      <c r="AT110" s="161" t="n"/>
      <c r="AU110" s="161" t="n"/>
      <c r="AV110" s="161" t="n"/>
      <c r="AW110" s="161" t="n"/>
      <c r="AX110" s="161" t="n"/>
      <c r="AY110" s="161" t="n"/>
      <c r="AZ110" s="161" t="n"/>
    </row>
    <row r="111" ht="15" customHeight="1">
      <c r="A111" s="161" t="n"/>
      <c r="B111" s="161" t="n"/>
      <c r="C111" s="161" t="n"/>
      <c r="D111" s="161" t="n"/>
      <c r="E111" s="161" t="n"/>
      <c r="F111" s="161" t="n"/>
      <c r="G111" s="161" t="n"/>
      <c r="H111" s="161" t="n"/>
      <c r="I111" s="161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  <c r="S111" s="161" t="n"/>
      <c r="T111" s="161" t="n"/>
      <c r="U111" s="161" t="n"/>
      <c r="V111" s="161" t="n"/>
      <c r="W111" s="161" t="n"/>
      <c r="X111" s="161" t="n"/>
      <c r="Y111" s="161" t="n"/>
      <c r="Z111" s="161" t="n"/>
      <c r="AA111" s="161" t="n"/>
      <c r="AB111" s="161" t="n"/>
      <c r="AC111" s="161" t="n"/>
      <c r="AD111" s="161" t="n"/>
      <c r="AE111" s="161" t="n"/>
      <c r="AF111" s="161" t="n"/>
      <c r="AG111" s="161" t="n"/>
      <c r="AH111" s="161" t="n"/>
      <c r="AI111" s="161" t="n"/>
      <c r="AJ111" s="161" t="n"/>
      <c r="AK111" s="161" t="n"/>
      <c r="AL111" s="161" t="n"/>
      <c r="AM111" s="161" t="n"/>
      <c r="AN111" s="161" t="n"/>
      <c r="AO111" s="161" t="n"/>
      <c r="AP111" s="161" t="n"/>
      <c r="AQ111" s="161" t="n"/>
      <c r="AR111" s="161" t="n"/>
      <c r="AS111" s="161" t="n"/>
      <c r="AT111" s="161" t="n"/>
      <c r="AU111" s="161" t="n"/>
      <c r="AV111" s="161" t="n"/>
      <c r="AW111" s="161" t="n"/>
      <c r="AX111" s="161" t="n"/>
      <c r="AY111" s="161" t="n"/>
      <c r="AZ111" s="161" t="n"/>
    </row>
    <row r="112" ht="15" customHeight="1">
      <c r="A112" s="161" t="n"/>
      <c r="B112" s="161" t="n"/>
      <c r="C112" s="161" t="n"/>
      <c r="D112" s="161" t="n"/>
      <c r="E112" s="161" t="n"/>
      <c r="F112" s="161" t="n"/>
      <c r="G112" s="161" t="n"/>
      <c r="H112" s="161" t="n"/>
      <c r="I112" s="16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  <c r="S112" s="161" t="n"/>
      <c r="T112" s="161" t="n"/>
      <c r="U112" s="161" t="n"/>
      <c r="V112" s="161" t="n"/>
      <c r="W112" s="161" t="n"/>
      <c r="X112" s="161" t="n"/>
      <c r="Y112" s="161" t="n"/>
      <c r="Z112" s="161" t="n"/>
      <c r="AA112" s="161" t="n"/>
      <c r="AB112" s="161" t="n"/>
      <c r="AC112" s="161" t="n"/>
      <c r="AD112" s="161" t="n"/>
      <c r="AE112" s="161" t="n"/>
      <c r="AF112" s="161" t="n"/>
      <c r="AG112" s="161" t="n"/>
      <c r="AH112" s="161" t="n"/>
      <c r="AI112" s="161" t="n"/>
      <c r="AJ112" s="161" t="n"/>
      <c r="AK112" s="161" t="n"/>
      <c r="AL112" s="161" t="n"/>
      <c r="AM112" s="161" t="n"/>
      <c r="AN112" s="161" t="n"/>
      <c r="AO112" s="161" t="n"/>
      <c r="AP112" s="161" t="n"/>
      <c r="AQ112" s="161" t="n"/>
      <c r="AR112" s="161" t="n"/>
      <c r="AS112" s="161" t="n"/>
      <c r="AT112" s="161" t="n"/>
      <c r="AU112" s="161" t="n"/>
      <c r="AV112" s="161" t="n"/>
      <c r="AW112" s="161" t="n"/>
      <c r="AX112" s="161" t="n"/>
      <c r="AY112" s="161" t="n"/>
      <c r="AZ112" s="161" t="n"/>
    </row>
    <row r="113" ht="15" customHeight="1">
      <c r="A113" s="161" t="n"/>
      <c r="B113" s="161" t="n"/>
      <c r="C113" s="161" t="n"/>
      <c r="D113" s="161" t="n"/>
      <c r="E113" s="161" t="n"/>
      <c r="F113" s="161" t="n"/>
      <c r="G113" s="161" t="n"/>
      <c r="H113" s="161" t="n"/>
      <c r="I113" s="161" t="n"/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  <c r="S113" s="161" t="n"/>
      <c r="T113" s="161" t="n"/>
      <c r="U113" s="161" t="n"/>
      <c r="V113" s="161" t="n"/>
      <c r="W113" s="161" t="n"/>
      <c r="X113" s="161" t="n"/>
      <c r="Y113" s="161" t="n"/>
      <c r="Z113" s="161" t="n"/>
      <c r="AA113" s="161" t="n"/>
      <c r="AB113" s="161" t="n"/>
      <c r="AC113" s="161" t="n"/>
      <c r="AD113" s="161" t="n"/>
      <c r="AE113" s="161" t="n"/>
      <c r="AF113" s="161" t="n"/>
      <c r="AG113" s="161" t="n"/>
      <c r="AH113" s="161" t="n"/>
      <c r="AI113" s="161" t="n"/>
      <c r="AJ113" s="161" t="n"/>
      <c r="AK113" s="161" t="n"/>
      <c r="AL113" s="161" t="n"/>
      <c r="AM113" s="161" t="n"/>
      <c r="AN113" s="161" t="n"/>
      <c r="AO113" s="161" t="n"/>
      <c r="AP113" s="161" t="n"/>
      <c r="AQ113" s="161" t="n"/>
      <c r="AR113" s="161" t="n"/>
      <c r="AS113" s="161" t="n"/>
      <c r="AT113" s="161" t="n"/>
      <c r="AU113" s="161" t="n"/>
      <c r="AV113" s="161" t="n"/>
      <c r="AW113" s="161" t="n"/>
      <c r="AX113" s="161" t="n"/>
      <c r="AY113" s="161" t="n"/>
      <c r="AZ113" s="161" t="n"/>
    </row>
    <row r="114" ht="15" customHeight="1">
      <c r="A114" s="161" t="n"/>
      <c r="B114" s="161" t="n"/>
      <c r="C114" s="161" t="n"/>
      <c r="D114" s="161" t="n"/>
      <c r="E114" s="161" t="n"/>
      <c r="F114" s="161" t="n"/>
      <c r="G114" s="161" t="n"/>
      <c r="H114" s="161" t="n"/>
      <c r="I114" s="161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  <c r="S114" s="161" t="n"/>
      <c r="T114" s="161" t="n"/>
      <c r="U114" s="161" t="n"/>
      <c r="V114" s="161" t="n"/>
      <c r="W114" s="161" t="n"/>
      <c r="X114" s="161" t="n"/>
      <c r="Y114" s="161" t="n"/>
      <c r="Z114" s="161" t="n"/>
      <c r="AA114" s="161" t="n"/>
      <c r="AB114" s="161" t="n"/>
      <c r="AC114" s="161" t="n"/>
      <c r="AD114" s="161" t="n"/>
      <c r="AE114" s="161" t="n"/>
      <c r="AF114" s="161" t="n"/>
      <c r="AG114" s="161" t="n"/>
      <c r="AH114" s="161" t="n"/>
      <c r="AI114" s="161" t="n"/>
      <c r="AJ114" s="161" t="n"/>
      <c r="AK114" s="161" t="n"/>
      <c r="AL114" s="161" t="n"/>
      <c r="AM114" s="161" t="n"/>
      <c r="AN114" s="161" t="n"/>
      <c r="AO114" s="161" t="n"/>
      <c r="AP114" s="161" t="n"/>
      <c r="AQ114" s="161" t="n"/>
      <c r="AR114" s="161" t="n"/>
      <c r="AS114" s="161" t="n"/>
      <c r="AT114" s="161" t="n"/>
      <c r="AU114" s="161" t="n"/>
      <c r="AV114" s="161" t="n"/>
      <c r="AW114" s="161" t="n"/>
      <c r="AX114" s="161" t="n"/>
      <c r="AY114" s="161" t="n"/>
      <c r="AZ114" s="161" t="n"/>
    </row>
    <row r="115" ht="15" customHeight="1">
      <c r="A115" s="161" t="n"/>
      <c r="B115" s="161" t="n"/>
      <c r="C115" s="161" t="n"/>
      <c r="D115" s="161" t="n"/>
      <c r="E115" s="161" t="n"/>
      <c r="F115" s="161" t="n"/>
      <c r="G115" s="161" t="n"/>
      <c r="H115" s="161" t="n"/>
      <c r="I115" s="16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  <c r="S115" s="161" t="n"/>
      <c r="T115" s="161" t="n"/>
      <c r="U115" s="161" t="n"/>
      <c r="V115" s="161" t="n"/>
      <c r="W115" s="161" t="n"/>
      <c r="X115" s="161" t="n"/>
      <c r="Y115" s="161" t="n"/>
      <c r="Z115" s="161" t="n"/>
      <c r="AA115" s="161" t="n"/>
      <c r="AB115" s="161" t="n"/>
      <c r="AC115" s="161" t="n"/>
      <c r="AD115" s="161" t="n"/>
      <c r="AE115" s="161" t="n"/>
      <c r="AF115" s="161" t="n"/>
      <c r="AG115" s="161" t="n"/>
      <c r="AH115" s="161" t="n"/>
      <c r="AI115" s="161" t="n"/>
      <c r="AJ115" s="161" t="n"/>
      <c r="AK115" s="161" t="n"/>
      <c r="AL115" s="161" t="n"/>
      <c r="AM115" s="161" t="n"/>
      <c r="AN115" s="161" t="n"/>
      <c r="AO115" s="161" t="n"/>
      <c r="AP115" s="161" t="n"/>
      <c r="AQ115" s="161" t="n"/>
      <c r="AR115" s="161" t="n"/>
      <c r="AS115" s="161" t="n"/>
      <c r="AT115" s="161" t="n"/>
      <c r="AU115" s="161" t="n"/>
      <c r="AV115" s="161" t="n"/>
      <c r="AW115" s="161" t="n"/>
      <c r="AX115" s="161" t="n"/>
      <c r="AY115" s="161" t="n"/>
      <c r="AZ115" s="161" t="n"/>
    </row>
    <row r="116" ht="15" customHeight="1">
      <c r="A116" s="161" t="n"/>
      <c r="B116" s="161" t="n"/>
      <c r="C116" s="161" t="n"/>
      <c r="D116" s="161" t="n"/>
      <c r="E116" s="161" t="n"/>
      <c r="F116" s="161" t="n"/>
      <c r="G116" s="161" t="n"/>
      <c r="H116" s="161" t="n"/>
      <c r="I116" s="161" t="n"/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  <c r="S116" s="161" t="n"/>
      <c r="T116" s="161" t="n"/>
      <c r="U116" s="161" t="n"/>
      <c r="V116" s="161" t="n"/>
      <c r="W116" s="161" t="n"/>
      <c r="X116" s="161" t="n"/>
      <c r="Y116" s="161" t="n"/>
      <c r="Z116" s="161" t="n"/>
      <c r="AA116" s="161" t="n"/>
      <c r="AB116" s="161" t="n"/>
      <c r="AC116" s="161" t="n"/>
      <c r="AD116" s="161" t="n"/>
      <c r="AE116" s="161" t="n"/>
      <c r="AF116" s="161" t="n"/>
      <c r="AG116" s="161" t="n"/>
      <c r="AH116" s="161" t="n"/>
      <c r="AI116" s="161" t="n"/>
      <c r="AJ116" s="161" t="n"/>
      <c r="AK116" s="161" t="n"/>
      <c r="AL116" s="161" t="n"/>
      <c r="AM116" s="161" t="n"/>
      <c r="AN116" s="161" t="n"/>
      <c r="AO116" s="161" t="n"/>
      <c r="AP116" s="161" t="n"/>
      <c r="AQ116" s="161" t="n"/>
      <c r="AR116" s="161" t="n"/>
      <c r="AS116" s="161" t="n"/>
      <c r="AT116" s="161" t="n"/>
      <c r="AU116" s="161" t="n"/>
      <c r="AV116" s="161" t="n"/>
      <c r="AW116" s="161" t="n"/>
      <c r="AX116" s="161" t="n"/>
      <c r="AY116" s="161" t="n"/>
      <c r="AZ116" s="161" t="n"/>
    </row>
    <row r="117" ht="15" customHeight="1">
      <c r="A117" s="161" t="n"/>
      <c r="B117" s="161" t="n"/>
      <c r="C117" s="161" t="n"/>
      <c r="D117" s="161" t="n"/>
      <c r="E117" s="161" t="n"/>
      <c r="F117" s="161" t="n"/>
      <c r="G117" s="161" t="n"/>
      <c r="H117" s="161" t="n"/>
      <c r="I117" s="161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  <c r="S117" s="161" t="n"/>
      <c r="T117" s="161" t="n"/>
      <c r="U117" s="161" t="n"/>
      <c r="V117" s="161" t="n"/>
      <c r="W117" s="161" t="n"/>
      <c r="X117" s="161" t="n"/>
      <c r="Y117" s="161" t="n"/>
      <c r="Z117" s="161" t="n"/>
      <c r="AA117" s="161" t="n"/>
      <c r="AB117" s="161" t="n"/>
      <c r="AC117" s="161" t="n"/>
      <c r="AD117" s="161" t="n"/>
      <c r="AE117" s="161" t="n"/>
      <c r="AF117" s="161" t="n"/>
      <c r="AG117" s="161" t="n"/>
      <c r="AH117" s="161" t="n"/>
      <c r="AI117" s="161" t="n"/>
      <c r="AJ117" s="161" t="n"/>
      <c r="AK117" s="161" t="n"/>
      <c r="AL117" s="161" t="n"/>
      <c r="AM117" s="161" t="n"/>
      <c r="AN117" s="161" t="n"/>
      <c r="AO117" s="161" t="n"/>
      <c r="AP117" s="161" t="n"/>
      <c r="AQ117" s="161" t="n"/>
      <c r="AR117" s="161" t="n"/>
      <c r="AS117" s="161" t="n"/>
      <c r="AT117" s="161" t="n"/>
      <c r="AU117" s="161" t="n"/>
      <c r="AV117" s="161" t="n"/>
      <c r="AW117" s="161" t="n"/>
      <c r="AX117" s="161" t="n"/>
      <c r="AY117" s="161" t="n"/>
      <c r="AZ117" s="161" t="n"/>
    </row>
    <row r="118" ht="15" customHeight="1">
      <c r="A118" s="161" t="n"/>
      <c r="B118" s="161" t="n"/>
      <c r="C118" s="161" t="n"/>
      <c r="D118" s="161" t="n"/>
      <c r="E118" s="161" t="n"/>
      <c r="F118" s="161" t="n"/>
      <c r="G118" s="161" t="n"/>
      <c r="H118" s="161" t="n"/>
      <c r="I118" s="161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  <c r="S118" s="161" t="n"/>
      <c r="T118" s="161" t="n"/>
      <c r="U118" s="161" t="n"/>
      <c r="V118" s="161" t="n"/>
      <c r="W118" s="161" t="n"/>
      <c r="X118" s="161" t="n"/>
      <c r="Y118" s="161" t="n"/>
      <c r="Z118" s="161" t="n"/>
      <c r="AA118" s="161" t="n"/>
      <c r="AB118" s="161" t="n"/>
      <c r="AC118" s="161" t="n"/>
      <c r="AD118" s="161" t="n"/>
      <c r="AE118" s="161" t="n"/>
      <c r="AF118" s="161" t="n"/>
      <c r="AG118" s="161" t="n"/>
      <c r="AH118" s="161" t="n"/>
      <c r="AI118" s="161" t="n"/>
      <c r="AJ118" s="161" t="n"/>
      <c r="AK118" s="161" t="n"/>
      <c r="AL118" s="161" t="n"/>
      <c r="AM118" s="161" t="n"/>
      <c r="AN118" s="161" t="n"/>
      <c r="AO118" s="161" t="n"/>
      <c r="AP118" s="161" t="n"/>
      <c r="AQ118" s="161" t="n"/>
      <c r="AR118" s="161" t="n"/>
      <c r="AS118" s="161" t="n"/>
      <c r="AT118" s="161" t="n"/>
      <c r="AU118" s="161" t="n"/>
      <c r="AV118" s="161" t="n"/>
      <c r="AW118" s="161" t="n"/>
      <c r="AX118" s="161" t="n"/>
      <c r="AY118" s="161" t="n"/>
      <c r="AZ118" s="161" t="n"/>
    </row>
    <row r="119" ht="15" customHeight="1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  <c r="S119" s="161" t="n"/>
      <c r="T119" s="161" t="n"/>
      <c r="U119" s="161" t="n"/>
      <c r="V119" s="161" t="n"/>
      <c r="W119" s="161" t="n"/>
      <c r="X119" s="161" t="n"/>
      <c r="Y119" s="161" t="n"/>
      <c r="Z119" s="161" t="n"/>
      <c r="AA119" s="161" t="n"/>
      <c r="AB119" s="161" t="n"/>
      <c r="AC119" s="161" t="n"/>
      <c r="AD119" s="161" t="n"/>
      <c r="AE119" s="161" t="n"/>
      <c r="AF119" s="161" t="n"/>
      <c r="AG119" s="161" t="n"/>
      <c r="AH119" s="161" t="n"/>
      <c r="AI119" s="161" t="n"/>
      <c r="AJ119" s="161" t="n"/>
      <c r="AK119" s="161" t="n"/>
      <c r="AL119" s="161" t="n"/>
      <c r="AM119" s="161" t="n"/>
      <c r="AN119" s="161" t="n"/>
      <c r="AO119" s="161" t="n"/>
      <c r="AP119" s="161" t="n"/>
      <c r="AQ119" s="161" t="n"/>
      <c r="AR119" s="161" t="n"/>
      <c r="AS119" s="161" t="n"/>
      <c r="AT119" s="161" t="n"/>
      <c r="AU119" s="161" t="n"/>
      <c r="AV119" s="161" t="n"/>
      <c r="AW119" s="161" t="n"/>
      <c r="AX119" s="161" t="n"/>
      <c r="AY119" s="161" t="n"/>
      <c r="AZ119" s="161" t="n"/>
    </row>
    <row r="120" ht="15" customHeight="1">
      <c r="A120" s="161" t="n"/>
      <c r="B120" s="161" t="n"/>
      <c r="C120" s="161" t="n"/>
      <c r="D120" s="161" t="n"/>
      <c r="E120" s="161" t="n"/>
      <c r="F120" s="161" t="n"/>
      <c r="G120" s="161" t="n"/>
      <c r="H120" s="161" t="n"/>
      <c r="I120" s="161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  <c r="S120" s="161" t="n"/>
      <c r="T120" s="161" t="n"/>
      <c r="U120" s="161" t="n"/>
      <c r="V120" s="161" t="n"/>
      <c r="W120" s="161" t="n"/>
      <c r="X120" s="161" t="n"/>
      <c r="Y120" s="161" t="n"/>
      <c r="Z120" s="161" t="n"/>
      <c r="AA120" s="161" t="n"/>
      <c r="AB120" s="161" t="n"/>
      <c r="AC120" s="161" t="n"/>
      <c r="AD120" s="161" t="n"/>
      <c r="AE120" s="161" t="n"/>
      <c r="AF120" s="161" t="n"/>
      <c r="AG120" s="161" t="n"/>
      <c r="AH120" s="161" t="n"/>
      <c r="AI120" s="161" t="n"/>
      <c r="AJ120" s="161" t="n"/>
      <c r="AK120" s="161" t="n"/>
      <c r="AL120" s="161" t="n"/>
      <c r="AM120" s="161" t="n"/>
      <c r="AN120" s="161" t="n"/>
      <c r="AO120" s="161" t="n"/>
      <c r="AP120" s="161" t="n"/>
      <c r="AQ120" s="161" t="n"/>
      <c r="AR120" s="161" t="n"/>
      <c r="AS120" s="161" t="n"/>
      <c r="AT120" s="161" t="n"/>
      <c r="AU120" s="161" t="n"/>
      <c r="AV120" s="161" t="n"/>
      <c r="AW120" s="161" t="n"/>
      <c r="AX120" s="161" t="n"/>
      <c r="AY120" s="161" t="n"/>
      <c r="AZ120" s="161" t="n"/>
    </row>
    <row r="121" ht="15" customHeight="1">
      <c r="A121" s="161" t="n"/>
      <c r="B121" s="161" t="n"/>
      <c r="C121" s="161" t="n"/>
      <c r="D121" s="161" t="n"/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  <c r="S121" s="161" t="n"/>
      <c r="T121" s="161" t="n"/>
      <c r="U121" s="161" t="n"/>
      <c r="V121" s="161" t="n"/>
      <c r="W121" s="161" t="n"/>
      <c r="X121" s="161" t="n"/>
      <c r="Y121" s="161" t="n"/>
      <c r="Z121" s="161" t="n"/>
      <c r="AA121" s="161" t="n"/>
      <c r="AB121" s="161" t="n"/>
      <c r="AC121" s="161" t="n"/>
      <c r="AD121" s="161" t="n"/>
      <c r="AE121" s="161" t="n"/>
      <c r="AF121" s="161" t="n"/>
      <c r="AG121" s="161" t="n"/>
      <c r="AH121" s="161" t="n"/>
      <c r="AI121" s="161" t="n"/>
      <c r="AJ121" s="161" t="n"/>
      <c r="AK121" s="161" t="n"/>
      <c r="AL121" s="161" t="n"/>
      <c r="AM121" s="161" t="n"/>
      <c r="AN121" s="161" t="n"/>
      <c r="AO121" s="161" t="n"/>
      <c r="AP121" s="161" t="n"/>
      <c r="AQ121" s="161" t="n"/>
      <c r="AR121" s="161" t="n"/>
      <c r="AS121" s="161" t="n"/>
      <c r="AT121" s="161" t="n"/>
      <c r="AU121" s="161" t="n"/>
      <c r="AV121" s="161" t="n"/>
      <c r="AW121" s="161" t="n"/>
      <c r="AX121" s="161" t="n"/>
      <c r="AY121" s="161" t="n"/>
      <c r="AZ121" s="161" t="n"/>
    </row>
    <row r="122" ht="15" customHeight="1">
      <c r="A122" s="161" t="n"/>
      <c r="B122" s="161" t="n"/>
      <c r="C122" s="161" t="n"/>
      <c r="D122" s="161" t="n"/>
      <c r="E122" s="161" t="n"/>
      <c r="F122" s="161" t="n"/>
      <c r="G122" s="161" t="n"/>
      <c r="H122" s="161" t="n"/>
      <c r="I122" s="161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  <c r="S122" s="161" t="n"/>
      <c r="T122" s="161" t="n"/>
      <c r="U122" s="161" t="n"/>
      <c r="V122" s="161" t="n"/>
      <c r="W122" s="161" t="n"/>
      <c r="X122" s="161" t="n"/>
      <c r="Y122" s="161" t="n"/>
      <c r="Z122" s="161" t="n"/>
      <c r="AA122" s="161" t="n"/>
      <c r="AB122" s="161" t="n"/>
      <c r="AC122" s="161" t="n"/>
      <c r="AD122" s="161" t="n"/>
      <c r="AE122" s="161" t="n"/>
      <c r="AF122" s="161" t="n"/>
      <c r="AG122" s="161" t="n"/>
      <c r="AH122" s="161" t="n"/>
      <c r="AI122" s="161" t="n"/>
      <c r="AJ122" s="161" t="n"/>
      <c r="AK122" s="161" t="n"/>
      <c r="AL122" s="161" t="n"/>
      <c r="AM122" s="161" t="n"/>
      <c r="AN122" s="161" t="n"/>
      <c r="AO122" s="161" t="n"/>
      <c r="AP122" s="161" t="n"/>
      <c r="AQ122" s="161" t="n"/>
      <c r="AR122" s="161" t="n"/>
      <c r="AS122" s="161" t="n"/>
      <c r="AT122" s="161" t="n"/>
      <c r="AU122" s="161" t="n"/>
      <c r="AV122" s="161" t="n"/>
      <c r="AW122" s="161" t="n"/>
      <c r="AX122" s="161" t="n"/>
      <c r="AY122" s="161" t="n"/>
      <c r="AZ122" s="161" t="n"/>
    </row>
    <row r="123" ht="15" customHeight="1">
      <c r="A123" s="161" t="n"/>
      <c r="B123" s="161" t="n"/>
      <c r="C123" s="161" t="n"/>
      <c r="D123" s="161" t="n"/>
      <c r="E123" s="161" t="n"/>
      <c r="F123" s="161" t="n"/>
      <c r="G123" s="161" t="n"/>
      <c r="H123" s="161" t="n"/>
      <c r="I123" s="161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  <c r="S123" s="161" t="n"/>
      <c r="T123" s="161" t="n"/>
      <c r="U123" s="161" t="n"/>
      <c r="V123" s="161" t="n"/>
      <c r="W123" s="161" t="n"/>
      <c r="X123" s="161" t="n"/>
      <c r="Y123" s="161" t="n"/>
      <c r="Z123" s="161" t="n"/>
      <c r="AA123" s="161" t="n"/>
      <c r="AB123" s="161" t="n"/>
      <c r="AC123" s="161" t="n"/>
      <c r="AD123" s="161" t="n"/>
      <c r="AE123" s="161" t="n"/>
      <c r="AF123" s="161" t="n"/>
      <c r="AG123" s="161" t="n"/>
      <c r="AH123" s="161" t="n"/>
      <c r="AI123" s="161" t="n"/>
      <c r="AJ123" s="161" t="n"/>
      <c r="AK123" s="161" t="n"/>
      <c r="AL123" s="161" t="n"/>
      <c r="AM123" s="161" t="n"/>
      <c r="AN123" s="161" t="n"/>
      <c r="AO123" s="161" t="n"/>
      <c r="AP123" s="161" t="n"/>
      <c r="AQ123" s="161" t="n"/>
      <c r="AR123" s="161" t="n"/>
      <c r="AS123" s="161" t="n"/>
      <c r="AT123" s="161" t="n"/>
      <c r="AU123" s="161" t="n"/>
      <c r="AV123" s="161" t="n"/>
      <c r="AW123" s="161" t="n"/>
      <c r="AX123" s="161" t="n"/>
      <c r="AY123" s="161" t="n"/>
      <c r="AZ123" s="161" t="n"/>
    </row>
    <row r="124" ht="15" customHeight="1">
      <c r="A124" s="161" t="n"/>
      <c r="B124" s="161" t="n"/>
      <c r="C124" s="161" t="n"/>
      <c r="D124" s="161" t="n"/>
      <c r="E124" s="161" t="n"/>
      <c r="F124" s="161" t="n"/>
      <c r="G124" s="161" t="n"/>
      <c r="H124" s="161" t="n"/>
      <c r="I124" s="16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  <c r="S124" s="161" t="n"/>
      <c r="T124" s="161" t="n"/>
      <c r="U124" s="161" t="n"/>
      <c r="V124" s="161" t="n"/>
      <c r="W124" s="161" t="n"/>
      <c r="X124" s="161" t="n"/>
      <c r="Y124" s="161" t="n"/>
      <c r="Z124" s="161" t="n"/>
      <c r="AA124" s="161" t="n"/>
      <c r="AB124" s="161" t="n"/>
      <c r="AC124" s="161" t="n"/>
      <c r="AD124" s="161" t="n"/>
      <c r="AE124" s="161" t="n"/>
      <c r="AF124" s="161" t="n"/>
      <c r="AG124" s="161" t="n"/>
      <c r="AH124" s="161" t="n"/>
      <c r="AI124" s="161" t="n"/>
      <c r="AJ124" s="161" t="n"/>
      <c r="AK124" s="161" t="n"/>
      <c r="AL124" s="161" t="n"/>
      <c r="AM124" s="161" t="n"/>
      <c r="AN124" s="161" t="n"/>
      <c r="AO124" s="161" t="n"/>
      <c r="AP124" s="161" t="n"/>
      <c r="AQ124" s="161" t="n"/>
      <c r="AR124" s="161" t="n"/>
      <c r="AS124" s="161" t="n"/>
      <c r="AT124" s="161" t="n"/>
      <c r="AU124" s="161" t="n"/>
      <c r="AV124" s="161" t="n"/>
      <c r="AW124" s="161" t="n"/>
      <c r="AX124" s="161" t="n"/>
      <c r="AY124" s="161" t="n"/>
      <c r="AZ124" s="161" t="n"/>
    </row>
    <row r="125" ht="15" customHeight="1">
      <c r="A125" s="161" t="n"/>
      <c r="B125" s="161" t="n"/>
      <c r="C125" s="161" t="n"/>
      <c r="D125" s="161" t="n"/>
      <c r="E125" s="161" t="n"/>
      <c r="F125" s="161" t="n"/>
      <c r="G125" s="161" t="n"/>
      <c r="H125" s="161" t="n"/>
      <c r="I125" s="161" t="n"/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  <c r="S125" s="161" t="n"/>
      <c r="T125" s="161" t="n"/>
      <c r="U125" s="161" t="n"/>
      <c r="V125" s="161" t="n"/>
      <c r="W125" s="161" t="n"/>
      <c r="X125" s="161" t="n"/>
      <c r="Y125" s="161" t="n"/>
      <c r="Z125" s="161" t="n"/>
      <c r="AA125" s="161" t="n"/>
      <c r="AB125" s="161" t="n"/>
      <c r="AC125" s="161" t="n"/>
      <c r="AD125" s="161" t="n"/>
      <c r="AE125" s="161" t="n"/>
      <c r="AF125" s="161" t="n"/>
      <c r="AG125" s="161" t="n"/>
      <c r="AH125" s="161" t="n"/>
      <c r="AI125" s="161" t="n"/>
      <c r="AJ125" s="161" t="n"/>
      <c r="AK125" s="161" t="n"/>
      <c r="AL125" s="161" t="n"/>
      <c r="AM125" s="161" t="n"/>
      <c r="AN125" s="161" t="n"/>
      <c r="AO125" s="161" t="n"/>
      <c r="AP125" s="161" t="n"/>
      <c r="AQ125" s="161" t="n"/>
      <c r="AR125" s="161" t="n"/>
      <c r="AS125" s="161" t="n"/>
      <c r="AT125" s="161" t="n"/>
      <c r="AU125" s="161" t="n"/>
      <c r="AV125" s="161" t="n"/>
      <c r="AW125" s="161" t="n"/>
      <c r="AX125" s="161" t="n"/>
      <c r="AY125" s="161" t="n"/>
      <c r="AZ125" s="161" t="n"/>
    </row>
    <row r="126" ht="15" customHeight="1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  <c r="S126" s="161" t="n"/>
      <c r="T126" s="161" t="n"/>
      <c r="U126" s="161" t="n"/>
      <c r="V126" s="161" t="n"/>
      <c r="W126" s="161" t="n"/>
      <c r="X126" s="161" t="n"/>
      <c r="Y126" s="161" t="n"/>
      <c r="Z126" s="161" t="n"/>
      <c r="AA126" s="161" t="n"/>
      <c r="AB126" s="161" t="n"/>
      <c r="AC126" s="161" t="n"/>
      <c r="AD126" s="161" t="n"/>
      <c r="AE126" s="161" t="n"/>
      <c r="AF126" s="161" t="n"/>
      <c r="AG126" s="161" t="n"/>
      <c r="AH126" s="161" t="n"/>
      <c r="AI126" s="161" t="n"/>
      <c r="AJ126" s="161" t="n"/>
      <c r="AK126" s="161" t="n"/>
      <c r="AL126" s="161" t="n"/>
      <c r="AM126" s="161" t="n"/>
      <c r="AN126" s="161" t="n"/>
      <c r="AO126" s="161" t="n"/>
      <c r="AP126" s="161" t="n"/>
      <c r="AQ126" s="161" t="n"/>
      <c r="AR126" s="161" t="n"/>
      <c r="AS126" s="161" t="n"/>
      <c r="AT126" s="161" t="n"/>
      <c r="AU126" s="161" t="n"/>
      <c r="AV126" s="161" t="n"/>
      <c r="AW126" s="161" t="n"/>
      <c r="AX126" s="161" t="n"/>
      <c r="AY126" s="161" t="n"/>
      <c r="AZ126" s="161" t="n"/>
    </row>
    <row r="127" ht="15" customHeight="1">
      <c r="A127" s="161" t="n"/>
      <c r="B127" s="161" t="n"/>
      <c r="C127" s="161" t="n"/>
      <c r="D127" s="161" t="n"/>
      <c r="E127" s="161" t="n"/>
      <c r="F127" s="161" t="n"/>
      <c r="G127" s="161" t="n"/>
      <c r="H127" s="161" t="n"/>
      <c r="I127" s="161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  <c r="S127" s="161" t="n"/>
      <c r="T127" s="161" t="n"/>
      <c r="U127" s="161" t="n"/>
      <c r="V127" s="161" t="n"/>
      <c r="W127" s="161" t="n"/>
      <c r="X127" s="161" t="n"/>
      <c r="Y127" s="161" t="n"/>
      <c r="Z127" s="161" t="n"/>
      <c r="AA127" s="161" t="n"/>
      <c r="AB127" s="161" t="n"/>
      <c r="AC127" s="161" t="n"/>
      <c r="AD127" s="161" t="n"/>
      <c r="AE127" s="161" t="n"/>
      <c r="AF127" s="161" t="n"/>
      <c r="AG127" s="161" t="n"/>
      <c r="AH127" s="161" t="n"/>
      <c r="AI127" s="161" t="n"/>
      <c r="AJ127" s="161" t="n"/>
      <c r="AK127" s="161" t="n"/>
      <c r="AL127" s="161" t="n"/>
      <c r="AM127" s="161" t="n"/>
      <c r="AN127" s="161" t="n"/>
      <c r="AO127" s="161" t="n"/>
      <c r="AP127" s="161" t="n"/>
      <c r="AQ127" s="161" t="n"/>
      <c r="AR127" s="161" t="n"/>
      <c r="AS127" s="161" t="n"/>
      <c r="AT127" s="161" t="n"/>
      <c r="AU127" s="161" t="n"/>
      <c r="AV127" s="161" t="n"/>
      <c r="AW127" s="161" t="n"/>
      <c r="AX127" s="161" t="n"/>
      <c r="AY127" s="161" t="n"/>
      <c r="AZ127" s="161" t="n"/>
    </row>
    <row r="128" ht="15" customHeight="1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  <c r="S128" s="161" t="n"/>
      <c r="T128" s="161" t="n"/>
      <c r="U128" s="161" t="n"/>
      <c r="V128" s="161" t="n"/>
      <c r="W128" s="161" t="n"/>
      <c r="X128" s="161" t="n"/>
      <c r="Y128" s="161" t="n"/>
      <c r="Z128" s="161" t="n"/>
      <c r="AA128" s="161" t="n"/>
      <c r="AB128" s="161" t="n"/>
      <c r="AC128" s="161" t="n"/>
      <c r="AD128" s="161" t="n"/>
      <c r="AE128" s="161" t="n"/>
      <c r="AF128" s="161" t="n"/>
      <c r="AG128" s="161" t="n"/>
      <c r="AH128" s="161" t="n"/>
      <c r="AI128" s="161" t="n"/>
      <c r="AJ128" s="161" t="n"/>
      <c r="AK128" s="161" t="n"/>
      <c r="AL128" s="161" t="n"/>
      <c r="AM128" s="161" t="n"/>
      <c r="AN128" s="161" t="n"/>
      <c r="AO128" s="161" t="n"/>
      <c r="AP128" s="161" t="n"/>
      <c r="AQ128" s="161" t="n"/>
      <c r="AR128" s="161" t="n"/>
      <c r="AS128" s="161" t="n"/>
      <c r="AT128" s="161" t="n"/>
      <c r="AU128" s="161" t="n"/>
      <c r="AV128" s="161" t="n"/>
      <c r="AW128" s="161" t="n"/>
      <c r="AX128" s="161" t="n"/>
      <c r="AY128" s="161" t="n"/>
      <c r="AZ128" s="161" t="n"/>
    </row>
    <row r="129" ht="15" customHeight="1">
      <c r="A129" s="161" t="n"/>
      <c r="B129" s="161" t="n"/>
      <c r="C129" s="161" t="n"/>
      <c r="D129" s="161" t="n"/>
      <c r="E129" s="161" t="n"/>
      <c r="F129" s="161" t="n"/>
      <c r="G129" s="161" t="n"/>
      <c r="H129" s="161" t="n"/>
      <c r="I129" s="161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  <c r="S129" s="161" t="n"/>
      <c r="T129" s="161" t="n"/>
      <c r="U129" s="161" t="n"/>
      <c r="V129" s="161" t="n"/>
      <c r="W129" s="161" t="n"/>
      <c r="X129" s="161" t="n"/>
      <c r="Y129" s="161" t="n"/>
      <c r="Z129" s="161" t="n"/>
      <c r="AA129" s="161" t="n"/>
      <c r="AB129" s="161" t="n"/>
      <c r="AC129" s="161" t="n"/>
      <c r="AD129" s="161" t="n"/>
      <c r="AE129" s="161" t="n"/>
      <c r="AF129" s="161" t="n"/>
      <c r="AG129" s="161" t="n"/>
      <c r="AH129" s="161" t="n"/>
      <c r="AI129" s="161" t="n"/>
      <c r="AJ129" s="161" t="n"/>
      <c r="AK129" s="161" t="n"/>
      <c r="AL129" s="161" t="n"/>
      <c r="AM129" s="161" t="n"/>
      <c r="AN129" s="161" t="n"/>
      <c r="AO129" s="161" t="n"/>
      <c r="AP129" s="161" t="n"/>
      <c r="AQ129" s="161" t="n"/>
      <c r="AR129" s="161" t="n"/>
      <c r="AS129" s="161" t="n"/>
      <c r="AT129" s="161" t="n"/>
      <c r="AU129" s="161" t="n"/>
      <c r="AV129" s="161" t="n"/>
      <c r="AW129" s="161" t="n"/>
      <c r="AX129" s="161" t="n"/>
      <c r="AY129" s="161" t="n"/>
      <c r="AZ129" s="161" t="n"/>
    </row>
    <row r="130" ht="15" customHeight="1">
      <c r="A130" s="161" t="n"/>
      <c r="B130" s="161" t="n"/>
      <c r="C130" s="161" t="n"/>
      <c r="D130" s="161" t="n"/>
      <c r="E130" s="161" t="n"/>
      <c r="F130" s="161" t="n"/>
      <c r="G130" s="161" t="n"/>
      <c r="H130" s="161" t="n"/>
      <c r="I130" s="161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  <c r="S130" s="161" t="n"/>
      <c r="T130" s="161" t="n"/>
      <c r="U130" s="161" t="n"/>
      <c r="V130" s="161" t="n"/>
      <c r="W130" s="161" t="n"/>
      <c r="X130" s="161" t="n"/>
      <c r="Y130" s="161" t="n"/>
      <c r="Z130" s="161" t="n"/>
      <c r="AA130" s="161" t="n"/>
      <c r="AB130" s="161" t="n"/>
      <c r="AC130" s="161" t="n"/>
      <c r="AD130" s="161" t="n"/>
      <c r="AE130" s="161" t="n"/>
      <c r="AF130" s="161" t="n"/>
      <c r="AG130" s="161" t="n"/>
      <c r="AH130" s="161" t="n"/>
      <c r="AI130" s="161" t="n"/>
      <c r="AJ130" s="161" t="n"/>
      <c r="AK130" s="161" t="n"/>
      <c r="AL130" s="161" t="n"/>
      <c r="AM130" s="161" t="n"/>
      <c r="AN130" s="161" t="n"/>
      <c r="AO130" s="161" t="n"/>
      <c r="AP130" s="161" t="n"/>
      <c r="AQ130" s="161" t="n"/>
      <c r="AR130" s="161" t="n"/>
      <c r="AS130" s="161" t="n"/>
      <c r="AT130" s="161" t="n"/>
      <c r="AU130" s="161" t="n"/>
      <c r="AV130" s="161" t="n"/>
      <c r="AW130" s="161" t="n"/>
      <c r="AX130" s="161" t="n"/>
      <c r="AY130" s="161" t="n"/>
      <c r="AZ130" s="161" t="n"/>
    </row>
    <row r="131" ht="15" customHeight="1">
      <c r="A131" s="161" t="n"/>
      <c r="B131" s="161" t="n"/>
      <c r="C131" s="161" t="n"/>
      <c r="D131" s="161" t="n"/>
      <c r="E131" s="161" t="n"/>
      <c r="F131" s="161" t="n"/>
      <c r="G131" s="161" t="n"/>
      <c r="H131" s="161" t="n"/>
      <c r="I131" s="161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  <c r="S131" s="161" t="n"/>
      <c r="T131" s="161" t="n"/>
      <c r="U131" s="161" t="n"/>
      <c r="V131" s="161" t="n"/>
      <c r="W131" s="161" t="n"/>
      <c r="X131" s="161" t="n"/>
      <c r="Y131" s="161" t="n"/>
      <c r="Z131" s="161" t="n"/>
      <c r="AA131" s="161" t="n"/>
      <c r="AB131" s="161" t="n"/>
      <c r="AC131" s="161" t="n"/>
      <c r="AD131" s="161" t="n"/>
      <c r="AE131" s="161" t="n"/>
      <c r="AF131" s="161" t="n"/>
      <c r="AG131" s="161" t="n"/>
      <c r="AH131" s="161" t="n"/>
      <c r="AI131" s="161" t="n"/>
      <c r="AJ131" s="161" t="n"/>
      <c r="AK131" s="161" t="n"/>
      <c r="AL131" s="161" t="n"/>
      <c r="AM131" s="161" t="n"/>
      <c r="AN131" s="161" t="n"/>
      <c r="AO131" s="161" t="n"/>
      <c r="AP131" s="161" t="n"/>
      <c r="AQ131" s="161" t="n"/>
      <c r="AR131" s="161" t="n"/>
      <c r="AS131" s="161" t="n"/>
      <c r="AT131" s="161" t="n"/>
      <c r="AU131" s="161" t="n"/>
      <c r="AV131" s="161" t="n"/>
      <c r="AW131" s="161" t="n"/>
      <c r="AX131" s="161" t="n"/>
      <c r="AY131" s="161" t="n"/>
      <c r="AZ131" s="161" t="n"/>
    </row>
    <row r="132" ht="15" customHeight="1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  <c r="S132" s="161" t="n"/>
      <c r="T132" s="161" t="n"/>
      <c r="U132" s="161" t="n"/>
      <c r="V132" s="161" t="n"/>
      <c r="W132" s="161" t="n"/>
      <c r="X132" s="161" t="n"/>
      <c r="Y132" s="161" t="n"/>
      <c r="Z132" s="161" t="n"/>
      <c r="AA132" s="161" t="n"/>
      <c r="AB132" s="161" t="n"/>
      <c r="AC132" s="161" t="n"/>
      <c r="AD132" s="161" t="n"/>
      <c r="AE132" s="161" t="n"/>
      <c r="AF132" s="161" t="n"/>
      <c r="AG132" s="161" t="n"/>
      <c r="AH132" s="161" t="n"/>
      <c r="AI132" s="161" t="n"/>
      <c r="AJ132" s="161" t="n"/>
      <c r="AK132" s="161" t="n"/>
      <c r="AL132" s="161" t="n"/>
      <c r="AM132" s="161" t="n"/>
      <c r="AN132" s="161" t="n"/>
      <c r="AO132" s="161" t="n"/>
      <c r="AP132" s="161" t="n"/>
      <c r="AQ132" s="161" t="n"/>
      <c r="AR132" s="161" t="n"/>
      <c r="AS132" s="161" t="n"/>
      <c r="AT132" s="161" t="n"/>
      <c r="AU132" s="161" t="n"/>
      <c r="AV132" s="161" t="n"/>
      <c r="AW132" s="161" t="n"/>
      <c r="AX132" s="161" t="n"/>
      <c r="AY132" s="161" t="n"/>
      <c r="AZ132" s="161" t="n"/>
    </row>
    <row r="133" ht="15" customHeight="1">
      <c r="A133" s="161" t="n"/>
      <c r="B133" s="161" t="n"/>
      <c r="C133" s="161" t="n"/>
      <c r="D133" s="161" t="n"/>
      <c r="E133" s="161" t="n"/>
      <c r="F133" s="161" t="n"/>
      <c r="G133" s="161" t="n"/>
      <c r="H133" s="161" t="n"/>
      <c r="I133" s="161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  <c r="S133" s="161" t="n"/>
      <c r="T133" s="161" t="n"/>
      <c r="U133" s="161" t="n"/>
      <c r="V133" s="161" t="n"/>
      <c r="W133" s="161" t="n"/>
      <c r="X133" s="161" t="n"/>
      <c r="Y133" s="161" t="n"/>
      <c r="Z133" s="161" t="n"/>
      <c r="AA133" s="161" t="n"/>
      <c r="AB133" s="161" t="n"/>
      <c r="AC133" s="161" t="n"/>
      <c r="AD133" s="161" t="n"/>
      <c r="AE133" s="161" t="n"/>
      <c r="AF133" s="161" t="n"/>
      <c r="AG133" s="161" t="n"/>
      <c r="AH133" s="161" t="n"/>
      <c r="AI133" s="161" t="n"/>
      <c r="AJ133" s="161" t="n"/>
      <c r="AK133" s="161" t="n"/>
      <c r="AL133" s="161" t="n"/>
      <c r="AM133" s="161" t="n"/>
      <c r="AN133" s="161" t="n"/>
      <c r="AO133" s="161" t="n"/>
      <c r="AP133" s="161" t="n"/>
      <c r="AQ133" s="161" t="n"/>
      <c r="AR133" s="161" t="n"/>
      <c r="AS133" s="161" t="n"/>
      <c r="AT133" s="161" t="n"/>
      <c r="AU133" s="161" t="n"/>
      <c r="AV133" s="161" t="n"/>
      <c r="AW133" s="161" t="n"/>
      <c r="AX133" s="161" t="n"/>
      <c r="AY133" s="161" t="n"/>
      <c r="AZ133" s="161" t="n"/>
    </row>
    <row r="134" ht="15" customHeight="1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  <c r="S134" s="161" t="n"/>
      <c r="T134" s="161" t="n"/>
      <c r="U134" s="161" t="n"/>
      <c r="V134" s="161" t="n"/>
      <c r="W134" s="161" t="n"/>
      <c r="X134" s="161" t="n"/>
      <c r="Y134" s="161" t="n"/>
      <c r="Z134" s="161" t="n"/>
      <c r="AA134" s="161" t="n"/>
      <c r="AB134" s="161" t="n"/>
      <c r="AC134" s="161" t="n"/>
      <c r="AD134" s="161" t="n"/>
      <c r="AE134" s="161" t="n"/>
      <c r="AF134" s="161" t="n"/>
      <c r="AG134" s="161" t="n"/>
      <c r="AH134" s="161" t="n"/>
      <c r="AI134" s="161" t="n"/>
      <c r="AJ134" s="161" t="n"/>
      <c r="AK134" s="161" t="n"/>
      <c r="AL134" s="161" t="n"/>
      <c r="AM134" s="161" t="n"/>
      <c r="AN134" s="161" t="n"/>
      <c r="AO134" s="161" t="n"/>
      <c r="AP134" s="161" t="n"/>
      <c r="AQ134" s="161" t="n"/>
      <c r="AR134" s="161" t="n"/>
      <c r="AS134" s="161" t="n"/>
      <c r="AT134" s="161" t="n"/>
      <c r="AU134" s="161" t="n"/>
      <c r="AV134" s="161" t="n"/>
      <c r="AW134" s="161" t="n"/>
      <c r="AX134" s="161" t="n"/>
      <c r="AY134" s="161" t="n"/>
      <c r="AZ134" s="161" t="n"/>
    </row>
    <row r="135" ht="15" customHeight="1">
      <c r="A135" s="161" t="n"/>
      <c r="B135" s="161" t="n"/>
      <c r="C135" s="161" t="n"/>
      <c r="D135" s="161" t="n"/>
      <c r="E135" s="161" t="n"/>
      <c r="F135" s="161" t="n"/>
      <c r="G135" s="161" t="n"/>
      <c r="H135" s="161" t="n"/>
      <c r="I135" s="161" t="n"/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  <c r="S135" s="161" t="n"/>
      <c r="T135" s="161" t="n"/>
      <c r="U135" s="161" t="n"/>
      <c r="V135" s="161" t="n"/>
      <c r="W135" s="161" t="n"/>
      <c r="X135" s="161" t="n"/>
      <c r="Y135" s="161" t="n"/>
      <c r="Z135" s="161" t="n"/>
      <c r="AA135" s="161" t="n"/>
      <c r="AB135" s="161" t="n"/>
      <c r="AC135" s="161" t="n"/>
      <c r="AD135" s="161" t="n"/>
      <c r="AE135" s="161" t="n"/>
      <c r="AF135" s="161" t="n"/>
      <c r="AG135" s="161" t="n"/>
      <c r="AH135" s="161" t="n"/>
      <c r="AI135" s="161" t="n"/>
      <c r="AJ135" s="161" t="n"/>
      <c r="AK135" s="161" t="n"/>
      <c r="AL135" s="161" t="n"/>
      <c r="AM135" s="161" t="n"/>
      <c r="AN135" s="161" t="n"/>
      <c r="AO135" s="161" t="n"/>
      <c r="AP135" s="161" t="n"/>
      <c r="AQ135" s="161" t="n"/>
      <c r="AR135" s="161" t="n"/>
      <c r="AS135" s="161" t="n"/>
      <c r="AT135" s="161" t="n"/>
      <c r="AU135" s="161" t="n"/>
      <c r="AV135" s="161" t="n"/>
      <c r="AW135" s="161" t="n"/>
      <c r="AX135" s="161" t="n"/>
      <c r="AY135" s="161" t="n"/>
      <c r="AZ135" s="161" t="n"/>
    </row>
    <row r="136" ht="15" customHeight="1">
      <c r="A136" s="161" t="n"/>
      <c r="B136" s="161" t="n"/>
      <c r="C136" s="161" t="n"/>
      <c r="D136" s="161" t="n"/>
      <c r="E136" s="161" t="n"/>
      <c r="F136" s="161" t="n"/>
      <c r="G136" s="161" t="n"/>
      <c r="H136" s="161" t="n"/>
      <c r="I136" s="161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  <c r="S136" s="161" t="n"/>
      <c r="T136" s="161" t="n"/>
      <c r="U136" s="161" t="n"/>
      <c r="V136" s="161" t="n"/>
      <c r="W136" s="161" t="n"/>
      <c r="X136" s="161" t="n"/>
      <c r="Y136" s="161" t="n"/>
      <c r="Z136" s="161" t="n"/>
      <c r="AA136" s="161" t="n"/>
      <c r="AB136" s="161" t="n"/>
      <c r="AC136" s="161" t="n"/>
      <c r="AD136" s="161" t="n"/>
      <c r="AE136" s="161" t="n"/>
      <c r="AF136" s="161" t="n"/>
      <c r="AG136" s="161" t="n"/>
      <c r="AH136" s="161" t="n"/>
      <c r="AI136" s="161" t="n"/>
      <c r="AJ136" s="161" t="n"/>
      <c r="AK136" s="161" t="n"/>
      <c r="AL136" s="161" t="n"/>
      <c r="AM136" s="161" t="n"/>
      <c r="AN136" s="161" t="n"/>
      <c r="AO136" s="161" t="n"/>
      <c r="AP136" s="161" t="n"/>
      <c r="AQ136" s="161" t="n"/>
      <c r="AR136" s="161" t="n"/>
      <c r="AS136" s="161" t="n"/>
      <c r="AT136" s="161" t="n"/>
      <c r="AU136" s="161" t="n"/>
      <c r="AV136" s="161" t="n"/>
      <c r="AW136" s="161" t="n"/>
      <c r="AX136" s="161" t="n"/>
      <c r="AY136" s="161" t="n"/>
      <c r="AZ136" s="161" t="n"/>
    </row>
    <row r="137" ht="15" customHeight="1">
      <c r="A137" s="161" t="n"/>
      <c r="B137" s="161" t="n"/>
      <c r="C137" s="161" t="n"/>
      <c r="D137" s="161" t="n"/>
      <c r="E137" s="161" t="n"/>
      <c r="F137" s="161" t="n"/>
      <c r="G137" s="161" t="n"/>
      <c r="H137" s="161" t="n"/>
      <c r="I137" s="161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  <c r="S137" s="161" t="n"/>
      <c r="T137" s="161" t="n"/>
      <c r="U137" s="161" t="n"/>
      <c r="V137" s="161" t="n"/>
      <c r="W137" s="161" t="n"/>
      <c r="X137" s="161" t="n"/>
      <c r="Y137" s="161" t="n"/>
      <c r="Z137" s="161" t="n"/>
      <c r="AA137" s="161" t="n"/>
      <c r="AB137" s="161" t="n"/>
      <c r="AC137" s="161" t="n"/>
      <c r="AD137" s="161" t="n"/>
      <c r="AE137" s="161" t="n"/>
      <c r="AF137" s="161" t="n"/>
      <c r="AG137" s="161" t="n"/>
      <c r="AH137" s="161" t="n"/>
      <c r="AI137" s="161" t="n"/>
      <c r="AJ137" s="161" t="n"/>
      <c r="AK137" s="161" t="n"/>
      <c r="AL137" s="161" t="n"/>
      <c r="AM137" s="161" t="n"/>
      <c r="AN137" s="161" t="n"/>
      <c r="AO137" s="161" t="n"/>
      <c r="AP137" s="161" t="n"/>
      <c r="AQ137" s="161" t="n"/>
      <c r="AR137" s="161" t="n"/>
      <c r="AS137" s="161" t="n"/>
      <c r="AT137" s="161" t="n"/>
      <c r="AU137" s="161" t="n"/>
      <c r="AV137" s="161" t="n"/>
      <c r="AW137" s="161" t="n"/>
      <c r="AX137" s="161" t="n"/>
      <c r="AY137" s="161" t="n"/>
      <c r="AZ137" s="161" t="n"/>
    </row>
    <row r="138" ht="15" customHeight="1">
      <c r="A138" s="161" t="n"/>
      <c r="B138" s="161" t="n"/>
      <c r="C138" s="161" t="n"/>
      <c r="D138" s="161" t="n"/>
      <c r="E138" s="161" t="n"/>
      <c r="F138" s="161" t="n"/>
      <c r="G138" s="161" t="n"/>
      <c r="H138" s="161" t="n"/>
      <c r="I138" s="161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  <c r="S138" s="161" t="n"/>
      <c r="T138" s="161" t="n"/>
      <c r="U138" s="161" t="n"/>
      <c r="V138" s="161" t="n"/>
      <c r="W138" s="161" t="n"/>
      <c r="X138" s="161" t="n"/>
      <c r="Y138" s="161" t="n"/>
      <c r="Z138" s="161" t="n"/>
      <c r="AA138" s="161" t="n"/>
      <c r="AB138" s="161" t="n"/>
      <c r="AC138" s="161" t="n"/>
      <c r="AD138" s="161" t="n"/>
      <c r="AE138" s="161" t="n"/>
      <c r="AF138" s="161" t="n"/>
      <c r="AG138" s="161" t="n"/>
      <c r="AH138" s="161" t="n"/>
      <c r="AI138" s="161" t="n"/>
      <c r="AJ138" s="161" t="n"/>
      <c r="AK138" s="161" t="n"/>
      <c r="AL138" s="161" t="n"/>
      <c r="AM138" s="161" t="n"/>
      <c r="AN138" s="161" t="n"/>
      <c r="AO138" s="161" t="n"/>
      <c r="AP138" s="161" t="n"/>
      <c r="AQ138" s="161" t="n"/>
      <c r="AR138" s="161" t="n"/>
      <c r="AS138" s="161" t="n"/>
      <c r="AT138" s="161" t="n"/>
      <c r="AU138" s="161" t="n"/>
      <c r="AV138" s="161" t="n"/>
      <c r="AW138" s="161" t="n"/>
      <c r="AX138" s="161" t="n"/>
      <c r="AY138" s="161" t="n"/>
      <c r="AZ138" s="161" t="n"/>
    </row>
    <row r="139" ht="15" customHeight="1">
      <c r="A139" s="161" t="n"/>
      <c r="B139" s="161" t="n"/>
      <c r="C139" s="161" t="n"/>
      <c r="D139" s="161" t="n"/>
      <c r="E139" s="161" t="n"/>
      <c r="F139" s="161" t="n"/>
      <c r="G139" s="161" t="n"/>
      <c r="H139" s="161" t="n"/>
      <c r="I139" s="161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  <c r="S139" s="161" t="n"/>
      <c r="T139" s="161" t="n"/>
      <c r="U139" s="161" t="n"/>
      <c r="V139" s="161" t="n"/>
      <c r="W139" s="161" t="n"/>
      <c r="X139" s="161" t="n"/>
      <c r="Y139" s="161" t="n"/>
      <c r="Z139" s="161" t="n"/>
      <c r="AA139" s="161" t="n"/>
      <c r="AB139" s="161" t="n"/>
      <c r="AC139" s="161" t="n"/>
      <c r="AD139" s="161" t="n"/>
      <c r="AE139" s="161" t="n"/>
      <c r="AF139" s="161" t="n"/>
      <c r="AG139" s="161" t="n"/>
      <c r="AH139" s="161" t="n"/>
      <c r="AI139" s="161" t="n"/>
      <c r="AJ139" s="161" t="n"/>
      <c r="AK139" s="161" t="n"/>
      <c r="AL139" s="161" t="n"/>
      <c r="AM139" s="161" t="n"/>
      <c r="AN139" s="161" t="n"/>
      <c r="AO139" s="161" t="n"/>
      <c r="AP139" s="161" t="n"/>
      <c r="AQ139" s="161" t="n"/>
      <c r="AR139" s="161" t="n"/>
      <c r="AS139" s="161" t="n"/>
      <c r="AT139" s="161" t="n"/>
      <c r="AU139" s="161" t="n"/>
      <c r="AV139" s="161" t="n"/>
      <c r="AW139" s="161" t="n"/>
      <c r="AX139" s="161" t="n"/>
      <c r="AY139" s="161" t="n"/>
      <c r="AZ139" s="161" t="n"/>
    </row>
    <row r="140" ht="15" customHeight="1">
      <c r="A140" s="161" t="n"/>
      <c r="B140" s="161" t="n"/>
      <c r="C140" s="161" t="n"/>
      <c r="D140" s="161" t="n"/>
      <c r="E140" s="161" t="n"/>
      <c r="F140" s="161" t="n"/>
      <c r="G140" s="161" t="n"/>
      <c r="H140" s="161" t="n"/>
      <c r="I140" s="161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  <c r="S140" s="161" t="n"/>
      <c r="T140" s="161" t="n"/>
      <c r="U140" s="161" t="n"/>
      <c r="V140" s="161" t="n"/>
      <c r="W140" s="161" t="n"/>
      <c r="X140" s="161" t="n"/>
      <c r="Y140" s="161" t="n"/>
      <c r="Z140" s="161" t="n"/>
      <c r="AA140" s="161" t="n"/>
      <c r="AB140" s="161" t="n"/>
      <c r="AC140" s="161" t="n"/>
      <c r="AD140" s="161" t="n"/>
      <c r="AE140" s="161" t="n"/>
      <c r="AF140" s="161" t="n"/>
      <c r="AG140" s="161" t="n"/>
      <c r="AH140" s="161" t="n"/>
      <c r="AI140" s="161" t="n"/>
      <c r="AJ140" s="161" t="n"/>
      <c r="AK140" s="161" t="n"/>
      <c r="AL140" s="161" t="n"/>
      <c r="AM140" s="161" t="n"/>
      <c r="AN140" s="161" t="n"/>
      <c r="AO140" s="161" t="n"/>
      <c r="AP140" s="161" t="n"/>
      <c r="AQ140" s="161" t="n"/>
      <c r="AR140" s="161" t="n"/>
      <c r="AS140" s="161" t="n"/>
      <c r="AT140" s="161" t="n"/>
      <c r="AU140" s="161" t="n"/>
      <c r="AV140" s="161" t="n"/>
      <c r="AW140" s="161" t="n"/>
      <c r="AX140" s="161" t="n"/>
      <c r="AY140" s="161" t="n"/>
      <c r="AZ140" s="161" t="n"/>
    </row>
    <row r="141" ht="15" customHeight="1">
      <c r="A141" s="161" t="n"/>
      <c r="B141" s="161" t="n"/>
      <c r="C141" s="161" t="n"/>
      <c r="D141" s="161" t="n"/>
      <c r="E141" s="161" t="n"/>
      <c r="F141" s="161" t="n"/>
      <c r="G141" s="161" t="n"/>
      <c r="H141" s="161" t="n"/>
      <c r="I141" s="161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  <c r="S141" s="161" t="n"/>
      <c r="T141" s="161" t="n"/>
      <c r="U141" s="161" t="n"/>
      <c r="V141" s="161" t="n"/>
      <c r="W141" s="161" t="n"/>
      <c r="X141" s="161" t="n"/>
      <c r="Y141" s="161" t="n"/>
      <c r="Z141" s="161" t="n"/>
      <c r="AA141" s="161" t="n"/>
      <c r="AB141" s="161" t="n"/>
      <c r="AC141" s="161" t="n"/>
      <c r="AD141" s="161" t="n"/>
      <c r="AE141" s="161" t="n"/>
      <c r="AF141" s="161" t="n"/>
      <c r="AG141" s="161" t="n"/>
      <c r="AH141" s="161" t="n"/>
      <c r="AI141" s="161" t="n"/>
      <c r="AJ141" s="161" t="n"/>
      <c r="AK141" s="161" t="n"/>
      <c r="AL141" s="161" t="n"/>
      <c r="AM141" s="161" t="n"/>
      <c r="AN141" s="161" t="n"/>
      <c r="AO141" s="161" t="n"/>
      <c r="AP141" s="161" t="n"/>
      <c r="AQ141" s="161" t="n"/>
      <c r="AR141" s="161" t="n"/>
      <c r="AS141" s="161" t="n"/>
      <c r="AT141" s="161" t="n"/>
      <c r="AU141" s="161" t="n"/>
      <c r="AV141" s="161" t="n"/>
      <c r="AW141" s="161" t="n"/>
      <c r="AX141" s="161" t="n"/>
      <c r="AY141" s="161" t="n"/>
      <c r="AZ141" s="161" t="n"/>
    </row>
    <row r="142" ht="15" customHeight="1">
      <c r="A142" s="161" t="n"/>
      <c r="B142" s="161" t="n"/>
      <c r="C142" s="161" t="n"/>
      <c r="D142" s="161" t="n"/>
      <c r="E142" s="161" t="n"/>
      <c r="F142" s="161" t="n"/>
      <c r="G142" s="161" t="n"/>
      <c r="H142" s="161" t="n"/>
      <c r="I142" s="161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  <c r="S142" s="161" t="n"/>
      <c r="T142" s="161" t="n"/>
      <c r="U142" s="161" t="n"/>
      <c r="V142" s="161" t="n"/>
      <c r="W142" s="161" t="n"/>
      <c r="X142" s="161" t="n"/>
      <c r="Y142" s="161" t="n"/>
      <c r="Z142" s="161" t="n"/>
      <c r="AA142" s="161" t="n"/>
      <c r="AB142" s="161" t="n"/>
      <c r="AC142" s="161" t="n"/>
      <c r="AD142" s="161" t="n"/>
      <c r="AE142" s="161" t="n"/>
      <c r="AF142" s="161" t="n"/>
      <c r="AG142" s="161" t="n"/>
      <c r="AH142" s="161" t="n"/>
      <c r="AI142" s="161" t="n"/>
      <c r="AJ142" s="161" t="n"/>
      <c r="AK142" s="161" t="n"/>
      <c r="AL142" s="161" t="n"/>
      <c r="AM142" s="161" t="n"/>
      <c r="AN142" s="161" t="n"/>
      <c r="AO142" s="161" t="n"/>
      <c r="AP142" s="161" t="n"/>
      <c r="AQ142" s="161" t="n"/>
      <c r="AR142" s="161" t="n"/>
      <c r="AS142" s="161" t="n"/>
      <c r="AT142" s="161" t="n"/>
      <c r="AU142" s="161" t="n"/>
      <c r="AV142" s="161" t="n"/>
      <c r="AW142" s="161" t="n"/>
      <c r="AX142" s="161" t="n"/>
      <c r="AY142" s="161" t="n"/>
      <c r="AZ142" s="161" t="n"/>
    </row>
    <row r="143" ht="15" customHeight="1">
      <c r="A143" s="161" t="n"/>
      <c r="B143" s="161" t="n"/>
      <c r="C143" s="161" t="n"/>
      <c r="D143" s="161" t="n"/>
      <c r="E143" s="161" t="n"/>
      <c r="F143" s="161" t="n"/>
      <c r="G143" s="161" t="n"/>
      <c r="H143" s="161" t="n"/>
      <c r="I143" s="161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  <c r="S143" s="161" t="n"/>
      <c r="T143" s="161" t="n"/>
      <c r="U143" s="161" t="n"/>
      <c r="V143" s="161" t="n"/>
      <c r="W143" s="161" t="n"/>
      <c r="X143" s="161" t="n"/>
      <c r="Y143" s="161" t="n"/>
      <c r="Z143" s="161" t="n"/>
      <c r="AA143" s="161" t="n"/>
      <c r="AB143" s="161" t="n"/>
      <c r="AC143" s="161" t="n"/>
      <c r="AD143" s="161" t="n"/>
      <c r="AE143" s="161" t="n"/>
      <c r="AF143" s="161" t="n"/>
      <c r="AG143" s="161" t="n"/>
      <c r="AH143" s="161" t="n"/>
      <c r="AI143" s="161" t="n"/>
      <c r="AJ143" s="161" t="n"/>
      <c r="AK143" s="161" t="n"/>
      <c r="AL143" s="161" t="n"/>
      <c r="AM143" s="161" t="n"/>
      <c r="AN143" s="161" t="n"/>
      <c r="AO143" s="161" t="n"/>
      <c r="AP143" s="161" t="n"/>
      <c r="AQ143" s="161" t="n"/>
      <c r="AR143" s="161" t="n"/>
      <c r="AS143" s="161" t="n"/>
      <c r="AT143" s="161" t="n"/>
      <c r="AU143" s="161" t="n"/>
      <c r="AV143" s="161" t="n"/>
      <c r="AW143" s="161" t="n"/>
      <c r="AX143" s="161" t="n"/>
      <c r="AY143" s="161" t="n"/>
      <c r="AZ143" s="161" t="n"/>
    </row>
    <row r="144" ht="15" customHeight="1">
      <c r="A144" s="161" t="n"/>
      <c r="B144" s="161" t="n"/>
      <c r="C144" s="161" t="n"/>
      <c r="D144" s="161" t="n"/>
      <c r="E144" s="161" t="n"/>
      <c r="F144" s="161" t="n"/>
      <c r="G144" s="161" t="n"/>
      <c r="H144" s="161" t="n"/>
      <c r="I144" s="161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  <c r="S144" s="161" t="n"/>
      <c r="T144" s="161" t="n"/>
      <c r="U144" s="161" t="n"/>
      <c r="V144" s="161" t="n"/>
      <c r="W144" s="161" t="n"/>
      <c r="X144" s="161" t="n"/>
      <c r="Y144" s="161" t="n"/>
      <c r="Z144" s="161" t="n"/>
      <c r="AA144" s="161" t="n"/>
      <c r="AB144" s="161" t="n"/>
      <c r="AC144" s="161" t="n"/>
      <c r="AD144" s="161" t="n"/>
      <c r="AE144" s="161" t="n"/>
      <c r="AF144" s="161" t="n"/>
      <c r="AG144" s="161" t="n"/>
      <c r="AH144" s="161" t="n"/>
      <c r="AI144" s="161" t="n"/>
      <c r="AJ144" s="161" t="n"/>
      <c r="AK144" s="161" t="n"/>
      <c r="AL144" s="161" t="n"/>
      <c r="AM144" s="161" t="n"/>
      <c r="AN144" s="161" t="n"/>
      <c r="AO144" s="161" t="n"/>
      <c r="AP144" s="161" t="n"/>
      <c r="AQ144" s="161" t="n"/>
      <c r="AR144" s="161" t="n"/>
      <c r="AS144" s="161" t="n"/>
      <c r="AT144" s="161" t="n"/>
      <c r="AU144" s="161" t="n"/>
      <c r="AV144" s="161" t="n"/>
      <c r="AW144" s="161" t="n"/>
      <c r="AX144" s="161" t="n"/>
      <c r="AY144" s="161" t="n"/>
      <c r="AZ144" s="161" t="n"/>
    </row>
    <row r="145" ht="15" customHeight="1">
      <c r="A145" s="161" t="n"/>
      <c r="B145" s="161" t="n"/>
      <c r="C145" s="161" t="n"/>
      <c r="D145" s="161" t="n"/>
      <c r="E145" s="161" t="n"/>
      <c r="F145" s="161" t="n"/>
      <c r="G145" s="161" t="n"/>
      <c r="H145" s="161" t="n"/>
      <c r="I145" s="16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  <c r="S145" s="161" t="n"/>
      <c r="T145" s="161" t="n"/>
      <c r="U145" s="161" t="n"/>
      <c r="V145" s="161" t="n"/>
      <c r="W145" s="161" t="n"/>
      <c r="X145" s="161" t="n"/>
      <c r="Y145" s="161" t="n"/>
      <c r="Z145" s="161" t="n"/>
      <c r="AA145" s="161" t="n"/>
      <c r="AB145" s="161" t="n"/>
      <c r="AC145" s="161" t="n"/>
      <c r="AD145" s="161" t="n"/>
      <c r="AE145" s="161" t="n"/>
      <c r="AF145" s="161" t="n"/>
      <c r="AG145" s="161" t="n"/>
      <c r="AH145" s="161" t="n"/>
      <c r="AI145" s="161" t="n"/>
      <c r="AJ145" s="161" t="n"/>
      <c r="AK145" s="161" t="n"/>
      <c r="AL145" s="161" t="n"/>
      <c r="AM145" s="161" t="n"/>
      <c r="AN145" s="161" t="n"/>
      <c r="AO145" s="161" t="n"/>
      <c r="AP145" s="161" t="n"/>
      <c r="AQ145" s="161" t="n"/>
      <c r="AR145" s="161" t="n"/>
      <c r="AS145" s="161" t="n"/>
      <c r="AT145" s="161" t="n"/>
      <c r="AU145" s="161" t="n"/>
      <c r="AV145" s="161" t="n"/>
      <c r="AW145" s="161" t="n"/>
      <c r="AX145" s="161" t="n"/>
      <c r="AY145" s="161" t="n"/>
      <c r="AZ145" s="161" t="n"/>
    </row>
    <row r="146" ht="15" customHeight="1">
      <c r="A146" s="161" t="n"/>
      <c r="B146" s="161" t="n"/>
      <c r="C146" s="161" t="n"/>
      <c r="D146" s="161" t="n"/>
      <c r="E146" s="161" t="n"/>
      <c r="F146" s="161" t="n"/>
      <c r="G146" s="161" t="n"/>
      <c r="H146" s="161" t="n"/>
      <c r="I146" s="161" t="n"/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  <c r="S146" s="161" t="n"/>
      <c r="T146" s="161" t="n"/>
      <c r="U146" s="161" t="n"/>
      <c r="V146" s="161" t="n"/>
      <c r="W146" s="161" t="n"/>
      <c r="X146" s="161" t="n"/>
      <c r="Y146" s="161" t="n"/>
      <c r="Z146" s="161" t="n"/>
      <c r="AA146" s="161" t="n"/>
      <c r="AB146" s="161" t="n"/>
      <c r="AC146" s="161" t="n"/>
      <c r="AD146" s="161" t="n"/>
      <c r="AE146" s="161" t="n"/>
      <c r="AF146" s="161" t="n"/>
      <c r="AG146" s="161" t="n"/>
      <c r="AH146" s="161" t="n"/>
      <c r="AI146" s="161" t="n"/>
      <c r="AJ146" s="161" t="n"/>
      <c r="AK146" s="161" t="n"/>
      <c r="AL146" s="161" t="n"/>
      <c r="AM146" s="161" t="n"/>
      <c r="AN146" s="161" t="n"/>
      <c r="AO146" s="161" t="n"/>
      <c r="AP146" s="161" t="n"/>
      <c r="AQ146" s="161" t="n"/>
      <c r="AR146" s="161" t="n"/>
      <c r="AS146" s="161" t="n"/>
      <c r="AT146" s="161" t="n"/>
      <c r="AU146" s="161" t="n"/>
      <c r="AV146" s="161" t="n"/>
      <c r="AW146" s="161" t="n"/>
      <c r="AX146" s="161" t="n"/>
      <c r="AY146" s="161" t="n"/>
      <c r="AZ146" s="161" t="n"/>
    </row>
    <row r="147" ht="15" customHeight="1">
      <c r="A147" s="161" t="n"/>
      <c r="B147" s="161" t="n"/>
      <c r="C147" s="161" t="n"/>
      <c r="D147" s="161" t="n"/>
      <c r="E147" s="161" t="n"/>
      <c r="F147" s="161" t="n"/>
      <c r="G147" s="161" t="n"/>
      <c r="H147" s="161" t="n"/>
      <c r="I147" s="161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  <c r="S147" s="161" t="n"/>
      <c r="T147" s="161" t="n"/>
      <c r="U147" s="161" t="n"/>
      <c r="V147" s="161" t="n"/>
      <c r="W147" s="161" t="n"/>
      <c r="X147" s="161" t="n"/>
      <c r="Y147" s="161" t="n"/>
      <c r="Z147" s="161" t="n"/>
      <c r="AA147" s="161" t="n"/>
      <c r="AB147" s="161" t="n"/>
      <c r="AC147" s="161" t="n"/>
      <c r="AD147" s="161" t="n"/>
      <c r="AE147" s="161" t="n"/>
      <c r="AF147" s="161" t="n"/>
      <c r="AG147" s="161" t="n"/>
      <c r="AH147" s="161" t="n"/>
      <c r="AI147" s="161" t="n"/>
      <c r="AJ147" s="161" t="n"/>
      <c r="AK147" s="161" t="n"/>
      <c r="AL147" s="161" t="n"/>
      <c r="AM147" s="161" t="n"/>
      <c r="AN147" s="161" t="n"/>
      <c r="AO147" s="161" t="n"/>
      <c r="AP147" s="161" t="n"/>
      <c r="AQ147" s="161" t="n"/>
      <c r="AR147" s="161" t="n"/>
      <c r="AS147" s="161" t="n"/>
      <c r="AT147" s="161" t="n"/>
      <c r="AU147" s="161" t="n"/>
      <c r="AV147" s="161" t="n"/>
      <c r="AW147" s="161" t="n"/>
      <c r="AX147" s="161" t="n"/>
      <c r="AY147" s="161" t="n"/>
      <c r="AZ147" s="161" t="n"/>
    </row>
    <row r="148" ht="15" customHeight="1">
      <c r="A148" s="161" t="n"/>
      <c r="B148" s="161" t="n"/>
      <c r="C148" s="161" t="n"/>
      <c r="D148" s="161" t="n"/>
      <c r="E148" s="161" t="n"/>
      <c r="F148" s="161" t="n"/>
      <c r="G148" s="161" t="n"/>
      <c r="H148" s="161" t="n"/>
      <c r="I148" s="161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  <c r="S148" s="161" t="n"/>
      <c r="T148" s="161" t="n"/>
      <c r="U148" s="161" t="n"/>
      <c r="V148" s="161" t="n"/>
      <c r="W148" s="161" t="n"/>
      <c r="X148" s="161" t="n"/>
      <c r="Y148" s="161" t="n"/>
      <c r="Z148" s="161" t="n"/>
      <c r="AA148" s="161" t="n"/>
      <c r="AB148" s="161" t="n"/>
      <c r="AC148" s="161" t="n"/>
      <c r="AD148" s="161" t="n"/>
      <c r="AE148" s="161" t="n"/>
      <c r="AF148" s="161" t="n"/>
      <c r="AG148" s="161" t="n"/>
      <c r="AH148" s="161" t="n"/>
      <c r="AI148" s="161" t="n"/>
      <c r="AJ148" s="161" t="n"/>
      <c r="AK148" s="161" t="n"/>
      <c r="AL148" s="161" t="n"/>
      <c r="AM148" s="161" t="n"/>
      <c r="AN148" s="161" t="n"/>
      <c r="AO148" s="161" t="n"/>
      <c r="AP148" s="161" t="n"/>
      <c r="AQ148" s="161" t="n"/>
      <c r="AR148" s="161" t="n"/>
      <c r="AS148" s="161" t="n"/>
      <c r="AT148" s="161" t="n"/>
      <c r="AU148" s="161" t="n"/>
      <c r="AV148" s="161" t="n"/>
      <c r="AW148" s="161" t="n"/>
      <c r="AX148" s="161" t="n"/>
      <c r="AY148" s="161" t="n"/>
      <c r="AZ148" s="161" t="n"/>
    </row>
    <row r="149" ht="15" customHeight="1">
      <c r="A149" s="161" t="n"/>
      <c r="B149" s="161" t="n"/>
      <c r="C149" s="161" t="n"/>
      <c r="D149" s="161" t="n"/>
      <c r="E149" s="161" t="n"/>
      <c r="F149" s="161" t="n"/>
      <c r="G149" s="161" t="n"/>
      <c r="H149" s="161" t="n"/>
      <c r="I149" s="161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  <c r="S149" s="161" t="n"/>
      <c r="T149" s="161" t="n"/>
      <c r="U149" s="161" t="n"/>
      <c r="V149" s="161" t="n"/>
      <c r="W149" s="161" t="n"/>
      <c r="X149" s="161" t="n"/>
      <c r="Y149" s="161" t="n"/>
      <c r="Z149" s="161" t="n"/>
      <c r="AA149" s="161" t="n"/>
      <c r="AB149" s="161" t="n"/>
      <c r="AC149" s="161" t="n"/>
      <c r="AD149" s="161" t="n"/>
      <c r="AE149" s="161" t="n"/>
      <c r="AF149" s="161" t="n"/>
      <c r="AG149" s="161" t="n"/>
      <c r="AH149" s="161" t="n"/>
      <c r="AI149" s="161" t="n"/>
      <c r="AJ149" s="161" t="n"/>
      <c r="AK149" s="161" t="n"/>
      <c r="AL149" s="161" t="n"/>
      <c r="AM149" s="161" t="n"/>
      <c r="AN149" s="161" t="n"/>
      <c r="AO149" s="161" t="n"/>
      <c r="AP149" s="161" t="n"/>
      <c r="AQ149" s="161" t="n"/>
      <c r="AR149" s="161" t="n"/>
      <c r="AS149" s="161" t="n"/>
      <c r="AT149" s="161" t="n"/>
      <c r="AU149" s="161" t="n"/>
      <c r="AV149" s="161" t="n"/>
      <c r="AW149" s="161" t="n"/>
      <c r="AX149" s="161" t="n"/>
      <c r="AY149" s="161" t="n"/>
      <c r="AZ149" s="161" t="n"/>
    </row>
    <row r="150" ht="15" customHeight="1">
      <c r="A150" s="161" t="n"/>
      <c r="B150" s="161" t="n"/>
      <c r="C150" s="161" t="n"/>
      <c r="D150" s="161" t="n"/>
      <c r="E150" s="161" t="n"/>
      <c r="F150" s="161" t="n"/>
      <c r="G150" s="161" t="n"/>
      <c r="H150" s="161" t="n"/>
      <c r="I150" s="161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  <c r="S150" s="161" t="n"/>
      <c r="T150" s="161" t="n"/>
      <c r="U150" s="161" t="n"/>
      <c r="V150" s="161" t="n"/>
      <c r="W150" s="161" t="n"/>
      <c r="X150" s="161" t="n"/>
      <c r="Y150" s="161" t="n"/>
      <c r="Z150" s="161" t="n"/>
      <c r="AA150" s="161" t="n"/>
      <c r="AB150" s="161" t="n"/>
      <c r="AC150" s="161" t="n"/>
      <c r="AD150" s="161" t="n"/>
      <c r="AE150" s="161" t="n"/>
      <c r="AF150" s="161" t="n"/>
      <c r="AG150" s="161" t="n"/>
      <c r="AH150" s="161" t="n"/>
      <c r="AI150" s="161" t="n"/>
      <c r="AJ150" s="161" t="n"/>
      <c r="AK150" s="161" t="n"/>
      <c r="AL150" s="161" t="n"/>
      <c r="AM150" s="161" t="n"/>
      <c r="AN150" s="161" t="n"/>
      <c r="AO150" s="161" t="n"/>
      <c r="AP150" s="161" t="n"/>
      <c r="AQ150" s="161" t="n"/>
      <c r="AR150" s="161" t="n"/>
      <c r="AS150" s="161" t="n"/>
      <c r="AT150" s="161" t="n"/>
      <c r="AU150" s="161" t="n"/>
      <c r="AV150" s="161" t="n"/>
      <c r="AW150" s="161" t="n"/>
      <c r="AX150" s="161" t="n"/>
      <c r="AY150" s="161" t="n"/>
      <c r="AZ150" s="161" t="n"/>
    </row>
    <row r="151" ht="15" customHeight="1">
      <c r="A151" s="161" t="n"/>
      <c r="B151" s="161" t="n"/>
      <c r="C151" s="161" t="n"/>
      <c r="D151" s="161" t="n"/>
      <c r="E151" s="161" t="n"/>
      <c r="F151" s="161" t="n"/>
      <c r="G151" s="161" t="n"/>
      <c r="H151" s="161" t="n"/>
      <c r="I151" s="161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  <c r="S151" s="161" t="n"/>
      <c r="T151" s="161" t="n"/>
      <c r="U151" s="161" t="n"/>
      <c r="V151" s="161" t="n"/>
      <c r="W151" s="161" t="n"/>
      <c r="X151" s="161" t="n"/>
      <c r="Y151" s="161" t="n"/>
      <c r="Z151" s="161" t="n"/>
      <c r="AA151" s="161" t="n"/>
      <c r="AB151" s="161" t="n"/>
      <c r="AC151" s="161" t="n"/>
      <c r="AD151" s="161" t="n"/>
      <c r="AE151" s="161" t="n"/>
      <c r="AF151" s="161" t="n"/>
      <c r="AG151" s="161" t="n"/>
      <c r="AH151" s="161" t="n"/>
      <c r="AI151" s="161" t="n"/>
      <c r="AJ151" s="161" t="n"/>
      <c r="AK151" s="161" t="n"/>
      <c r="AL151" s="161" t="n"/>
      <c r="AM151" s="161" t="n"/>
      <c r="AN151" s="161" t="n"/>
      <c r="AO151" s="161" t="n"/>
      <c r="AP151" s="161" t="n"/>
      <c r="AQ151" s="161" t="n"/>
      <c r="AR151" s="161" t="n"/>
      <c r="AS151" s="161" t="n"/>
      <c r="AT151" s="161" t="n"/>
      <c r="AU151" s="161" t="n"/>
      <c r="AV151" s="161" t="n"/>
      <c r="AW151" s="161" t="n"/>
      <c r="AX151" s="161" t="n"/>
      <c r="AY151" s="161" t="n"/>
      <c r="AZ151" s="161" t="n"/>
    </row>
    <row r="152" ht="15" customHeight="1">
      <c r="A152" s="161" t="n"/>
      <c r="B152" s="161" t="n"/>
      <c r="C152" s="161" t="n"/>
      <c r="D152" s="161" t="n"/>
      <c r="E152" s="161" t="n"/>
      <c r="F152" s="161" t="n"/>
      <c r="G152" s="161" t="n"/>
      <c r="H152" s="161" t="n"/>
      <c r="I152" s="161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  <c r="S152" s="161" t="n"/>
      <c r="T152" s="161" t="n"/>
      <c r="U152" s="161" t="n"/>
      <c r="V152" s="161" t="n"/>
      <c r="W152" s="161" t="n"/>
      <c r="X152" s="161" t="n"/>
      <c r="Y152" s="161" t="n"/>
      <c r="Z152" s="161" t="n"/>
      <c r="AA152" s="161" t="n"/>
      <c r="AB152" s="161" t="n"/>
      <c r="AC152" s="161" t="n"/>
      <c r="AD152" s="161" t="n"/>
      <c r="AE152" s="161" t="n"/>
      <c r="AF152" s="161" t="n"/>
      <c r="AG152" s="161" t="n"/>
      <c r="AH152" s="161" t="n"/>
      <c r="AI152" s="161" t="n"/>
      <c r="AJ152" s="161" t="n"/>
      <c r="AK152" s="161" t="n"/>
      <c r="AL152" s="161" t="n"/>
      <c r="AM152" s="161" t="n"/>
      <c r="AN152" s="161" t="n"/>
      <c r="AO152" s="161" t="n"/>
      <c r="AP152" s="161" t="n"/>
      <c r="AQ152" s="161" t="n"/>
      <c r="AR152" s="161" t="n"/>
      <c r="AS152" s="161" t="n"/>
      <c r="AT152" s="161" t="n"/>
      <c r="AU152" s="161" t="n"/>
      <c r="AV152" s="161" t="n"/>
      <c r="AW152" s="161" t="n"/>
      <c r="AX152" s="161" t="n"/>
      <c r="AY152" s="161" t="n"/>
      <c r="AZ152" s="161" t="n"/>
    </row>
    <row r="153" ht="15" customHeight="1">
      <c r="A153" s="161" t="n"/>
      <c r="B153" s="161" t="n"/>
      <c r="C153" s="161" t="n"/>
      <c r="D153" s="161" t="n"/>
      <c r="E153" s="161" t="n"/>
      <c r="F153" s="161" t="n"/>
      <c r="G153" s="161" t="n"/>
      <c r="H153" s="161" t="n"/>
      <c r="I153" s="161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  <c r="S153" s="161" t="n"/>
      <c r="T153" s="161" t="n"/>
      <c r="U153" s="161" t="n"/>
      <c r="V153" s="161" t="n"/>
      <c r="W153" s="161" t="n"/>
      <c r="X153" s="161" t="n"/>
      <c r="Y153" s="161" t="n"/>
      <c r="Z153" s="161" t="n"/>
      <c r="AA153" s="161" t="n"/>
      <c r="AB153" s="161" t="n"/>
      <c r="AC153" s="161" t="n"/>
      <c r="AD153" s="161" t="n"/>
      <c r="AE153" s="161" t="n"/>
      <c r="AF153" s="161" t="n"/>
      <c r="AG153" s="161" t="n"/>
      <c r="AH153" s="161" t="n"/>
      <c r="AI153" s="161" t="n"/>
      <c r="AJ153" s="161" t="n"/>
      <c r="AK153" s="161" t="n"/>
      <c r="AL153" s="161" t="n"/>
      <c r="AM153" s="161" t="n"/>
      <c r="AN153" s="161" t="n"/>
      <c r="AO153" s="161" t="n"/>
      <c r="AP153" s="161" t="n"/>
      <c r="AQ153" s="161" t="n"/>
      <c r="AR153" s="161" t="n"/>
      <c r="AS153" s="161" t="n"/>
      <c r="AT153" s="161" t="n"/>
      <c r="AU153" s="161" t="n"/>
      <c r="AV153" s="161" t="n"/>
      <c r="AW153" s="161" t="n"/>
      <c r="AX153" s="161" t="n"/>
      <c r="AY153" s="161" t="n"/>
      <c r="AZ153" s="161" t="n"/>
    </row>
    <row r="154" ht="15" customHeight="1">
      <c r="A154" s="161" t="n"/>
      <c r="B154" s="161" t="n"/>
      <c r="C154" s="161" t="n"/>
      <c r="D154" s="161" t="n"/>
      <c r="E154" s="161" t="n"/>
      <c r="F154" s="161" t="n"/>
      <c r="G154" s="161" t="n"/>
      <c r="H154" s="161" t="n"/>
      <c r="I154" s="161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  <c r="S154" s="161" t="n"/>
      <c r="T154" s="161" t="n"/>
      <c r="U154" s="161" t="n"/>
      <c r="V154" s="161" t="n"/>
      <c r="W154" s="161" t="n"/>
      <c r="X154" s="161" t="n"/>
      <c r="Y154" s="161" t="n"/>
      <c r="Z154" s="161" t="n"/>
      <c r="AA154" s="161" t="n"/>
      <c r="AB154" s="161" t="n"/>
      <c r="AC154" s="161" t="n"/>
      <c r="AD154" s="161" t="n"/>
      <c r="AE154" s="161" t="n"/>
      <c r="AF154" s="161" t="n"/>
      <c r="AG154" s="161" t="n"/>
      <c r="AH154" s="161" t="n"/>
      <c r="AI154" s="161" t="n"/>
      <c r="AJ154" s="161" t="n"/>
      <c r="AK154" s="161" t="n"/>
      <c r="AL154" s="161" t="n"/>
      <c r="AM154" s="161" t="n"/>
      <c r="AN154" s="161" t="n"/>
      <c r="AO154" s="161" t="n"/>
      <c r="AP154" s="161" t="n"/>
      <c r="AQ154" s="161" t="n"/>
      <c r="AR154" s="161" t="n"/>
      <c r="AS154" s="161" t="n"/>
      <c r="AT154" s="161" t="n"/>
      <c r="AU154" s="161" t="n"/>
      <c r="AV154" s="161" t="n"/>
      <c r="AW154" s="161" t="n"/>
      <c r="AX154" s="161" t="n"/>
      <c r="AY154" s="161" t="n"/>
      <c r="AZ154" s="161" t="n"/>
    </row>
    <row r="155" ht="15" customHeight="1">
      <c r="A155" s="161" t="n"/>
      <c r="B155" s="161" t="n"/>
      <c r="C155" s="161" t="n"/>
      <c r="D155" s="161" t="n"/>
      <c r="E155" s="161" t="n"/>
      <c r="F155" s="161" t="n"/>
      <c r="G155" s="161" t="n"/>
      <c r="H155" s="161" t="n"/>
      <c r="I155" s="16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  <c r="S155" s="161" t="n"/>
      <c r="T155" s="161" t="n"/>
      <c r="U155" s="161" t="n"/>
      <c r="V155" s="161" t="n"/>
      <c r="W155" s="161" t="n"/>
      <c r="X155" s="161" t="n"/>
      <c r="Y155" s="161" t="n"/>
      <c r="Z155" s="161" t="n"/>
      <c r="AA155" s="161" t="n"/>
      <c r="AB155" s="161" t="n"/>
      <c r="AC155" s="161" t="n"/>
      <c r="AD155" s="161" t="n"/>
      <c r="AE155" s="161" t="n"/>
      <c r="AF155" s="161" t="n"/>
      <c r="AG155" s="161" t="n"/>
      <c r="AH155" s="161" t="n"/>
      <c r="AI155" s="161" t="n"/>
      <c r="AJ155" s="161" t="n"/>
      <c r="AK155" s="161" t="n"/>
      <c r="AL155" s="161" t="n"/>
      <c r="AM155" s="161" t="n"/>
      <c r="AN155" s="161" t="n"/>
      <c r="AO155" s="161" t="n"/>
      <c r="AP155" s="161" t="n"/>
      <c r="AQ155" s="161" t="n"/>
      <c r="AR155" s="161" t="n"/>
      <c r="AS155" s="161" t="n"/>
      <c r="AT155" s="161" t="n"/>
      <c r="AU155" s="161" t="n"/>
      <c r="AV155" s="161" t="n"/>
      <c r="AW155" s="161" t="n"/>
      <c r="AX155" s="161" t="n"/>
      <c r="AY155" s="161" t="n"/>
      <c r="AZ155" s="161" t="n"/>
    </row>
    <row r="156" ht="15" customHeight="1">
      <c r="A156" s="161" t="n"/>
      <c r="B156" s="161" t="n"/>
      <c r="C156" s="161" t="n"/>
      <c r="D156" s="161" t="n"/>
      <c r="E156" s="161" t="n"/>
      <c r="F156" s="161" t="n"/>
      <c r="G156" s="161" t="n"/>
      <c r="H156" s="161" t="n"/>
      <c r="I156" s="161" t="n"/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  <c r="S156" s="161" t="n"/>
      <c r="T156" s="161" t="n"/>
      <c r="U156" s="161" t="n"/>
      <c r="V156" s="161" t="n"/>
      <c r="W156" s="161" t="n"/>
      <c r="X156" s="161" t="n"/>
      <c r="Y156" s="161" t="n"/>
      <c r="Z156" s="161" t="n"/>
      <c r="AA156" s="161" t="n"/>
      <c r="AB156" s="161" t="n"/>
      <c r="AC156" s="161" t="n"/>
      <c r="AD156" s="161" t="n"/>
      <c r="AE156" s="161" t="n"/>
      <c r="AF156" s="161" t="n"/>
      <c r="AG156" s="161" t="n"/>
      <c r="AH156" s="161" t="n"/>
      <c r="AI156" s="161" t="n"/>
      <c r="AJ156" s="161" t="n"/>
      <c r="AK156" s="161" t="n"/>
      <c r="AL156" s="161" t="n"/>
      <c r="AM156" s="161" t="n"/>
      <c r="AN156" s="161" t="n"/>
      <c r="AO156" s="161" t="n"/>
      <c r="AP156" s="161" t="n"/>
      <c r="AQ156" s="161" t="n"/>
      <c r="AR156" s="161" t="n"/>
      <c r="AS156" s="161" t="n"/>
      <c r="AT156" s="161" t="n"/>
      <c r="AU156" s="161" t="n"/>
      <c r="AV156" s="161" t="n"/>
      <c r="AW156" s="161" t="n"/>
      <c r="AX156" s="161" t="n"/>
      <c r="AY156" s="161" t="n"/>
      <c r="AZ156" s="161" t="n"/>
    </row>
    <row r="157" ht="15" customHeight="1">
      <c r="A157" s="161" t="n"/>
      <c r="B157" s="161" t="n"/>
      <c r="C157" s="161" t="n"/>
      <c r="D157" s="161" t="n"/>
      <c r="E157" s="161" t="n"/>
      <c r="F157" s="161" t="n"/>
      <c r="G157" s="161" t="n"/>
      <c r="H157" s="161" t="n"/>
      <c r="I157" s="161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  <c r="S157" s="161" t="n"/>
      <c r="T157" s="161" t="n"/>
      <c r="U157" s="161" t="n"/>
      <c r="V157" s="161" t="n"/>
      <c r="W157" s="161" t="n"/>
      <c r="X157" s="161" t="n"/>
      <c r="Y157" s="161" t="n"/>
      <c r="Z157" s="161" t="n"/>
      <c r="AA157" s="161" t="n"/>
      <c r="AB157" s="161" t="n"/>
      <c r="AC157" s="161" t="n"/>
      <c r="AD157" s="161" t="n"/>
      <c r="AE157" s="161" t="n"/>
      <c r="AF157" s="161" t="n"/>
      <c r="AG157" s="161" t="n"/>
      <c r="AH157" s="161" t="n"/>
      <c r="AI157" s="161" t="n"/>
      <c r="AJ157" s="161" t="n"/>
      <c r="AK157" s="161" t="n"/>
      <c r="AL157" s="161" t="n"/>
      <c r="AM157" s="161" t="n"/>
      <c r="AN157" s="161" t="n"/>
      <c r="AO157" s="161" t="n"/>
      <c r="AP157" s="161" t="n"/>
      <c r="AQ157" s="161" t="n"/>
      <c r="AR157" s="161" t="n"/>
      <c r="AS157" s="161" t="n"/>
      <c r="AT157" s="161" t="n"/>
      <c r="AU157" s="161" t="n"/>
      <c r="AV157" s="161" t="n"/>
      <c r="AW157" s="161" t="n"/>
      <c r="AX157" s="161" t="n"/>
      <c r="AY157" s="161" t="n"/>
      <c r="AZ157" s="161" t="n"/>
    </row>
    <row r="158" ht="15" customHeight="1">
      <c r="A158" s="161" t="n"/>
      <c r="B158" s="161" t="n"/>
      <c r="C158" s="161" t="n"/>
      <c r="D158" s="161" t="n"/>
      <c r="E158" s="161" t="n"/>
      <c r="F158" s="161" t="n"/>
      <c r="G158" s="161" t="n"/>
      <c r="H158" s="161" t="n"/>
      <c r="I158" s="161" t="n"/>
      <c r="J158" s="161" t="n"/>
      <c r="K158" s="161" t="n"/>
      <c r="L158" s="161" t="n"/>
      <c r="M158" s="161" t="n"/>
      <c r="N158" s="161" t="n"/>
      <c r="O158" s="161" t="n"/>
      <c r="P158" s="161" t="n"/>
      <c r="Q158" s="161" t="n"/>
      <c r="R158" s="161" t="n"/>
      <c r="S158" s="161" t="n"/>
      <c r="T158" s="161" t="n"/>
      <c r="U158" s="161" t="n"/>
      <c r="V158" s="161" t="n"/>
      <c r="W158" s="161" t="n"/>
      <c r="X158" s="161" t="n"/>
      <c r="Y158" s="161" t="n"/>
      <c r="Z158" s="161" t="n"/>
      <c r="AA158" s="161" t="n"/>
      <c r="AB158" s="161" t="n"/>
      <c r="AC158" s="161" t="n"/>
      <c r="AD158" s="161" t="n"/>
      <c r="AE158" s="161" t="n"/>
      <c r="AF158" s="161" t="n"/>
      <c r="AG158" s="161" t="n"/>
      <c r="AH158" s="161" t="n"/>
      <c r="AI158" s="161" t="n"/>
      <c r="AJ158" s="161" t="n"/>
      <c r="AK158" s="161" t="n"/>
      <c r="AL158" s="161" t="n"/>
      <c r="AM158" s="161" t="n"/>
      <c r="AN158" s="161" t="n"/>
      <c r="AO158" s="161" t="n"/>
      <c r="AP158" s="161" t="n"/>
      <c r="AQ158" s="161" t="n"/>
      <c r="AR158" s="161" t="n"/>
      <c r="AS158" s="161" t="n"/>
      <c r="AT158" s="161" t="n"/>
      <c r="AU158" s="161" t="n"/>
      <c r="AV158" s="161" t="n"/>
      <c r="AW158" s="161" t="n"/>
      <c r="AX158" s="161" t="n"/>
      <c r="AY158" s="161" t="n"/>
      <c r="AZ158" s="161" t="n"/>
    </row>
    <row r="159" ht="15" customHeight="1">
      <c r="A159" s="161" t="n"/>
      <c r="B159" s="161" t="n"/>
      <c r="C159" s="161" t="n"/>
      <c r="D159" s="161" t="n"/>
      <c r="E159" s="161" t="n"/>
      <c r="F159" s="161" t="n"/>
      <c r="G159" s="161" t="n"/>
      <c r="H159" s="161" t="n"/>
      <c r="I159" s="161" t="n"/>
      <c r="J159" s="161" t="n"/>
      <c r="K159" s="161" t="n"/>
      <c r="L159" s="161" t="n"/>
      <c r="M159" s="161" t="n"/>
      <c r="N159" s="161" t="n"/>
      <c r="O159" s="161" t="n"/>
      <c r="P159" s="161" t="n"/>
      <c r="Q159" s="161" t="n"/>
      <c r="R159" s="161" t="n"/>
      <c r="S159" s="161" t="n"/>
      <c r="T159" s="161" t="n"/>
      <c r="U159" s="161" t="n"/>
      <c r="V159" s="161" t="n"/>
      <c r="W159" s="161" t="n"/>
      <c r="X159" s="161" t="n"/>
      <c r="Y159" s="161" t="n"/>
      <c r="Z159" s="161" t="n"/>
      <c r="AA159" s="161" t="n"/>
      <c r="AB159" s="161" t="n"/>
      <c r="AC159" s="161" t="n"/>
      <c r="AD159" s="161" t="n"/>
      <c r="AE159" s="161" t="n"/>
      <c r="AF159" s="161" t="n"/>
      <c r="AG159" s="161" t="n"/>
      <c r="AH159" s="161" t="n"/>
      <c r="AI159" s="161" t="n"/>
      <c r="AJ159" s="161" t="n"/>
      <c r="AK159" s="161" t="n"/>
      <c r="AL159" s="161" t="n"/>
      <c r="AM159" s="161" t="n"/>
      <c r="AN159" s="161" t="n"/>
      <c r="AO159" s="161" t="n"/>
      <c r="AP159" s="161" t="n"/>
      <c r="AQ159" s="161" t="n"/>
      <c r="AR159" s="161" t="n"/>
      <c r="AS159" s="161" t="n"/>
      <c r="AT159" s="161" t="n"/>
      <c r="AU159" s="161" t="n"/>
      <c r="AV159" s="161" t="n"/>
      <c r="AW159" s="161" t="n"/>
      <c r="AX159" s="161" t="n"/>
      <c r="AY159" s="161" t="n"/>
      <c r="AZ159" s="161" t="n"/>
    </row>
    <row r="160" ht="15" customHeight="1">
      <c r="A160" s="161" t="n"/>
      <c r="B160" s="161" t="n"/>
      <c r="C160" s="161" t="n"/>
      <c r="D160" s="161" t="n"/>
      <c r="E160" s="161" t="n"/>
      <c r="F160" s="161" t="n"/>
      <c r="G160" s="161" t="n"/>
      <c r="H160" s="161" t="n"/>
      <c r="I160" s="161" t="n"/>
      <c r="J160" s="161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  <c r="S160" s="161" t="n"/>
      <c r="T160" s="161" t="n"/>
      <c r="U160" s="161" t="n"/>
      <c r="V160" s="161" t="n"/>
      <c r="W160" s="161" t="n"/>
      <c r="X160" s="161" t="n"/>
      <c r="Y160" s="161" t="n"/>
      <c r="Z160" s="161" t="n"/>
      <c r="AA160" s="161" t="n"/>
      <c r="AB160" s="161" t="n"/>
      <c r="AC160" s="161" t="n"/>
      <c r="AD160" s="161" t="n"/>
      <c r="AE160" s="161" t="n"/>
      <c r="AF160" s="161" t="n"/>
      <c r="AG160" s="161" t="n"/>
      <c r="AH160" s="161" t="n"/>
      <c r="AI160" s="161" t="n"/>
      <c r="AJ160" s="161" t="n"/>
      <c r="AK160" s="161" t="n"/>
      <c r="AL160" s="161" t="n"/>
      <c r="AM160" s="161" t="n"/>
      <c r="AN160" s="161" t="n"/>
      <c r="AO160" s="161" t="n"/>
      <c r="AP160" s="161" t="n"/>
      <c r="AQ160" s="161" t="n"/>
      <c r="AR160" s="161" t="n"/>
      <c r="AS160" s="161" t="n"/>
      <c r="AT160" s="161" t="n"/>
      <c r="AU160" s="161" t="n"/>
      <c r="AV160" s="161" t="n"/>
      <c r="AW160" s="161" t="n"/>
      <c r="AX160" s="161" t="n"/>
      <c r="AY160" s="161" t="n"/>
      <c r="AZ160" s="161" t="n"/>
    </row>
    <row r="161" ht="15" customHeight="1">
      <c r="A161" s="161" t="n"/>
      <c r="B161" s="161" t="n"/>
      <c r="C161" s="161" t="n"/>
      <c r="D161" s="161" t="n"/>
      <c r="E161" s="161" t="n"/>
      <c r="F161" s="161" t="n"/>
      <c r="G161" s="161" t="n"/>
      <c r="H161" s="161" t="n"/>
      <c r="I161" s="161" t="n"/>
      <c r="J161" s="161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  <c r="S161" s="161" t="n"/>
      <c r="T161" s="161" t="n"/>
      <c r="U161" s="161" t="n"/>
      <c r="V161" s="161" t="n"/>
      <c r="W161" s="161" t="n"/>
      <c r="X161" s="161" t="n"/>
      <c r="Y161" s="161" t="n"/>
      <c r="Z161" s="161" t="n"/>
      <c r="AA161" s="161" t="n"/>
      <c r="AB161" s="161" t="n"/>
      <c r="AC161" s="161" t="n"/>
      <c r="AD161" s="161" t="n"/>
      <c r="AE161" s="161" t="n"/>
      <c r="AF161" s="161" t="n"/>
      <c r="AG161" s="161" t="n"/>
      <c r="AH161" s="161" t="n"/>
      <c r="AI161" s="161" t="n"/>
      <c r="AJ161" s="161" t="n"/>
      <c r="AK161" s="161" t="n"/>
      <c r="AL161" s="161" t="n"/>
      <c r="AM161" s="161" t="n"/>
      <c r="AN161" s="161" t="n"/>
      <c r="AO161" s="161" t="n"/>
      <c r="AP161" s="161" t="n"/>
      <c r="AQ161" s="161" t="n"/>
      <c r="AR161" s="161" t="n"/>
      <c r="AS161" s="161" t="n"/>
      <c r="AT161" s="161" t="n"/>
      <c r="AU161" s="161" t="n"/>
      <c r="AV161" s="161" t="n"/>
      <c r="AW161" s="161" t="n"/>
      <c r="AX161" s="161" t="n"/>
      <c r="AY161" s="161" t="n"/>
      <c r="AZ161" s="161" t="n"/>
    </row>
    <row r="162" ht="15" customHeight="1">
      <c r="A162" s="161" t="n"/>
      <c r="B162" s="161" t="n"/>
      <c r="C162" s="161" t="n"/>
      <c r="D162" s="161" t="n"/>
      <c r="E162" s="161" t="n"/>
      <c r="F162" s="161" t="n"/>
      <c r="G162" s="161" t="n"/>
      <c r="H162" s="161" t="n"/>
      <c r="I162" s="161" t="n"/>
      <c r="J162" s="161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  <c r="S162" s="161" t="n"/>
      <c r="T162" s="161" t="n"/>
      <c r="U162" s="161" t="n"/>
      <c r="V162" s="161" t="n"/>
      <c r="W162" s="161" t="n"/>
      <c r="X162" s="161" t="n"/>
      <c r="Y162" s="161" t="n"/>
      <c r="Z162" s="161" t="n"/>
      <c r="AA162" s="161" t="n"/>
      <c r="AB162" s="161" t="n"/>
      <c r="AC162" s="161" t="n"/>
      <c r="AD162" s="161" t="n"/>
      <c r="AE162" s="161" t="n"/>
      <c r="AF162" s="161" t="n"/>
      <c r="AG162" s="161" t="n"/>
      <c r="AH162" s="161" t="n"/>
      <c r="AI162" s="161" t="n"/>
      <c r="AJ162" s="161" t="n"/>
      <c r="AK162" s="161" t="n"/>
      <c r="AL162" s="161" t="n"/>
      <c r="AM162" s="161" t="n"/>
      <c r="AN162" s="161" t="n"/>
      <c r="AO162" s="161" t="n"/>
      <c r="AP162" s="161" t="n"/>
      <c r="AQ162" s="161" t="n"/>
      <c r="AR162" s="161" t="n"/>
      <c r="AS162" s="161" t="n"/>
      <c r="AT162" s="161" t="n"/>
      <c r="AU162" s="161" t="n"/>
      <c r="AV162" s="161" t="n"/>
      <c r="AW162" s="161" t="n"/>
      <c r="AX162" s="161" t="n"/>
      <c r="AY162" s="161" t="n"/>
      <c r="AZ162" s="161" t="n"/>
    </row>
    <row r="163" ht="15" customHeight="1">
      <c r="A163" s="161" t="n"/>
      <c r="B163" s="161" t="n"/>
      <c r="C163" s="161" t="n"/>
      <c r="D163" s="161" t="n"/>
      <c r="E163" s="161" t="n"/>
      <c r="F163" s="161" t="n"/>
      <c r="G163" s="161" t="n"/>
      <c r="H163" s="161" t="n"/>
      <c r="I163" s="161" t="n"/>
      <c r="J163" s="161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  <c r="S163" s="161" t="n"/>
      <c r="T163" s="161" t="n"/>
      <c r="U163" s="161" t="n"/>
      <c r="V163" s="161" t="n"/>
      <c r="W163" s="161" t="n"/>
      <c r="X163" s="161" t="n"/>
      <c r="Y163" s="161" t="n"/>
      <c r="Z163" s="161" t="n"/>
      <c r="AA163" s="161" t="n"/>
      <c r="AB163" s="161" t="n"/>
      <c r="AC163" s="161" t="n"/>
      <c r="AD163" s="161" t="n"/>
      <c r="AE163" s="161" t="n"/>
      <c r="AF163" s="161" t="n"/>
      <c r="AG163" s="161" t="n"/>
      <c r="AH163" s="161" t="n"/>
      <c r="AI163" s="161" t="n"/>
      <c r="AJ163" s="161" t="n"/>
      <c r="AK163" s="161" t="n"/>
      <c r="AL163" s="161" t="n"/>
      <c r="AM163" s="161" t="n"/>
      <c r="AN163" s="161" t="n"/>
      <c r="AO163" s="161" t="n"/>
      <c r="AP163" s="161" t="n"/>
      <c r="AQ163" s="161" t="n"/>
      <c r="AR163" s="161" t="n"/>
      <c r="AS163" s="161" t="n"/>
      <c r="AT163" s="161" t="n"/>
      <c r="AU163" s="161" t="n"/>
      <c r="AV163" s="161" t="n"/>
      <c r="AW163" s="161" t="n"/>
      <c r="AX163" s="161" t="n"/>
      <c r="AY163" s="161" t="n"/>
      <c r="AZ163" s="161" t="n"/>
    </row>
    <row r="164" ht="15" customHeight="1">
      <c r="A164" s="161" t="n"/>
      <c r="B164" s="161" t="n"/>
      <c r="C164" s="161" t="n"/>
      <c r="D164" s="161" t="n"/>
      <c r="E164" s="161" t="n"/>
      <c r="F164" s="161" t="n"/>
      <c r="G164" s="161" t="n"/>
      <c r="H164" s="161" t="n"/>
      <c r="I164" s="161" t="n"/>
      <c r="J164" s="161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  <c r="S164" s="161" t="n"/>
      <c r="T164" s="161" t="n"/>
      <c r="U164" s="161" t="n"/>
      <c r="V164" s="161" t="n"/>
      <c r="W164" s="161" t="n"/>
      <c r="X164" s="161" t="n"/>
      <c r="Y164" s="161" t="n"/>
      <c r="Z164" s="161" t="n"/>
      <c r="AA164" s="161" t="n"/>
      <c r="AB164" s="161" t="n"/>
      <c r="AC164" s="161" t="n"/>
      <c r="AD164" s="161" t="n"/>
      <c r="AE164" s="161" t="n"/>
      <c r="AF164" s="161" t="n"/>
      <c r="AG164" s="161" t="n"/>
      <c r="AH164" s="161" t="n"/>
      <c r="AI164" s="161" t="n"/>
      <c r="AJ164" s="161" t="n"/>
      <c r="AK164" s="161" t="n"/>
      <c r="AL164" s="161" t="n"/>
      <c r="AM164" s="161" t="n"/>
      <c r="AN164" s="161" t="n"/>
      <c r="AO164" s="161" t="n"/>
      <c r="AP164" s="161" t="n"/>
      <c r="AQ164" s="161" t="n"/>
      <c r="AR164" s="161" t="n"/>
      <c r="AS164" s="161" t="n"/>
      <c r="AT164" s="161" t="n"/>
      <c r="AU164" s="161" t="n"/>
      <c r="AV164" s="161" t="n"/>
      <c r="AW164" s="161" t="n"/>
      <c r="AX164" s="161" t="n"/>
      <c r="AY164" s="161" t="n"/>
      <c r="AZ164" s="161" t="n"/>
    </row>
    <row r="165" ht="15" customHeight="1">
      <c r="A165" s="161" t="n"/>
      <c r="B165" s="161" t="n"/>
      <c r="C165" s="161" t="n"/>
      <c r="D165" s="161" t="n"/>
      <c r="E165" s="161" t="n"/>
      <c r="F165" s="161" t="n"/>
      <c r="G165" s="161" t="n"/>
      <c r="H165" s="161" t="n"/>
      <c r="I165" s="161" t="n"/>
      <c r="J165" s="161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  <c r="S165" s="161" t="n"/>
      <c r="T165" s="161" t="n"/>
      <c r="U165" s="161" t="n"/>
      <c r="V165" s="161" t="n"/>
      <c r="W165" s="161" t="n"/>
      <c r="X165" s="161" t="n"/>
      <c r="Y165" s="161" t="n"/>
      <c r="Z165" s="161" t="n"/>
      <c r="AA165" s="161" t="n"/>
      <c r="AB165" s="161" t="n"/>
      <c r="AC165" s="161" t="n"/>
      <c r="AD165" s="161" t="n"/>
      <c r="AE165" s="161" t="n"/>
      <c r="AF165" s="161" t="n"/>
      <c r="AG165" s="161" t="n"/>
      <c r="AH165" s="161" t="n"/>
      <c r="AI165" s="161" t="n"/>
      <c r="AJ165" s="161" t="n"/>
      <c r="AK165" s="161" t="n"/>
      <c r="AL165" s="161" t="n"/>
      <c r="AM165" s="161" t="n"/>
      <c r="AN165" s="161" t="n"/>
      <c r="AO165" s="161" t="n"/>
      <c r="AP165" s="161" t="n"/>
      <c r="AQ165" s="161" t="n"/>
      <c r="AR165" s="161" t="n"/>
      <c r="AS165" s="161" t="n"/>
      <c r="AT165" s="161" t="n"/>
      <c r="AU165" s="161" t="n"/>
      <c r="AV165" s="161" t="n"/>
      <c r="AW165" s="161" t="n"/>
      <c r="AX165" s="161" t="n"/>
      <c r="AY165" s="161" t="n"/>
      <c r="AZ165" s="161" t="n"/>
    </row>
    <row r="166" ht="15" customHeight="1">
      <c r="A166" s="161" t="n"/>
      <c r="B166" s="161" t="n"/>
      <c r="C166" s="161" t="n"/>
      <c r="D166" s="161" t="n"/>
      <c r="E166" s="161" t="n"/>
      <c r="F166" s="161" t="n"/>
      <c r="G166" s="161" t="n"/>
      <c r="H166" s="161" t="n"/>
      <c r="I166" s="161" t="n"/>
      <c r="J166" s="161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  <c r="S166" s="161" t="n"/>
      <c r="T166" s="161" t="n"/>
      <c r="U166" s="161" t="n"/>
      <c r="V166" s="161" t="n"/>
      <c r="W166" s="161" t="n"/>
      <c r="X166" s="161" t="n"/>
      <c r="Y166" s="161" t="n"/>
      <c r="Z166" s="161" t="n"/>
      <c r="AA166" s="161" t="n"/>
      <c r="AB166" s="161" t="n"/>
      <c r="AC166" s="161" t="n"/>
      <c r="AD166" s="161" t="n"/>
      <c r="AE166" s="161" t="n"/>
      <c r="AF166" s="161" t="n"/>
      <c r="AG166" s="161" t="n"/>
      <c r="AH166" s="161" t="n"/>
      <c r="AI166" s="161" t="n"/>
      <c r="AJ166" s="161" t="n"/>
      <c r="AK166" s="161" t="n"/>
      <c r="AL166" s="161" t="n"/>
      <c r="AM166" s="161" t="n"/>
      <c r="AN166" s="161" t="n"/>
      <c r="AO166" s="161" t="n"/>
      <c r="AP166" s="161" t="n"/>
      <c r="AQ166" s="161" t="n"/>
      <c r="AR166" s="161" t="n"/>
      <c r="AS166" s="161" t="n"/>
      <c r="AT166" s="161" t="n"/>
      <c r="AU166" s="161" t="n"/>
      <c r="AV166" s="161" t="n"/>
      <c r="AW166" s="161" t="n"/>
      <c r="AX166" s="161" t="n"/>
      <c r="AY166" s="161" t="n"/>
      <c r="AZ166" s="161" t="n"/>
    </row>
    <row r="167" ht="15" customHeight="1">
      <c r="A167" s="161" t="n"/>
      <c r="B167" s="161" t="n"/>
      <c r="C167" s="161" t="n"/>
      <c r="D167" s="161" t="n"/>
      <c r="E167" s="161" t="n"/>
      <c r="F167" s="161" t="n"/>
      <c r="G167" s="161" t="n"/>
      <c r="H167" s="161" t="n"/>
      <c r="I167" s="161" t="n"/>
      <c r="J167" s="161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  <c r="S167" s="161" t="n"/>
      <c r="T167" s="161" t="n"/>
      <c r="U167" s="161" t="n"/>
      <c r="V167" s="161" t="n"/>
      <c r="W167" s="161" t="n"/>
      <c r="X167" s="161" t="n"/>
      <c r="Y167" s="161" t="n"/>
      <c r="Z167" s="161" t="n"/>
      <c r="AA167" s="161" t="n"/>
      <c r="AB167" s="161" t="n"/>
      <c r="AC167" s="161" t="n"/>
      <c r="AD167" s="161" t="n"/>
      <c r="AE167" s="161" t="n"/>
      <c r="AF167" s="161" t="n"/>
      <c r="AG167" s="161" t="n"/>
      <c r="AH167" s="161" t="n"/>
      <c r="AI167" s="161" t="n"/>
      <c r="AJ167" s="161" t="n"/>
      <c r="AK167" s="161" t="n"/>
      <c r="AL167" s="161" t="n"/>
      <c r="AM167" s="161" t="n"/>
      <c r="AN167" s="161" t="n"/>
      <c r="AO167" s="161" t="n"/>
      <c r="AP167" s="161" t="n"/>
      <c r="AQ167" s="161" t="n"/>
      <c r="AR167" s="161" t="n"/>
      <c r="AS167" s="161" t="n"/>
      <c r="AT167" s="161" t="n"/>
      <c r="AU167" s="161" t="n"/>
      <c r="AV167" s="161" t="n"/>
      <c r="AW167" s="161" t="n"/>
      <c r="AX167" s="161" t="n"/>
      <c r="AY167" s="161" t="n"/>
      <c r="AZ167" s="161" t="n"/>
    </row>
    <row r="168" ht="15" customHeight="1">
      <c r="A168" s="161" t="n"/>
      <c r="B168" s="161" t="n"/>
      <c r="C168" s="161" t="n"/>
      <c r="D168" s="161" t="n"/>
      <c r="E168" s="161" t="n"/>
      <c r="F168" s="161" t="n"/>
      <c r="G168" s="161" t="n"/>
      <c r="H168" s="161" t="n"/>
      <c r="I168" s="161" t="n"/>
      <c r="J168" s="161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  <c r="S168" s="161" t="n"/>
      <c r="T168" s="161" t="n"/>
      <c r="U168" s="161" t="n"/>
      <c r="V168" s="161" t="n"/>
      <c r="W168" s="161" t="n"/>
      <c r="X168" s="161" t="n"/>
      <c r="Y168" s="161" t="n"/>
      <c r="Z168" s="161" t="n"/>
      <c r="AA168" s="161" t="n"/>
      <c r="AB168" s="161" t="n"/>
      <c r="AC168" s="161" t="n"/>
      <c r="AD168" s="161" t="n"/>
      <c r="AE168" s="161" t="n"/>
      <c r="AF168" s="161" t="n"/>
      <c r="AG168" s="161" t="n"/>
      <c r="AH168" s="161" t="n"/>
      <c r="AI168" s="161" t="n"/>
      <c r="AJ168" s="161" t="n"/>
      <c r="AK168" s="161" t="n"/>
      <c r="AL168" s="161" t="n"/>
      <c r="AM168" s="161" t="n"/>
      <c r="AN168" s="161" t="n"/>
      <c r="AO168" s="161" t="n"/>
      <c r="AP168" s="161" t="n"/>
      <c r="AQ168" s="161" t="n"/>
      <c r="AR168" s="161" t="n"/>
      <c r="AS168" s="161" t="n"/>
      <c r="AT168" s="161" t="n"/>
      <c r="AU168" s="161" t="n"/>
      <c r="AV168" s="161" t="n"/>
      <c r="AW168" s="161" t="n"/>
      <c r="AX168" s="161" t="n"/>
      <c r="AY168" s="161" t="n"/>
      <c r="AZ168" s="161" t="n"/>
    </row>
    <row r="169" ht="15" customHeight="1">
      <c r="A169" s="161" t="n"/>
      <c r="B169" s="161" t="n"/>
      <c r="C169" s="161" t="n"/>
      <c r="D169" s="161" t="n"/>
      <c r="E169" s="161" t="n"/>
      <c r="F169" s="161" t="n"/>
      <c r="G169" s="161" t="n"/>
      <c r="H169" s="161" t="n"/>
      <c r="I169" s="161" t="n"/>
      <c r="J169" s="161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  <c r="S169" s="161" t="n"/>
      <c r="T169" s="161" t="n"/>
      <c r="U169" s="161" t="n"/>
      <c r="V169" s="161" t="n"/>
      <c r="W169" s="161" t="n"/>
      <c r="X169" s="161" t="n"/>
      <c r="Y169" s="161" t="n"/>
      <c r="Z169" s="161" t="n"/>
      <c r="AA169" s="161" t="n"/>
      <c r="AB169" s="161" t="n"/>
      <c r="AC169" s="161" t="n"/>
      <c r="AD169" s="161" t="n"/>
      <c r="AE169" s="161" t="n"/>
      <c r="AF169" s="161" t="n"/>
      <c r="AG169" s="161" t="n"/>
      <c r="AH169" s="161" t="n"/>
      <c r="AI169" s="161" t="n"/>
      <c r="AJ169" s="161" t="n"/>
      <c r="AK169" s="161" t="n"/>
      <c r="AL169" s="161" t="n"/>
      <c r="AM169" s="161" t="n"/>
      <c r="AN169" s="161" t="n"/>
      <c r="AO169" s="161" t="n"/>
      <c r="AP169" s="161" t="n"/>
      <c r="AQ169" s="161" t="n"/>
      <c r="AR169" s="161" t="n"/>
      <c r="AS169" s="161" t="n"/>
      <c r="AT169" s="161" t="n"/>
      <c r="AU169" s="161" t="n"/>
      <c r="AV169" s="161" t="n"/>
      <c r="AW169" s="161" t="n"/>
      <c r="AX169" s="161" t="n"/>
      <c r="AY169" s="161" t="n"/>
      <c r="AZ169" s="161" t="n"/>
    </row>
    <row r="170" ht="15" customHeight="1">
      <c r="A170" s="161" t="n"/>
      <c r="B170" s="161" t="n"/>
      <c r="C170" s="161" t="n"/>
      <c r="D170" s="161" t="n"/>
      <c r="E170" s="161" t="n"/>
      <c r="F170" s="161" t="n"/>
      <c r="G170" s="161" t="n"/>
      <c r="H170" s="161" t="n"/>
      <c r="I170" s="161" t="n"/>
      <c r="J170" s="161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  <c r="S170" s="161" t="n"/>
      <c r="T170" s="161" t="n"/>
      <c r="U170" s="161" t="n"/>
      <c r="V170" s="161" t="n"/>
      <c r="W170" s="161" t="n"/>
      <c r="X170" s="161" t="n"/>
      <c r="Y170" s="161" t="n"/>
      <c r="Z170" s="161" t="n"/>
      <c r="AA170" s="161" t="n"/>
      <c r="AB170" s="161" t="n"/>
      <c r="AC170" s="161" t="n"/>
      <c r="AD170" s="161" t="n"/>
      <c r="AE170" s="161" t="n"/>
      <c r="AF170" s="161" t="n"/>
      <c r="AG170" s="161" t="n"/>
      <c r="AH170" s="161" t="n"/>
      <c r="AI170" s="161" t="n"/>
      <c r="AJ170" s="161" t="n"/>
      <c r="AK170" s="161" t="n"/>
      <c r="AL170" s="161" t="n"/>
      <c r="AM170" s="161" t="n"/>
      <c r="AN170" s="161" t="n"/>
      <c r="AO170" s="161" t="n"/>
      <c r="AP170" s="161" t="n"/>
      <c r="AQ170" s="161" t="n"/>
      <c r="AR170" s="161" t="n"/>
      <c r="AS170" s="161" t="n"/>
      <c r="AT170" s="161" t="n"/>
      <c r="AU170" s="161" t="n"/>
      <c r="AV170" s="161" t="n"/>
      <c r="AW170" s="161" t="n"/>
      <c r="AX170" s="161" t="n"/>
      <c r="AY170" s="161" t="n"/>
      <c r="AZ170" s="161" t="n"/>
    </row>
    <row r="171" ht="15" customHeight="1">
      <c r="A171" s="161" t="n"/>
      <c r="B171" s="161" t="n"/>
      <c r="C171" s="161" t="n"/>
      <c r="D171" s="161" t="n"/>
      <c r="E171" s="161" t="n"/>
      <c r="F171" s="161" t="n"/>
      <c r="G171" s="161" t="n"/>
      <c r="H171" s="161" t="n"/>
      <c r="I171" s="161" t="n"/>
      <c r="J171" s="161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  <c r="S171" s="161" t="n"/>
      <c r="T171" s="161" t="n"/>
      <c r="U171" s="161" t="n"/>
      <c r="V171" s="161" t="n"/>
      <c r="W171" s="161" t="n"/>
      <c r="X171" s="161" t="n"/>
      <c r="Y171" s="161" t="n"/>
      <c r="Z171" s="161" t="n"/>
      <c r="AA171" s="161" t="n"/>
      <c r="AB171" s="161" t="n"/>
      <c r="AC171" s="161" t="n"/>
      <c r="AD171" s="161" t="n"/>
      <c r="AE171" s="161" t="n"/>
      <c r="AF171" s="161" t="n"/>
      <c r="AG171" s="161" t="n"/>
      <c r="AH171" s="161" t="n"/>
      <c r="AI171" s="161" t="n"/>
      <c r="AJ171" s="161" t="n"/>
      <c r="AK171" s="161" t="n"/>
      <c r="AL171" s="161" t="n"/>
      <c r="AM171" s="161" t="n"/>
      <c r="AN171" s="161" t="n"/>
      <c r="AO171" s="161" t="n"/>
      <c r="AP171" s="161" t="n"/>
      <c r="AQ171" s="161" t="n"/>
      <c r="AR171" s="161" t="n"/>
      <c r="AS171" s="161" t="n"/>
      <c r="AT171" s="161" t="n"/>
      <c r="AU171" s="161" t="n"/>
      <c r="AV171" s="161" t="n"/>
      <c r="AW171" s="161" t="n"/>
      <c r="AX171" s="161" t="n"/>
      <c r="AY171" s="161" t="n"/>
      <c r="AZ171" s="161" t="n"/>
    </row>
    <row r="172" ht="15" customHeight="1">
      <c r="A172" s="161" t="n"/>
      <c r="B172" s="161" t="n"/>
      <c r="C172" s="161" t="n"/>
      <c r="D172" s="161" t="n"/>
      <c r="E172" s="161" t="n"/>
      <c r="F172" s="161" t="n"/>
      <c r="G172" s="161" t="n"/>
      <c r="H172" s="161" t="n"/>
      <c r="I172" s="161" t="n"/>
      <c r="J172" s="161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  <c r="S172" s="161" t="n"/>
      <c r="T172" s="161" t="n"/>
      <c r="U172" s="161" t="n"/>
      <c r="V172" s="161" t="n"/>
      <c r="W172" s="161" t="n"/>
      <c r="X172" s="161" t="n"/>
      <c r="Y172" s="161" t="n"/>
      <c r="Z172" s="161" t="n"/>
      <c r="AA172" s="161" t="n"/>
      <c r="AB172" s="161" t="n"/>
      <c r="AC172" s="161" t="n"/>
      <c r="AD172" s="161" t="n"/>
      <c r="AE172" s="161" t="n"/>
      <c r="AF172" s="161" t="n"/>
      <c r="AG172" s="161" t="n"/>
      <c r="AH172" s="161" t="n"/>
      <c r="AI172" s="161" t="n"/>
      <c r="AJ172" s="161" t="n"/>
      <c r="AK172" s="161" t="n"/>
      <c r="AL172" s="161" t="n"/>
      <c r="AM172" s="161" t="n"/>
      <c r="AN172" s="161" t="n"/>
      <c r="AO172" s="161" t="n"/>
      <c r="AP172" s="161" t="n"/>
      <c r="AQ172" s="161" t="n"/>
      <c r="AR172" s="161" t="n"/>
      <c r="AS172" s="161" t="n"/>
      <c r="AT172" s="161" t="n"/>
      <c r="AU172" s="161" t="n"/>
      <c r="AV172" s="161" t="n"/>
      <c r="AW172" s="161" t="n"/>
      <c r="AX172" s="161" t="n"/>
      <c r="AY172" s="161" t="n"/>
      <c r="AZ172" s="161" t="n"/>
    </row>
    <row r="173" ht="15" customHeight="1">
      <c r="A173" s="161" t="n"/>
      <c r="B173" s="161" t="n"/>
      <c r="C173" s="161" t="n"/>
      <c r="D173" s="161" t="n"/>
      <c r="E173" s="161" t="n"/>
      <c r="F173" s="161" t="n"/>
      <c r="G173" s="161" t="n"/>
      <c r="H173" s="161" t="n"/>
      <c r="I173" s="161" t="n"/>
      <c r="J173" s="161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  <c r="S173" s="161" t="n"/>
      <c r="T173" s="161" t="n"/>
      <c r="U173" s="161" t="n"/>
      <c r="V173" s="161" t="n"/>
      <c r="W173" s="161" t="n"/>
      <c r="X173" s="161" t="n"/>
      <c r="Y173" s="161" t="n"/>
      <c r="Z173" s="161" t="n"/>
      <c r="AA173" s="161" t="n"/>
      <c r="AB173" s="161" t="n"/>
      <c r="AC173" s="161" t="n"/>
      <c r="AD173" s="161" t="n"/>
      <c r="AE173" s="161" t="n"/>
      <c r="AF173" s="161" t="n"/>
      <c r="AG173" s="161" t="n"/>
      <c r="AH173" s="161" t="n"/>
      <c r="AI173" s="161" t="n"/>
      <c r="AJ173" s="161" t="n"/>
      <c r="AK173" s="161" t="n"/>
      <c r="AL173" s="161" t="n"/>
      <c r="AM173" s="161" t="n"/>
      <c r="AN173" s="161" t="n"/>
      <c r="AO173" s="161" t="n"/>
      <c r="AP173" s="161" t="n"/>
      <c r="AQ173" s="161" t="n"/>
      <c r="AR173" s="161" t="n"/>
      <c r="AS173" s="161" t="n"/>
      <c r="AT173" s="161" t="n"/>
      <c r="AU173" s="161" t="n"/>
      <c r="AV173" s="161" t="n"/>
      <c r="AW173" s="161" t="n"/>
      <c r="AX173" s="161" t="n"/>
      <c r="AY173" s="161" t="n"/>
      <c r="AZ173" s="161" t="n"/>
    </row>
    <row r="174" ht="15" customHeight="1">
      <c r="A174" s="161" t="n"/>
      <c r="B174" s="161" t="n"/>
      <c r="C174" s="161" t="n"/>
      <c r="D174" s="161" t="n"/>
      <c r="E174" s="161" t="n"/>
      <c r="F174" s="161" t="n"/>
      <c r="G174" s="161" t="n"/>
      <c r="H174" s="161" t="n"/>
      <c r="I174" s="161" t="n"/>
      <c r="J174" s="161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  <c r="S174" s="161" t="n"/>
      <c r="T174" s="161" t="n"/>
      <c r="U174" s="161" t="n"/>
      <c r="V174" s="161" t="n"/>
      <c r="W174" s="161" t="n"/>
      <c r="X174" s="161" t="n"/>
      <c r="Y174" s="161" t="n"/>
      <c r="Z174" s="161" t="n"/>
      <c r="AA174" s="161" t="n"/>
      <c r="AB174" s="161" t="n"/>
      <c r="AC174" s="161" t="n"/>
      <c r="AD174" s="161" t="n"/>
      <c r="AE174" s="161" t="n"/>
      <c r="AF174" s="161" t="n"/>
      <c r="AG174" s="161" t="n"/>
      <c r="AH174" s="161" t="n"/>
      <c r="AI174" s="161" t="n"/>
      <c r="AJ174" s="161" t="n"/>
      <c r="AK174" s="161" t="n"/>
      <c r="AL174" s="161" t="n"/>
      <c r="AM174" s="161" t="n"/>
      <c r="AN174" s="161" t="n"/>
      <c r="AO174" s="161" t="n"/>
      <c r="AP174" s="161" t="n"/>
      <c r="AQ174" s="161" t="n"/>
      <c r="AR174" s="161" t="n"/>
      <c r="AS174" s="161" t="n"/>
      <c r="AT174" s="161" t="n"/>
      <c r="AU174" s="161" t="n"/>
      <c r="AV174" s="161" t="n"/>
      <c r="AW174" s="161" t="n"/>
      <c r="AX174" s="161" t="n"/>
      <c r="AY174" s="161" t="n"/>
      <c r="AZ174" s="161" t="n"/>
    </row>
    <row r="175" ht="15" customHeight="1">
      <c r="A175" s="161" t="n"/>
      <c r="B175" s="161" t="n"/>
      <c r="C175" s="161" t="n"/>
      <c r="D175" s="161" t="n"/>
      <c r="E175" s="161" t="n"/>
      <c r="F175" s="161" t="n"/>
      <c r="G175" s="161" t="n"/>
      <c r="H175" s="161" t="n"/>
      <c r="I175" s="161" t="n"/>
      <c r="J175" s="161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  <c r="S175" s="161" t="n"/>
      <c r="T175" s="161" t="n"/>
      <c r="U175" s="161" t="n"/>
      <c r="V175" s="161" t="n"/>
      <c r="W175" s="161" t="n"/>
      <c r="X175" s="161" t="n"/>
      <c r="Y175" s="161" t="n"/>
      <c r="Z175" s="161" t="n"/>
      <c r="AA175" s="161" t="n"/>
      <c r="AB175" s="161" t="n"/>
      <c r="AC175" s="161" t="n"/>
      <c r="AD175" s="161" t="n"/>
      <c r="AE175" s="161" t="n"/>
      <c r="AF175" s="161" t="n"/>
      <c r="AG175" s="161" t="n"/>
      <c r="AH175" s="161" t="n"/>
      <c r="AI175" s="161" t="n"/>
      <c r="AJ175" s="161" t="n"/>
      <c r="AK175" s="161" t="n"/>
      <c r="AL175" s="161" t="n"/>
      <c r="AM175" s="161" t="n"/>
      <c r="AN175" s="161" t="n"/>
      <c r="AO175" s="161" t="n"/>
      <c r="AP175" s="161" t="n"/>
      <c r="AQ175" s="161" t="n"/>
      <c r="AR175" s="161" t="n"/>
      <c r="AS175" s="161" t="n"/>
      <c r="AT175" s="161" t="n"/>
      <c r="AU175" s="161" t="n"/>
      <c r="AV175" s="161" t="n"/>
      <c r="AW175" s="161" t="n"/>
      <c r="AX175" s="161" t="n"/>
      <c r="AY175" s="161" t="n"/>
      <c r="AZ175" s="161" t="n"/>
    </row>
    <row r="176" ht="15" customHeight="1">
      <c r="A176" s="161" t="n"/>
      <c r="B176" s="161" t="n"/>
      <c r="C176" s="161" t="n"/>
      <c r="D176" s="161" t="n"/>
      <c r="E176" s="161" t="n"/>
      <c r="F176" s="161" t="n"/>
      <c r="G176" s="161" t="n"/>
      <c r="H176" s="161" t="n"/>
      <c r="I176" s="161" t="n"/>
      <c r="J176" s="161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  <c r="S176" s="161" t="n"/>
      <c r="T176" s="161" t="n"/>
      <c r="U176" s="161" t="n"/>
      <c r="V176" s="161" t="n"/>
      <c r="W176" s="161" t="n"/>
      <c r="X176" s="161" t="n"/>
      <c r="Y176" s="161" t="n"/>
      <c r="Z176" s="161" t="n"/>
      <c r="AA176" s="161" t="n"/>
      <c r="AB176" s="161" t="n"/>
      <c r="AC176" s="161" t="n"/>
      <c r="AD176" s="161" t="n"/>
      <c r="AE176" s="161" t="n"/>
      <c r="AF176" s="161" t="n"/>
      <c r="AG176" s="161" t="n"/>
      <c r="AH176" s="161" t="n"/>
      <c r="AI176" s="161" t="n"/>
      <c r="AJ176" s="161" t="n"/>
      <c r="AK176" s="161" t="n"/>
      <c r="AL176" s="161" t="n"/>
      <c r="AM176" s="161" t="n"/>
      <c r="AN176" s="161" t="n"/>
      <c r="AO176" s="161" t="n"/>
      <c r="AP176" s="161" t="n"/>
      <c r="AQ176" s="161" t="n"/>
      <c r="AR176" s="161" t="n"/>
      <c r="AS176" s="161" t="n"/>
      <c r="AT176" s="161" t="n"/>
      <c r="AU176" s="161" t="n"/>
      <c r="AV176" s="161" t="n"/>
      <c r="AW176" s="161" t="n"/>
      <c r="AX176" s="161" t="n"/>
      <c r="AY176" s="161" t="n"/>
      <c r="AZ176" s="161" t="n"/>
    </row>
    <row r="177" ht="15" customHeight="1">
      <c r="A177" s="161" t="n"/>
      <c r="B177" s="161" t="n"/>
      <c r="C177" s="161" t="n"/>
      <c r="D177" s="161" t="n"/>
      <c r="E177" s="161" t="n"/>
      <c r="F177" s="161" t="n"/>
      <c r="G177" s="161" t="n"/>
      <c r="H177" s="161" t="n"/>
      <c r="I177" s="161" t="n"/>
      <c r="J177" s="161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  <c r="S177" s="161" t="n"/>
      <c r="T177" s="161" t="n"/>
      <c r="U177" s="161" t="n"/>
      <c r="V177" s="161" t="n"/>
      <c r="W177" s="161" t="n"/>
      <c r="X177" s="161" t="n"/>
      <c r="Y177" s="161" t="n"/>
      <c r="Z177" s="161" t="n"/>
      <c r="AA177" s="161" t="n"/>
      <c r="AB177" s="161" t="n"/>
      <c r="AC177" s="161" t="n"/>
      <c r="AD177" s="161" t="n"/>
      <c r="AE177" s="161" t="n"/>
      <c r="AF177" s="161" t="n"/>
      <c r="AG177" s="161" t="n"/>
      <c r="AH177" s="161" t="n"/>
      <c r="AI177" s="161" t="n"/>
      <c r="AJ177" s="161" t="n"/>
      <c r="AK177" s="161" t="n"/>
      <c r="AL177" s="161" t="n"/>
      <c r="AM177" s="161" t="n"/>
      <c r="AN177" s="161" t="n"/>
      <c r="AO177" s="161" t="n"/>
      <c r="AP177" s="161" t="n"/>
      <c r="AQ177" s="161" t="n"/>
      <c r="AR177" s="161" t="n"/>
      <c r="AS177" s="161" t="n"/>
      <c r="AT177" s="161" t="n"/>
      <c r="AU177" s="161" t="n"/>
      <c r="AV177" s="161" t="n"/>
      <c r="AW177" s="161" t="n"/>
      <c r="AX177" s="161" t="n"/>
      <c r="AY177" s="161" t="n"/>
      <c r="AZ177" s="161" t="n"/>
    </row>
    <row r="178" ht="15" customHeight="1">
      <c r="A178" s="161" t="n"/>
      <c r="B178" s="161" t="n"/>
      <c r="C178" s="161" t="n"/>
      <c r="D178" s="161" t="n"/>
      <c r="E178" s="161" t="n"/>
      <c r="F178" s="161" t="n"/>
      <c r="G178" s="161" t="n"/>
      <c r="H178" s="161" t="n"/>
      <c r="I178" s="161" t="n"/>
      <c r="J178" s="161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  <c r="S178" s="161" t="n"/>
      <c r="T178" s="161" t="n"/>
      <c r="U178" s="161" t="n"/>
      <c r="V178" s="161" t="n"/>
      <c r="W178" s="161" t="n"/>
      <c r="X178" s="161" t="n"/>
      <c r="Y178" s="161" t="n"/>
      <c r="Z178" s="161" t="n"/>
      <c r="AA178" s="161" t="n"/>
      <c r="AB178" s="161" t="n"/>
      <c r="AC178" s="161" t="n"/>
      <c r="AD178" s="161" t="n"/>
      <c r="AE178" s="161" t="n"/>
      <c r="AF178" s="161" t="n"/>
      <c r="AG178" s="161" t="n"/>
      <c r="AH178" s="161" t="n"/>
      <c r="AI178" s="161" t="n"/>
      <c r="AJ178" s="161" t="n"/>
      <c r="AK178" s="161" t="n"/>
      <c r="AL178" s="161" t="n"/>
      <c r="AM178" s="161" t="n"/>
      <c r="AN178" s="161" t="n"/>
      <c r="AO178" s="161" t="n"/>
      <c r="AP178" s="161" t="n"/>
      <c r="AQ178" s="161" t="n"/>
      <c r="AR178" s="161" t="n"/>
      <c r="AS178" s="161" t="n"/>
      <c r="AT178" s="161" t="n"/>
      <c r="AU178" s="161" t="n"/>
      <c r="AV178" s="161" t="n"/>
      <c r="AW178" s="161" t="n"/>
      <c r="AX178" s="161" t="n"/>
      <c r="AY178" s="161" t="n"/>
      <c r="AZ178" s="161" t="n"/>
    </row>
    <row r="179" ht="15" customHeight="1">
      <c r="A179" s="161" t="n"/>
      <c r="B179" s="161" t="n"/>
      <c r="C179" s="161" t="n"/>
      <c r="D179" s="161" t="n"/>
      <c r="E179" s="161" t="n"/>
      <c r="F179" s="161" t="n"/>
      <c r="G179" s="161" t="n"/>
      <c r="H179" s="161" t="n"/>
      <c r="I179" s="161" t="n"/>
      <c r="J179" s="161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  <c r="S179" s="161" t="n"/>
      <c r="T179" s="161" t="n"/>
      <c r="U179" s="161" t="n"/>
      <c r="V179" s="161" t="n"/>
      <c r="W179" s="161" t="n"/>
      <c r="X179" s="161" t="n"/>
      <c r="Y179" s="161" t="n"/>
      <c r="Z179" s="161" t="n"/>
      <c r="AA179" s="161" t="n"/>
      <c r="AB179" s="161" t="n"/>
      <c r="AC179" s="161" t="n"/>
      <c r="AD179" s="161" t="n"/>
      <c r="AE179" s="161" t="n"/>
      <c r="AF179" s="161" t="n"/>
      <c r="AG179" s="161" t="n"/>
      <c r="AH179" s="161" t="n"/>
      <c r="AI179" s="161" t="n"/>
      <c r="AJ179" s="161" t="n"/>
      <c r="AK179" s="161" t="n"/>
      <c r="AL179" s="161" t="n"/>
      <c r="AM179" s="161" t="n"/>
      <c r="AN179" s="161" t="n"/>
      <c r="AO179" s="161" t="n"/>
      <c r="AP179" s="161" t="n"/>
      <c r="AQ179" s="161" t="n"/>
      <c r="AR179" s="161" t="n"/>
      <c r="AS179" s="161" t="n"/>
      <c r="AT179" s="161" t="n"/>
      <c r="AU179" s="161" t="n"/>
      <c r="AV179" s="161" t="n"/>
      <c r="AW179" s="161" t="n"/>
      <c r="AX179" s="161" t="n"/>
      <c r="AY179" s="161" t="n"/>
      <c r="AZ179" s="161" t="n"/>
    </row>
    <row r="180" ht="15" customHeight="1">
      <c r="A180" s="161" t="n"/>
      <c r="B180" s="161" t="n"/>
      <c r="C180" s="161" t="n"/>
      <c r="D180" s="161" t="n"/>
      <c r="E180" s="161" t="n"/>
      <c r="F180" s="161" t="n"/>
      <c r="G180" s="161" t="n"/>
      <c r="H180" s="161" t="n"/>
      <c r="I180" s="161" t="n"/>
      <c r="J180" s="161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  <c r="S180" s="161" t="n"/>
      <c r="T180" s="161" t="n"/>
      <c r="U180" s="161" t="n"/>
      <c r="V180" s="161" t="n"/>
      <c r="W180" s="161" t="n"/>
      <c r="X180" s="161" t="n"/>
      <c r="Y180" s="161" t="n"/>
      <c r="Z180" s="161" t="n"/>
      <c r="AA180" s="161" t="n"/>
      <c r="AB180" s="161" t="n"/>
      <c r="AC180" s="161" t="n"/>
      <c r="AD180" s="161" t="n"/>
      <c r="AE180" s="161" t="n"/>
      <c r="AF180" s="161" t="n"/>
      <c r="AG180" s="161" t="n"/>
      <c r="AH180" s="161" t="n"/>
      <c r="AI180" s="161" t="n"/>
      <c r="AJ180" s="161" t="n"/>
      <c r="AK180" s="161" t="n"/>
      <c r="AL180" s="161" t="n"/>
      <c r="AM180" s="161" t="n"/>
      <c r="AN180" s="161" t="n"/>
      <c r="AO180" s="161" t="n"/>
      <c r="AP180" s="161" t="n"/>
      <c r="AQ180" s="161" t="n"/>
      <c r="AR180" s="161" t="n"/>
      <c r="AS180" s="161" t="n"/>
      <c r="AT180" s="161" t="n"/>
      <c r="AU180" s="161" t="n"/>
      <c r="AV180" s="161" t="n"/>
      <c r="AW180" s="161" t="n"/>
      <c r="AX180" s="161" t="n"/>
      <c r="AY180" s="161" t="n"/>
      <c r="AZ180" s="161" t="n"/>
    </row>
    <row r="181" ht="15" customHeight="1">
      <c r="A181" s="161" t="n"/>
      <c r="B181" s="161" t="n"/>
      <c r="C181" s="161" t="n"/>
      <c r="D181" s="161" t="n"/>
      <c r="E181" s="161" t="n"/>
      <c r="F181" s="161" t="n"/>
      <c r="G181" s="161" t="n"/>
      <c r="H181" s="161" t="n"/>
      <c r="I181" s="161" t="n"/>
      <c r="J181" s="161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  <c r="S181" s="161" t="n"/>
      <c r="T181" s="161" t="n"/>
      <c r="U181" s="161" t="n"/>
      <c r="V181" s="161" t="n"/>
      <c r="W181" s="161" t="n"/>
      <c r="X181" s="161" t="n"/>
      <c r="Y181" s="161" t="n"/>
      <c r="Z181" s="161" t="n"/>
      <c r="AA181" s="161" t="n"/>
      <c r="AB181" s="161" t="n"/>
      <c r="AC181" s="161" t="n"/>
      <c r="AD181" s="161" t="n"/>
      <c r="AE181" s="161" t="n"/>
      <c r="AF181" s="161" t="n"/>
      <c r="AG181" s="161" t="n"/>
      <c r="AH181" s="161" t="n"/>
      <c r="AI181" s="161" t="n"/>
      <c r="AJ181" s="161" t="n"/>
      <c r="AK181" s="161" t="n"/>
      <c r="AL181" s="161" t="n"/>
      <c r="AM181" s="161" t="n"/>
      <c r="AN181" s="161" t="n"/>
      <c r="AO181" s="161" t="n"/>
      <c r="AP181" s="161" t="n"/>
      <c r="AQ181" s="161" t="n"/>
      <c r="AR181" s="161" t="n"/>
      <c r="AS181" s="161" t="n"/>
      <c r="AT181" s="161" t="n"/>
      <c r="AU181" s="161" t="n"/>
      <c r="AV181" s="161" t="n"/>
      <c r="AW181" s="161" t="n"/>
      <c r="AX181" s="161" t="n"/>
      <c r="AY181" s="161" t="n"/>
      <c r="AZ181" s="161" t="n"/>
    </row>
    <row r="182" ht="15" customHeight="1">
      <c r="A182" s="161" t="n"/>
      <c r="B182" s="161" t="n"/>
      <c r="C182" s="161" t="n"/>
      <c r="D182" s="161" t="n"/>
      <c r="E182" s="161" t="n"/>
      <c r="F182" s="161" t="n"/>
      <c r="G182" s="161" t="n"/>
      <c r="H182" s="161" t="n"/>
      <c r="I182" s="161" t="n"/>
      <c r="J182" s="161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  <c r="S182" s="161" t="n"/>
      <c r="T182" s="161" t="n"/>
      <c r="U182" s="161" t="n"/>
      <c r="V182" s="161" t="n"/>
      <c r="W182" s="161" t="n"/>
      <c r="X182" s="161" t="n"/>
      <c r="Y182" s="161" t="n"/>
      <c r="Z182" s="161" t="n"/>
      <c r="AA182" s="161" t="n"/>
      <c r="AB182" s="161" t="n"/>
      <c r="AC182" s="161" t="n"/>
      <c r="AD182" s="161" t="n"/>
      <c r="AE182" s="161" t="n"/>
      <c r="AF182" s="161" t="n"/>
      <c r="AG182" s="161" t="n"/>
      <c r="AH182" s="161" t="n"/>
      <c r="AI182" s="161" t="n"/>
      <c r="AJ182" s="161" t="n"/>
      <c r="AK182" s="161" t="n"/>
      <c r="AL182" s="161" t="n"/>
      <c r="AM182" s="161" t="n"/>
      <c r="AN182" s="161" t="n"/>
      <c r="AO182" s="161" t="n"/>
      <c r="AP182" s="161" t="n"/>
      <c r="AQ182" s="161" t="n"/>
      <c r="AR182" s="161" t="n"/>
      <c r="AS182" s="161" t="n"/>
      <c r="AT182" s="161" t="n"/>
      <c r="AU182" s="161" t="n"/>
      <c r="AV182" s="161" t="n"/>
      <c r="AW182" s="161" t="n"/>
      <c r="AX182" s="161" t="n"/>
      <c r="AY182" s="161" t="n"/>
      <c r="AZ182" s="161" t="n"/>
    </row>
    <row r="183" ht="15" customHeight="1">
      <c r="A183" s="161" t="n"/>
      <c r="B183" s="161" t="n"/>
      <c r="C183" s="161" t="n"/>
      <c r="D183" s="161" t="n"/>
      <c r="E183" s="161" t="n"/>
      <c r="F183" s="161" t="n"/>
      <c r="G183" s="161" t="n"/>
      <c r="H183" s="161" t="n"/>
      <c r="I183" s="161" t="n"/>
      <c r="J183" s="161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  <c r="S183" s="161" t="n"/>
      <c r="T183" s="161" t="n"/>
      <c r="U183" s="161" t="n"/>
      <c r="V183" s="161" t="n"/>
      <c r="W183" s="161" t="n"/>
      <c r="X183" s="161" t="n"/>
      <c r="Y183" s="161" t="n"/>
      <c r="Z183" s="161" t="n"/>
      <c r="AA183" s="161" t="n"/>
      <c r="AB183" s="161" t="n"/>
      <c r="AC183" s="161" t="n"/>
      <c r="AD183" s="161" t="n"/>
      <c r="AE183" s="161" t="n"/>
      <c r="AF183" s="161" t="n"/>
      <c r="AG183" s="161" t="n"/>
      <c r="AH183" s="161" t="n"/>
      <c r="AI183" s="161" t="n"/>
      <c r="AJ183" s="161" t="n"/>
      <c r="AK183" s="161" t="n"/>
      <c r="AL183" s="161" t="n"/>
      <c r="AM183" s="161" t="n"/>
      <c r="AN183" s="161" t="n"/>
      <c r="AO183" s="161" t="n"/>
      <c r="AP183" s="161" t="n"/>
      <c r="AQ183" s="161" t="n"/>
      <c r="AR183" s="161" t="n"/>
      <c r="AS183" s="161" t="n"/>
      <c r="AT183" s="161" t="n"/>
      <c r="AU183" s="161" t="n"/>
      <c r="AV183" s="161" t="n"/>
      <c r="AW183" s="161" t="n"/>
      <c r="AX183" s="161" t="n"/>
      <c r="AY183" s="161" t="n"/>
      <c r="AZ183" s="161" t="n"/>
    </row>
    <row r="184" ht="15" customHeight="1">
      <c r="A184" s="161" t="n"/>
      <c r="B184" s="161" t="n"/>
      <c r="C184" s="161" t="n"/>
      <c r="D184" s="161" t="n"/>
      <c r="E184" s="161" t="n"/>
      <c r="F184" s="161" t="n"/>
      <c r="G184" s="161" t="n"/>
      <c r="H184" s="161" t="n"/>
      <c r="I184" s="161" t="n"/>
      <c r="J184" s="161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  <c r="S184" s="161" t="n"/>
      <c r="T184" s="161" t="n"/>
      <c r="U184" s="161" t="n"/>
      <c r="V184" s="161" t="n"/>
      <c r="W184" s="161" t="n"/>
      <c r="X184" s="161" t="n"/>
      <c r="Y184" s="161" t="n"/>
      <c r="Z184" s="161" t="n"/>
      <c r="AA184" s="161" t="n"/>
      <c r="AB184" s="161" t="n"/>
      <c r="AC184" s="161" t="n"/>
      <c r="AD184" s="161" t="n"/>
      <c r="AE184" s="161" t="n"/>
      <c r="AF184" s="161" t="n"/>
      <c r="AG184" s="161" t="n"/>
      <c r="AH184" s="161" t="n"/>
      <c r="AI184" s="161" t="n"/>
      <c r="AJ184" s="161" t="n"/>
      <c r="AK184" s="161" t="n"/>
      <c r="AL184" s="161" t="n"/>
      <c r="AM184" s="161" t="n"/>
      <c r="AN184" s="161" t="n"/>
      <c r="AO184" s="161" t="n"/>
      <c r="AP184" s="161" t="n"/>
      <c r="AQ184" s="161" t="n"/>
      <c r="AR184" s="161" t="n"/>
      <c r="AS184" s="161" t="n"/>
      <c r="AT184" s="161" t="n"/>
      <c r="AU184" s="161" t="n"/>
      <c r="AV184" s="161" t="n"/>
      <c r="AW184" s="161" t="n"/>
      <c r="AX184" s="161" t="n"/>
      <c r="AY184" s="161" t="n"/>
      <c r="AZ184" s="161" t="n"/>
    </row>
    <row r="185" ht="15" customHeight="1">
      <c r="A185" s="161" t="n"/>
      <c r="B185" s="161" t="n"/>
      <c r="C185" s="161" t="n"/>
      <c r="D185" s="161" t="n"/>
      <c r="E185" s="161" t="n"/>
      <c r="F185" s="161" t="n"/>
      <c r="G185" s="161" t="n"/>
      <c r="H185" s="161" t="n"/>
      <c r="I185" s="161" t="n"/>
      <c r="J185" s="161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  <c r="S185" s="161" t="n"/>
      <c r="T185" s="161" t="n"/>
      <c r="U185" s="161" t="n"/>
      <c r="V185" s="161" t="n"/>
      <c r="W185" s="161" t="n"/>
      <c r="X185" s="161" t="n"/>
      <c r="Y185" s="161" t="n"/>
      <c r="Z185" s="161" t="n"/>
      <c r="AA185" s="161" t="n"/>
      <c r="AB185" s="161" t="n"/>
      <c r="AC185" s="161" t="n"/>
      <c r="AD185" s="161" t="n"/>
      <c r="AE185" s="161" t="n"/>
      <c r="AF185" s="161" t="n"/>
      <c r="AG185" s="161" t="n"/>
      <c r="AH185" s="161" t="n"/>
      <c r="AI185" s="161" t="n"/>
      <c r="AJ185" s="161" t="n"/>
      <c r="AK185" s="161" t="n"/>
      <c r="AL185" s="161" t="n"/>
      <c r="AM185" s="161" t="n"/>
      <c r="AN185" s="161" t="n"/>
      <c r="AO185" s="161" t="n"/>
      <c r="AP185" s="161" t="n"/>
      <c r="AQ185" s="161" t="n"/>
      <c r="AR185" s="161" t="n"/>
      <c r="AS185" s="161" t="n"/>
      <c r="AT185" s="161" t="n"/>
      <c r="AU185" s="161" t="n"/>
      <c r="AV185" s="161" t="n"/>
      <c r="AW185" s="161" t="n"/>
      <c r="AX185" s="161" t="n"/>
      <c r="AY185" s="161" t="n"/>
      <c r="AZ185" s="161" t="n"/>
    </row>
    <row r="186" ht="15" customHeight="1">
      <c r="A186" s="161" t="n"/>
      <c r="B186" s="161" t="n"/>
      <c r="C186" s="161" t="n"/>
      <c r="D186" s="161" t="n"/>
      <c r="E186" s="161" t="n"/>
      <c r="F186" s="161" t="n"/>
      <c r="G186" s="161" t="n"/>
      <c r="H186" s="161" t="n"/>
      <c r="I186" s="161" t="n"/>
      <c r="J186" s="161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  <c r="S186" s="161" t="n"/>
      <c r="T186" s="161" t="n"/>
      <c r="U186" s="161" t="n"/>
      <c r="V186" s="161" t="n"/>
      <c r="W186" s="161" t="n"/>
      <c r="X186" s="161" t="n"/>
      <c r="Y186" s="161" t="n"/>
      <c r="Z186" s="161" t="n"/>
      <c r="AA186" s="161" t="n"/>
      <c r="AB186" s="161" t="n"/>
      <c r="AC186" s="161" t="n"/>
      <c r="AD186" s="161" t="n"/>
      <c r="AE186" s="161" t="n"/>
      <c r="AF186" s="161" t="n"/>
      <c r="AG186" s="161" t="n"/>
      <c r="AH186" s="161" t="n"/>
      <c r="AI186" s="161" t="n"/>
      <c r="AJ186" s="161" t="n"/>
      <c r="AK186" s="161" t="n"/>
      <c r="AL186" s="161" t="n"/>
      <c r="AM186" s="161" t="n"/>
      <c r="AN186" s="161" t="n"/>
      <c r="AO186" s="161" t="n"/>
      <c r="AP186" s="161" t="n"/>
      <c r="AQ186" s="161" t="n"/>
      <c r="AR186" s="161" t="n"/>
      <c r="AS186" s="161" t="n"/>
      <c r="AT186" s="161" t="n"/>
      <c r="AU186" s="161" t="n"/>
      <c r="AV186" s="161" t="n"/>
      <c r="AW186" s="161" t="n"/>
      <c r="AX186" s="161" t="n"/>
      <c r="AY186" s="161" t="n"/>
      <c r="AZ186" s="161" t="n"/>
    </row>
    <row r="187" ht="15" customHeight="1">
      <c r="A187" s="161" t="n"/>
      <c r="B187" s="161" t="n"/>
      <c r="C187" s="161" t="n"/>
      <c r="D187" s="161" t="n"/>
      <c r="E187" s="161" t="n"/>
      <c r="F187" s="161" t="n"/>
      <c r="G187" s="161" t="n"/>
      <c r="H187" s="161" t="n"/>
      <c r="I187" s="161" t="n"/>
      <c r="J187" s="161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  <c r="S187" s="161" t="n"/>
      <c r="T187" s="161" t="n"/>
      <c r="U187" s="161" t="n"/>
      <c r="V187" s="161" t="n"/>
      <c r="W187" s="161" t="n"/>
      <c r="X187" s="161" t="n"/>
      <c r="Y187" s="161" t="n"/>
      <c r="Z187" s="161" t="n"/>
      <c r="AA187" s="161" t="n"/>
      <c r="AB187" s="161" t="n"/>
      <c r="AC187" s="161" t="n"/>
      <c r="AD187" s="161" t="n"/>
      <c r="AE187" s="161" t="n"/>
      <c r="AF187" s="161" t="n"/>
      <c r="AG187" s="161" t="n"/>
      <c r="AH187" s="161" t="n"/>
      <c r="AI187" s="161" t="n"/>
      <c r="AJ187" s="161" t="n"/>
      <c r="AK187" s="161" t="n"/>
      <c r="AL187" s="161" t="n"/>
      <c r="AM187" s="161" t="n"/>
      <c r="AN187" s="161" t="n"/>
      <c r="AO187" s="161" t="n"/>
      <c r="AP187" s="161" t="n"/>
      <c r="AQ187" s="161" t="n"/>
      <c r="AR187" s="161" t="n"/>
      <c r="AS187" s="161" t="n"/>
      <c r="AT187" s="161" t="n"/>
      <c r="AU187" s="161" t="n"/>
      <c r="AV187" s="161" t="n"/>
      <c r="AW187" s="161" t="n"/>
      <c r="AX187" s="161" t="n"/>
      <c r="AY187" s="161" t="n"/>
      <c r="AZ187" s="161" t="n"/>
    </row>
    <row r="188" ht="15" customHeight="1">
      <c r="A188" s="161" t="n"/>
      <c r="B188" s="161" t="n"/>
      <c r="C188" s="161" t="n"/>
      <c r="D188" s="161" t="n"/>
      <c r="E188" s="161" t="n"/>
      <c r="F188" s="161" t="n"/>
      <c r="G188" s="161" t="n"/>
      <c r="H188" s="161" t="n"/>
      <c r="I188" s="161" t="n"/>
      <c r="J188" s="161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  <c r="S188" s="161" t="n"/>
      <c r="T188" s="161" t="n"/>
      <c r="U188" s="161" t="n"/>
      <c r="V188" s="161" t="n"/>
      <c r="W188" s="161" t="n"/>
      <c r="X188" s="161" t="n"/>
      <c r="Y188" s="161" t="n"/>
      <c r="Z188" s="161" t="n"/>
      <c r="AA188" s="161" t="n"/>
      <c r="AB188" s="161" t="n"/>
      <c r="AC188" s="161" t="n"/>
      <c r="AD188" s="161" t="n"/>
      <c r="AE188" s="161" t="n"/>
      <c r="AF188" s="161" t="n"/>
      <c r="AG188" s="161" t="n"/>
      <c r="AH188" s="161" t="n"/>
      <c r="AI188" s="161" t="n"/>
      <c r="AJ188" s="161" t="n"/>
      <c r="AK188" s="161" t="n"/>
      <c r="AL188" s="161" t="n"/>
      <c r="AM188" s="161" t="n"/>
      <c r="AN188" s="161" t="n"/>
      <c r="AO188" s="161" t="n"/>
      <c r="AP188" s="161" t="n"/>
      <c r="AQ188" s="161" t="n"/>
      <c r="AR188" s="161" t="n"/>
      <c r="AS188" s="161" t="n"/>
      <c r="AT188" s="161" t="n"/>
      <c r="AU188" s="161" t="n"/>
      <c r="AV188" s="161" t="n"/>
      <c r="AW188" s="161" t="n"/>
      <c r="AX188" s="161" t="n"/>
      <c r="AY188" s="161" t="n"/>
      <c r="AZ188" s="161" t="n"/>
    </row>
    <row r="189" ht="15" customHeight="1">
      <c r="A189" s="161" t="n"/>
      <c r="B189" s="161" t="n"/>
      <c r="C189" s="161" t="n"/>
      <c r="D189" s="161" t="n"/>
      <c r="E189" s="161" t="n"/>
      <c r="F189" s="161" t="n"/>
      <c r="G189" s="161" t="n"/>
      <c r="H189" s="161" t="n"/>
      <c r="I189" s="161" t="n"/>
      <c r="J189" s="161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  <c r="S189" s="161" t="n"/>
      <c r="T189" s="161" t="n"/>
      <c r="U189" s="161" t="n"/>
      <c r="V189" s="161" t="n"/>
      <c r="W189" s="161" t="n"/>
      <c r="X189" s="161" t="n"/>
      <c r="Y189" s="161" t="n"/>
      <c r="Z189" s="161" t="n"/>
      <c r="AA189" s="161" t="n"/>
      <c r="AB189" s="161" t="n"/>
      <c r="AC189" s="161" t="n"/>
      <c r="AD189" s="161" t="n"/>
      <c r="AE189" s="161" t="n"/>
      <c r="AF189" s="161" t="n"/>
      <c r="AG189" s="161" t="n"/>
      <c r="AH189" s="161" t="n"/>
      <c r="AI189" s="161" t="n"/>
      <c r="AJ189" s="161" t="n"/>
      <c r="AK189" s="161" t="n"/>
      <c r="AL189" s="161" t="n"/>
      <c r="AM189" s="161" t="n"/>
      <c r="AN189" s="161" t="n"/>
      <c r="AO189" s="161" t="n"/>
      <c r="AP189" s="161" t="n"/>
      <c r="AQ189" s="161" t="n"/>
      <c r="AR189" s="161" t="n"/>
      <c r="AS189" s="161" t="n"/>
      <c r="AT189" s="161" t="n"/>
      <c r="AU189" s="161" t="n"/>
      <c r="AV189" s="161" t="n"/>
      <c r="AW189" s="161" t="n"/>
      <c r="AX189" s="161" t="n"/>
      <c r="AY189" s="161" t="n"/>
      <c r="AZ189" s="161" t="n"/>
    </row>
    <row r="190" ht="15" customHeight="1">
      <c r="A190" s="161" t="n"/>
      <c r="B190" s="161" t="n"/>
      <c r="C190" s="161" t="n"/>
      <c r="D190" s="161" t="n"/>
      <c r="E190" s="161" t="n"/>
      <c r="F190" s="161" t="n"/>
      <c r="G190" s="161" t="n"/>
      <c r="H190" s="161" t="n"/>
      <c r="I190" s="161" t="n"/>
      <c r="J190" s="161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  <c r="S190" s="161" t="n"/>
      <c r="T190" s="161" t="n"/>
      <c r="U190" s="161" t="n"/>
      <c r="V190" s="161" t="n"/>
      <c r="W190" s="161" t="n"/>
      <c r="X190" s="161" t="n"/>
      <c r="Y190" s="161" t="n"/>
      <c r="Z190" s="161" t="n"/>
      <c r="AA190" s="161" t="n"/>
      <c r="AB190" s="161" t="n"/>
      <c r="AC190" s="161" t="n"/>
      <c r="AD190" s="161" t="n"/>
      <c r="AE190" s="161" t="n"/>
      <c r="AF190" s="161" t="n"/>
      <c r="AG190" s="161" t="n"/>
      <c r="AH190" s="161" t="n"/>
      <c r="AI190" s="161" t="n"/>
      <c r="AJ190" s="161" t="n"/>
      <c r="AK190" s="161" t="n"/>
      <c r="AL190" s="161" t="n"/>
      <c r="AM190" s="161" t="n"/>
      <c r="AN190" s="161" t="n"/>
      <c r="AO190" s="161" t="n"/>
      <c r="AP190" s="161" t="n"/>
      <c r="AQ190" s="161" t="n"/>
      <c r="AR190" s="161" t="n"/>
      <c r="AS190" s="161" t="n"/>
      <c r="AT190" s="161" t="n"/>
      <c r="AU190" s="161" t="n"/>
      <c r="AV190" s="161" t="n"/>
      <c r="AW190" s="161" t="n"/>
      <c r="AX190" s="161" t="n"/>
      <c r="AY190" s="161" t="n"/>
      <c r="AZ190" s="161" t="n"/>
    </row>
    <row r="191" ht="15" customHeight="1">
      <c r="A191" s="161" t="n"/>
      <c r="B191" s="161" t="n"/>
      <c r="C191" s="161" t="n"/>
      <c r="D191" s="161" t="n"/>
      <c r="E191" s="161" t="n"/>
      <c r="F191" s="161" t="n"/>
      <c r="G191" s="161" t="n"/>
      <c r="H191" s="161" t="n"/>
      <c r="I191" s="161" t="n"/>
      <c r="J191" s="161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  <c r="S191" s="161" t="n"/>
      <c r="T191" s="161" t="n"/>
      <c r="U191" s="161" t="n"/>
      <c r="V191" s="161" t="n"/>
      <c r="W191" s="161" t="n"/>
      <c r="X191" s="161" t="n"/>
      <c r="Y191" s="161" t="n"/>
      <c r="Z191" s="161" t="n"/>
      <c r="AA191" s="161" t="n"/>
      <c r="AB191" s="161" t="n"/>
      <c r="AC191" s="161" t="n"/>
      <c r="AD191" s="161" t="n"/>
      <c r="AE191" s="161" t="n"/>
      <c r="AF191" s="161" t="n"/>
      <c r="AG191" s="161" t="n"/>
      <c r="AH191" s="161" t="n"/>
      <c r="AI191" s="161" t="n"/>
      <c r="AJ191" s="161" t="n"/>
      <c r="AK191" s="161" t="n"/>
      <c r="AL191" s="161" t="n"/>
      <c r="AM191" s="161" t="n"/>
      <c r="AN191" s="161" t="n"/>
      <c r="AO191" s="161" t="n"/>
      <c r="AP191" s="161" t="n"/>
      <c r="AQ191" s="161" t="n"/>
      <c r="AR191" s="161" t="n"/>
      <c r="AS191" s="161" t="n"/>
      <c r="AT191" s="161" t="n"/>
      <c r="AU191" s="161" t="n"/>
      <c r="AV191" s="161" t="n"/>
      <c r="AW191" s="161" t="n"/>
      <c r="AX191" s="161" t="n"/>
      <c r="AY191" s="161" t="n"/>
      <c r="AZ191" s="161" t="n"/>
    </row>
    <row r="192" ht="15" customHeight="1">
      <c r="A192" s="161" t="n"/>
      <c r="B192" s="161" t="n"/>
      <c r="C192" s="161" t="n"/>
      <c r="D192" s="161" t="n"/>
      <c r="E192" s="161" t="n"/>
      <c r="F192" s="161" t="n"/>
      <c r="G192" s="161" t="n"/>
      <c r="H192" s="161" t="n"/>
      <c r="I192" s="161" t="n"/>
      <c r="J192" s="161" t="n"/>
      <c r="K192" s="161" t="n"/>
      <c r="L192" s="161" t="n"/>
      <c r="M192" s="161" t="n"/>
      <c r="N192" s="161" t="n"/>
      <c r="O192" s="161" t="n"/>
      <c r="P192" s="161" t="n"/>
      <c r="Q192" s="161" t="n"/>
      <c r="R192" s="161" t="n"/>
      <c r="S192" s="161" t="n"/>
      <c r="T192" s="161" t="n"/>
      <c r="U192" s="161" t="n"/>
      <c r="V192" s="161" t="n"/>
      <c r="W192" s="161" t="n"/>
      <c r="X192" s="161" t="n"/>
      <c r="Y192" s="161" t="n"/>
      <c r="Z192" s="161" t="n"/>
      <c r="AA192" s="161" t="n"/>
      <c r="AB192" s="161" t="n"/>
      <c r="AC192" s="161" t="n"/>
      <c r="AD192" s="161" t="n"/>
      <c r="AE192" s="161" t="n"/>
      <c r="AF192" s="161" t="n"/>
      <c r="AG192" s="161" t="n"/>
      <c r="AH192" s="161" t="n"/>
      <c r="AI192" s="161" t="n"/>
      <c r="AJ192" s="161" t="n"/>
      <c r="AK192" s="161" t="n"/>
      <c r="AL192" s="161" t="n"/>
      <c r="AM192" s="161" t="n"/>
      <c r="AN192" s="161" t="n"/>
      <c r="AO192" s="161" t="n"/>
      <c r="AP192" s="161" t="n"/>
      <c r="AQ192" s="161" t="n"/>
      <c r="AR192" s="161" t="n"/>
      <c r="AS192" s="161" t="n"/>
      <c r="AT192" s="161" t="n"/>
      <c r="AU192" s="161" t="n"/>
      <c r="AV192" s="161" t="n"/>
      <c r="AW192" s="161" t="n"/>
      <c r="AX192" s="161" t="n"/>
      <c r="AY192" s="161" t="n"/>
      <c r="AZ192" s="161" t="n"/>
    </row>
    <row r="193" ht="15" customHeight="1">
      <c r="A193" s="161" t="n"/>
      <c r="B193" s="161" t="n"/>
      <c r="C193" s="161" t="n"/>
      <c r="D193" s="161" t="n"/>
      <c r="E193" s="161" t="n"/>
      <c r="F193" s="161" t="n"/>
      <c r="G193" s="161" t="n"/>
      <c r="H193" s="161" t="n"/>
      <c r="I193" s="161" t="n"/>
      <c r="J193" s="161" t="n"/>
      <c r="K193" s="161" t="n"/>
      <c r="L193" s="161" t="n"/>
      <c r="M193" s="161" t="n"/>
      <c r="N193" s="161" t="n"/>
      <c r="O193" s="161" t="n"/>
      <c r="P193" s="161" t="n"/>
      <c r="Q193" s="161" t="n"/>
      <c r="R193" s="161" t="n"/>
      <c r="S193" s="161" t="n"/>
      <c r="T193" s="161" t="n"/>
      <c r="U193" s="161" t="n"/>
      <c r="V193" s="161" t="n"/>
      <c r="W193" s="161" t="n"/>
      <c r="X193" s="161" t="n"/>
      <c r="Y193" s="161" t="n"/>
      <c r="Z193" s="161" t="n"/>
      <c r="AA193" s="161" t="n"/>
      <c r="AB193" s="161" t="n"/>
      <c r="AC193" s="161" t="n"/>
      <c r="AD193" s="161" t="n"/>
      <c r="AE193" s="161" t="n"/>
      <c r="AF193" s="161" t="n"/>
      <c r="AG193" s="161" t="n"/>
      <c r="AH193" s="161" t="n"/>
      <c r="AI193" s="161" t="n"/>
      <c r="AJ193" s="161" t="n"/>
      <c r="AK193" s="161" t="n"/>
      <c r="AL193" s="161" t="n"/>
      <c r="AM193" s="161" t="n"/>
      <c r="AN193" s="161" t="n"/>
      <c r="AO193" s="161" t="n"/>
      <c r="AP193" s="161" t="n"/>
      <c r="AQ193" s="161" t="n"/>
      <c r="AR193" s="161" t="n"/>
      <c r="AS193" s="161" t="n"/>
      <c r="AT193" s="161" t="n"/>
      <c r="AU193" s="161" t="n"/>
      <c r="AV193" s="161" t="n"/>
      <c r="AW193" s="161" t="n"/>
      <c r="AX193" s="161" t="n"/>
      <c r="AY193" s="161" t="n"/>
      <c r="AZ193" s="161" t="n"/>
    </row>
    <row r="194" ht="15" customHeight="1">
      <c r="A194" s="161" t="n"/>
      <c r="B194" s="161" t="n"/>
      <c r="C194" s="161" t="n"/>
      <c r="D194" s="161" t="n"/>
      <c r="E194" s="161" t="n"/>
      <c r="F194" s="161" t="n"/>
      <c r="G194" s="161" t="n"/>
      <c r="H194" s="161" t="n"/>
      <c r="I194" s="161" t="n"/>
      <c r="J194" s="161" t="n"/>
      <c r="K194" s="161" t="n"/>
      <c r="L194" s="161" t="n"/>
      <c r="M194" s="161" t="n"/>
      <c r="N194" s="161" t="n"/>
      <c r="O194" s="161" t="n"/>
      <c r="P194" s="161" t="n"/>
      <c r="Q194" s="161" t="n"/>
      <c r="R194" s="161" t="n"/>
      <c r="S194" s="161" t="n"/>
      <c r="T194" s="161" t="n"/>
      <c r="U194" s="161" t="n"/>
      <c r="V194" s="161" t="n"/>
      <c r="W194" s="161" t="n"/>
      <c r="X194" s="161" t="n"/>
      <c r="Y194" s="161" t="n"/>
      <c r="Z194" s="161" t="n"/>
      <c r="AA194" s="161" t="n"/>
      <c r="AB194" s="161" t="n"/>
      <c r="AC194" s="161" t="n"/>
      <c r="AD194" s="161" t="n"/>
      <c r="AE194" s="161" t="n"/>
      <c r="AF194" s="161" t="n"/>
      <c r="AG194" s="161" t="n"/>
      <c r="AH194" s="161" t="n"/>
      <c r="AI194" s="161" t="n"/>
      <c r="AJ194" s="161" t="n"/>
      <c r="AK194" s="161" t="n"/>
      <c r="AL194" s="161" t="n"/>
      <c r="AM194" s="161" t="n"/>
      <c r="AN194" s="161" t="n"/>
      <c r="AO194" s="161" t="n"/>
      <c r="AP194" s="161" t="n"/>
      <c r="AQ194" s="161" t="n"/>
      <c r="AR194" s="161" t="n"/>
      <c r="AS194" s="161" t="n"/>
      <c r="AT194" s="161" t="n"/>
      <c r="AU194" s="161" t="n"/>
      <c r="AV194" s="161" t="n"/>
      <c r="AW194" s="161" t="n"/>
      <c r="AX194" s="161" t="n"/>
      <c r="AY194" s="161" t="n"/>
      <c r="AZ194" s="161" t="n"/>
    </row>
    <row r="195" ht="15" customHeight="1">
      <c r="A195" s="161" t="n"/>
      <c r="B195" s="161" t="n"/>
      <c r="C195" s="161" t="n"/>
      <c r="D195" s="161" t="n"/>
      <c r="E195" s="161" t="n"/>
      <c r="F195" s="161" t="n"/>
      <c r="G195" s="161" t="n"/>
      <c r="H195" s="161" t="n"/>
      <c r="I195" s="161" t="n"/>
      <c r="J195" s="161" t="n"/>
      <c r="K195" s="161" t="n"/>
      <c r="L195" s="161" t="n"/>
      <c r="M195" s="161" t="n"/>
      <c r="N195" s="161" t="n"/>
      <c r="O195" s="161" t="n"/>
      <c r="P195" s="161" t="n"/>
      <c r="Q195" s="161" t="n"/>
      <c r="R195" s="161" t="n"/>
      <c r="S195" s="161" t="n"/>
      <c r="T195" s="161" t="n"/>
      <c r="U195" s="161" t="n"/>
      <c r="V195" s="161" t="n"/>
      <c r="W195" s="161" t="n"/>
      <c r="X195" s="161" t="n"/>
      <c r="Y195" s="161" t="n"/>
      <c r="Z195" s="161" t="n"/>
      <c r="AA195" s="161" t="n"/>
      <c r="AB195" s="161" t="n"/>
      <c r="AC195" s="161" t="n"/>
      <c r="AD195" s="161" t="n"/>
      <c r="AE195" s="161" t="n"/>
      <c r="AF195" s="161" t="n"/>
      <c r="AG195" s="161" t="n"/>
      <c r="AH195" s="161" t="n"/>
      <c r="AI195" s="161" t="n"/>
      <c r="AJ195" s="161" t="n"/>
      <c r="AK195" s="161" t="n"/>
      <c r="AL195" s="161" t="n"/>
      <c r="AM195" s="161" t="n"/>
      <c r="AN195" s="161" t="n"/>
      <c r="AO195" s="161" t="n"/>
      <c r="AP195" s="161" t="n"/>
      <c r="AQ195" s="161" t="n"/>
      <c r="AR195" s="161" t="n"/>
      <c r="AS195" s="161" t="n"/>
      <c r="AT195" s="161" t="n"/>
      <c r="AU195" s="161" t="n"/>
      <c r="AV195" s="161" t="n"/>
      <c r="AW195" s="161" t="n"/>
      <c r="AX195" s="161" t="n"/>
      <c r="AY195" s="161" t="n"/>
      <c r="AZ195" s="161" t="n"/>
    </row>
    <row r="196" ht="15" customHeight="1">
      <c r="A196" s="161" t="n"/>
      <c r="B196" s="161" t="n"/>
      <c r="C196" s="161" t="n"/>
      <c r="D196" s="161" t="n"/>
      <c r="E196" s="161" t="n"/>
      <c r="F196" s="161" t="n"/>
      <c r="G196" s="161" t="n"/>
      <c r="H196" s="161" t="n"/>
      <c r="I196" s="161" t="n"/>
      <c r="J196" s="161" t="n"/>
      <c r="K196" s="161" t="n"/>
      <c r="L196" s="161" t="n"/>
      <c r="M196" s="161" t="n"/>
      <c r="N196" s="161" t="n"/>
      <c r="O196" s="161" t="n"/>
      <c r="P196" s="161" t="n"/>
      <c r="Q196" s="161" t="n"/>
      <c r="R196" s="161" t="n"/>
      <c r="S196" s="161" t="n"/>
      <c r="T196" s="161" t="n"/>
      <c r="U196" s="161" t="n"/>
      <c r="V196" s="161" t="n"/>
      <c r="W196" s="161" t="n"/>
      <c r="X196" s="161" t="n"/>
      <c r="Y196" s="161" t="n"/>
      <c r="Z196" s="161" t="n"/>
      <c r="AA196" s="161" t="n"/>
      <c r="AB196" s="161" t="n"/>
      <c r="AC196" s="161" t="n"/>
      <c r="AD196" s="161" t="n"/>
      <c r="AE196" s="161" t="n"/>
      <c r="AF196" s="161" t="n"/>
      <c r="AG196" s="161" t="n"/>
      <c r="AH196" s="161" t="n"/>
      <c r="AI196" s="161" t="n"/>
      <c r="AJ196" s="161" t="n"/>
      <c r="AK196" s="161" t="n"/>
      <c r="AL196" s="161" t="n"/>
      <c r="AM196" s="161" t="n"/>
      <c r="AN196" s="161" t="n"/>
      <c r="AO196" s="161" t="n"/>
      <c r="AP196" s="161" t="n"/>
      <c r="AQ196" s="161" t="n"/>
      <c r="AR196" s="161" t="n"/>
      <c r="AS196" s="161" t="n"/>
      <c r="AT196" s="161" t="n"/>
      <c r="AU196" s="161" t="n"/>
      <c r="AV196" s="161" t="n"/>
      <c r="AW196" s="161" t="n"/>
      <c r="AX196" s="161" t="n"/>
      <c r="AY196" s="161" t="n"/>
      <c r="AZ196" s="161" t="n"/>
    </row>
    <row r="197" ht="15" customHeight="1">
      <c r="A197" s="161" t="n"/>
      <c r="B197" s="161" t="n"/>
      <c r="C197" s="161" t="n"/>
      <c r="D197" s="161" t="n"/>
      <c r="E197" s="161" t="n"/>
      <c r="F197" s="161" t="n"/>
      <c r="G197" s="161" t="n"/>
      <c r="H197" s="161" t="n"/>
      <c r="I197" s="161" t="n"/>
      <c r="J197" s="161" t="n"/>
      <c r="K197" s="161" t="n"/>
      <c r="L197" s="161" t="n"/>
      <c r="M197" s="161" t="n"/>
      <c r="N197" s="161" t="n"/>
      <c r="O197" s="161" t="n"/>
      <c r="P197" s="161" t="n"/>
      <c r="Q197" s="161" t="n"/>
      <c r="R197" s="161" t="n"/>
      <c r="S197" s="161" t="n"/>
      <c r="T197" s="161" t="n"/>
      <c r="U197" s="161" t="n"/>
      <c r="V197" s="161" t="n"/>
      <c r="W197" s="161" t="n"/>
      <c r="X197" s="161" t="n"/>
      <c r="Y197" s="161" t="n"/>
      <c r="Z197" s="161" t="n"/>
      <c r="AA197" s="161" t="n"/>
      <c r="AB197" s="161" t="n"/>
      <c r="AC197" s="161" t="n"/>
      <c r="AD197" s="161" t="n"/>
      <c r="AE197" s="161" t="n"/>
      <c r="AF197" s="161" t="n"/>
      <c r="AG197" s="161" t="n"/>
      <c r="AH197" s="161" t="n"/>
      <c r="AI197" s="161" t="n"/>
      <c r="AJ197" s="161" t="n"/>
      <c r="AK197" s="161" t="n"/>
      <c r="AL197" s="161" t="n"/>
      <c r="AM197" s="161" t="n"/>
      <c r="AN197" s="161" t="n"/>
      <c r="AO197" s="161" t="n"/>
      <c r="AP197" s="161" t="n"/>
      <c r="AQ197" s="161" t="n"/>
      <c r="AR197" s="161" t="n"/>
      <c r="AS197" s="161" t="n"/>
      <c r="AT197" s="161" t="n"/>
      <c r="AU197" s="161" t="n"/>
      <c r="AV197" s="161" t="n"/>
      <c r="AW197" s="161" t="n"/>
      <c r="AX197" s="161" t="n"/>
      <c r="AY197" s="161" t="n"/>
      <c r="AZ197" s="161" t="n"/>
    </row>
    <row r="198" ht="15" customHeight="1">
      <c r="A198" s="161" t="n"/>
      <c r="B198" s="161" t="n"/>
      <c r="C198" s="161" t="n"/>
      <c r="D198" s="161" t="n"/>
      <c r="E198" s="161" t="n"/>
      <c r="F198" s="161" t="n"/>
      <c r="G198" s="161" t="n"/>
      <c r="H198" s="161" t="n"/>
      <c r="I198" s="161" t="n"/>
      <c r="J198" s="161" t="n"/>
      <c r="K198" s="161" t="n"/>
      <c r="L198" s="161" t="n"/>
      <c r="M198" s="161" t="n"/>
      <c r="N198" s="161" t="n"/>
      <c r="O198" s="161" t="n"/>
      <c r="P198" s="161" t="n"/>
      <c r="Q198" s="161" t="n"/>
      <c r="R198" s="161" t="n"/>
      <c r="S198" s="161" t="n"/>
      <c r="T198" s="161" t="n"/>
      <c r="U198" s="161" t="n"/>
      <c r="V198" s="161" t="n"/>
      <c r="W198" s="161" t="n"/>
      <c r="X198" s="161" t="n"/>
      <c r="Y198" s="161" t="n"/>
      <c r="Z198" s="161" t="n"/>
      <c r="AA198" s="161" t="n"/>
      <c r="AB198" s="161" t="n"/>
      <c r="AC198" s="161" t="n"/>
      <c r="AD198" s="161" t="n"/>
      <c r="AE198" s="161" t="n"/>
      <c r="AF198" s="161" t="n"/>
      <c r="AG198" s="161" t="n"/>
      <c r="AH198" s="161" t="n"/>
      <c r="AI198" s="161" t="n"/>
      <c r="AJ198" s="161" t="n"/>
      <c r="AK198" s="161" t="n"/>
      <c r="AL198" s="161" t="n"/>
      <c r="AM198" s="161" t="n"/>
      <c r="AN198" s="161" t="n"/>
      <c r="AO198" s="161" t="n"/>
      <c r="AP198" s="161" t="n"/>
      <c r="AQ198" s="161" t="n"/>
      <c r="AR198" s="161" t="n"/>
      <c r="AS198" s="161" t="n"/>
      <c r="AT198" s="161" t="n"/>
      <c r="AU198" s="161" t="n"/>
      <c r="AV198" s="161" t="n"/>
      <c r="AW198" s="161" t="n"/>
      <c r="AX198" s="161" t="n"/>
      <c r="AY198" s="161" t="n"/>
      <c r="AZ198" s="161" t="n"/>
    </row>
    <row r="199" ht="15" customHeight="1">
      <c r="A199" s="161" t="n"/>
      <c r="B199" s="161" t="n"/>
      <c r="C199" s="161" t="n"/>
      <c r="D199" s="161" t="n"/>
      <c r="E199" s="161" t="n"/>
      <c r="F199" s="161" t="n"/>
      <c r="G199" s="161" t="n"/>
      <c r="H199" s="161" t="n"/>
      <c r="I199" s="161" t="n"/>
      <c r="J199" s="161" t="n"/>
      <c r="K199" s="161" t="n"/>
      <c r="L199" s="161" t="n"/>
      <c r="M199" s="161" t="n"/>
      <c r="N199" s="161" t="n"/>
      <c r="O199" s="161" t="n"/>
      <c r="P199" s="161" t="n"/>
      <c r="Q199" s="161" t="n"/>
      <c r="R199" s="161" t="n"/>
      <c r="S199" s="161" t="n"/>
      <c r="T199" s="161" t="n"/>
      <c r="U199" s="161" t="n"/>
      <c r="V199" s="161" t="n"/>
      <c r="W199" s="161" t="n"/>
      <c r="X199" s="161" t="n"/>
      <c r="Y199" s="161" t="n"/>
      <c r="Z199" s="161" t="n"/>
      <c r="AA199" s="161" t="n"/>
      <c r="AB199" s="161" t="n"/>
      <c r="AC199" s="161" t="n"/>
      <c r="AD199" s="161" t="n"/>
      <c r="AE199" s="161" t="n"/>
      <c r="AF199" s="161" t="n"/>
      <c r="AG199" s="161" t="n"/>
      <c r="AH199" s="161" t="n"/>
      <c r="AI199" s="161" t="n"/>
      <c r="AJ199" s="161" t="n"/>
      <c r="AK199" s="161" t="n"/>
      <c r="AL199" s="161" t="n"/>
      <c r="AM199" s="161" t="n"/>
      <c r="AN199" s="161" t="n"/>
      <c r="AO199" s="161" t="n"/>
      <c r="AP199" s="161" t="n"/>
      <c r="AQ199" s="161" t="n"/>
      <c r="AR199" s="161" t="n"/>
      <c r="AS199" s="161" t="n"/>
      <c r="AT199" s="161" t="n"/>
      <c r="AU199" s="161" t="n"/>
      <c r="AV199" s="161" t="n"/>
      <c r="AW199" s="161" t="n"/>
      <c r="AX199" s="161" t="n"/>
      <c r="AY199" s="161" t="n"/>
      <c r="AZ199" s="161" t="n"/>
    </row>
    <row r="200" ht="15" customHeight="1">
      <c r="A200" s="161" t="n"/>
      <c r="B200" s="161" t="n"/>
      <c r="C200" s="161" t="n"/>
      <c r="D200" s="161" t="n"/>
      <c r="E200" s="161" t="n"/>
      <c r="F200" s="161" t="n"/>
      <c r="G200" s="161" t="n"/>
      <c r="H200" s="161" t="n"/>
      <c r="I200" s="161" t="n"/>
      <c r="J200" s="161" t="n"/>
      <c r="K200" s="161" t="n"/>
      <c r="L200" s="161" t="n"/>
      <c r="M200" s="161" t="n"/>
      <c r="N200" s="161" t="n"/>
      <c r="O200" s="161" t="n"/>
      <c r="P200" s="161" t="n"/>
      <c r="Q200" s="161" t="n"/>
      <c r="R200" s="161" t="n"/>
      <c r="S200" s="161" t="n"/>
      <c r="T200" s="161" t="n"/>
      <c r="U200" s="161" t="n"/>
      <c r="V200" s="161" t="n"/>
      <c r="W200" s="161" t="n"/>
      <c r="X200" s="161" t="n"/>
      <c r="Y200" s="161" t="n"/>
      <c r="Z200" s="161" t="n"/>
      <c r="AA200" s="161" t="n"/>
      <c r="AB200" s="161" t="n"/>
      <c r="AC200" s="161" t="n"/>
      <c r="AD200" s="161" t="n"/>
      <c r="AE200" s="161" t="n"/>
      <c r="AF200" s="161" t="n"/>
      <c r="AG200" s="161" t="n"/>
      <c r="AH200" s="161" t="n"/>
      <c r="AI200" s="161" t="n"/>
      <c r="AJ200" s="161" t="n"/>
      <c r="AK200" s="161" t="n"/>
      <c r="AL200" s="161" t="n"/>
      <c r="AM200" s="161" t="n"/>
      <c r="AN200" s="161" t="n"/>
      <c r="AO200" s="161" t="n"/>
      <c r="AP200" s="161" t="n"/>
      <c r="AQ200" s="161" t="n"/>
      <c r="AR200" s="161" t="n"/>
      <c r="AS200" s="161" t="n"/>
      <c r="AT200" s="161" t="n"/>
      <c r="AU200" s="161" t="n"/>
      <c r="AV200" s="161" t="n"/>
      <c r="AW200" s="161" t="n"/>
      <c r="AX200" s="161" t="n"/>
      <c r="AY200" s="161" t="n"/>
      <c r="AZ200" s="161" t="n"/>
    </row>
  </sheetData>
  <mergeCells count="2">
    <mergeCell ref="A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2026-08-02T22:36:08Z</dcterms:created>
  <dcterms:modified xsi:type="dcterms:W3CDTF">2026-08-02T22:36:08Z</dcterms:modified>
</cp:coreProperties>
</file>