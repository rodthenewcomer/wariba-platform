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75736544b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bb9fcc70ba416d"/>
    <x:sheet xmlns:r="http://schemas.openxmlformats.org/officeDocument/2006/relationships" name="Hypothèses" sheetId="2" r:id="R05396b0c4c9f4ccc"/>
    <x:sheet xmlns:r="http://schemas.openxmlformats.org/officeDocument/2006/relationships" name="Règles &amp; Offre" sheetId="3" r:id="R847647a5dff14b6d"/>
    <x:sheet xmlns:r="http://schemas.openxmlformats.org/officeDocument/2006/relationships" name="Économie Unitaire" sheetId="4" r:id="R9f39ab41a6134012"/>
    <x:sheet xmlns:r="http://schemas.openxmlformats.org/officeDocument/2006/relationships" name="Cohorte 1000" sheetId="5" r:id="R3110f3536a7c429b"/>
    <x:sheet xmlns:r="http://schemas.openxmlformats.org/officeDocument/2006/relationships" name="Prévision 24M" sheetId="6" r:id="R9c94c34352304e03"/>
    <x:sheet xmlns:r="http://schemas.openxmlformats.org/officeDocument/2006/relationships" name="Comparaison Scénarios" sheetId="7" r:id="R55cbc09733e04fa2"/>
    <x:sheet xmlns:r="http://schemas.openxmlformats.org/officeDocument/2006/relationships" name="Sensibilités" sheetId="8" r:id="R8f46875d2298407f"/>
    <x:sheet xmlns:r="http://schemas.openxmlformats.org/officeDocument/2006/relationships" name="Decision Gates" sheetId="9" r:id="Rc882bec249ab42df"/>
    <x:sheet xmlns:r="http://schemas.openxmlformats.org/officeDocument/2006/relationships" name="Dashboard" sheetId="10" r:id="R325e3b925d794ae1"/>
    <x:sheet xmlns:r="http://schemas.openxmlformats.org/officeDocument/2006/relationships" name="Assumption Log" sheetId="11" r:id="R5e670d8490ef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#,##0;[Red](#,##0);-"/>
    <x:numFmt numFmtId="202" formatCode="0.0x;[Red](0.0x);-"/>
    <x:numFmt numFmtId="203" formatCode="0.00%;[Red](0.00%);-"/>
    <x:numFmt numFmtId="204" formatCode="0 &quot;mois&quot;"/>
    <x:numFmt numFmtId="205" formatCode="#,##0.0;[Red](#,##0.0);-"/>
    <x:numFmt numFmtId="206" formatCode="@"/>
  </x:numFmts>
  <x:fonts count="21">
    <x:font>
      <x:sz val="11"/>
      <x:name val="Carlito"/>
    </x:font>
    <x:font>
      <x:b/>
      <x:sz val="16"/>
      <x:color rgb="FFFFFFFF"/>
      <x:name val="Manrope"/>
    </x:font>
    <x:font>
      <x:i/>
      <x:sz val="10"/>
      <x:color rgb="FF0B0D12"/>
      <x:name val="Manrope"/>
    </x:font>
    <x:font>
      <x:b/>
      <x:sz val="11"/>
      <x:color rgb="FFFFFFFF"/>
      <x:name val="Manrope"/>
    </x:font>
    <x:font>
      <x:b/>
      <x:sz val="9"/>
      <x:color rgb="FFFFFFFF"/>
      <x:name val="Manrope"/>
    </x:font>
    <x:font>
      <x:sz val="11"/>
      <x:color rgb="FF0000FF"/>
      <x:name val="Manrope"/>
    </x:font>
    <x:font>
      <x:sz val="11"/>
      <x:color rgb="FF008000"/>
      <x:name val="Manrope"/>
    </x:font>
    <x:font>
      <x:sz val="11"/>
      <x:color rgb="FF000000"/>
      <x:name val="Manrope"/>
    </x:font>
    <x:font>
      <x:b/>
      <x:sz val="11"/>
      <x:color rgb="FF0B0D12"/>
      <x:name val="Manrope"/>
    </x:font>
    <x:font>
      <x:b/>
      <x:sz val="11"/>
      <x:name val="Manrope"/>
    </x:font>
    <x:font>
      <x:b/>
      <x:sz val="11"/>
      <x:color rgb="FF000000"/>
      <x:name val="Manrope"/>
    </x:font>
    <x:font>
      <x:b/>
      <x:sz val="15"/>
      <x:color rgb="FF2446D8"/>
      <x:name val="Manrope"/>
    </x:font>
    <x:font>
      <x:b/>
      <x:sz val="10"/>
      <x:color rgb="FFFFFFFF"/>
      <x:name val="Manrope"/>
    </x:font>
    <x:font>
      <x:sz val="10"/>
      <x:name val="Manrope"/>
    </x:font>
    <x:font>
      <x:sz val="10"/>
      <x:color rgb="FF0000FF"/>
      <x:name val="Manrope"/>
    </x:font>
    <x:font>
      <x:sz val="10"/>
      <x:color rgb="FF008000"/>
      <x:name val="Manrope"/>
    </x:font>
    <x:font>
      <x:b/>
      <x:sz val="10"/>
      <x:color rgb="FF0B0D12"/>
      <x:name val="Manrope"/>
    </x:font>
    <x:font>
      <x:sz val="10"/>
      <x:color rgb="FF000000"/>
      <x:name val="Manrope"/>
    </x:font>
    <x:font>
      <x:b/>
      <x:sz val="10"/>
      <x:name val="Manrope"/>
    </x:font>
    <x:font>
      <x:b/>
      <x:sz val="10"/>
      <x:color rgb="FF000000"/>
      <x:name val="Manrope"/>
    </x:font>
    <x:font>
      <x:b/>
      <x:sz val="10"/>
      <x:color rgb="FF2446D8"/>
      <x:name val="Manrope"/>
    </x:font>
  </x:fonts>
  <x:fills count="9">
    <x:fill>
      <x:patternFill patternType="none"/>
    </x:fill>
    <x:fill>
      <x:patternFill patternType="gray125"/>
    </x:fill>
    <x:fill>
      <x:patternFill patternType="solid">
        <x:fgColor rgb="FF0B0D12"/>
      </x:patternFill>
    </x:fill>
    <x:fill>
      <x:patternFill patternType="solid">
        <x:fgColor rgb="FFF7F3EB"/>
      </x:patternFill>
    </x:fill>
    <x:fill>
      <x:patternFill patternType="solid">
        <x:fgColor rgb="FF2446D8"/>
      </x:patternFill>
    </x:fill>
    <x:fill>
      <x:patternFill patternType="solid">
        <x:fgColor rgb="FF121620"/>
      </x:patternFill>
    </x:fill>
    <x:fill>
      <x:patternFill patternType="solid">
        <x:fgColor rgb="FFFFF2A8"/>
      </x:patternFill>
    </x:fill>
    <x:fill>
      <x:patternFill patternType="solid">
        <x:fgColor rgb="FFEEE7DB"/>
      </x:patternFill>
    </x:fill>
    <x:fill>
      <x:patternFill patternType="solid">
        <x:fgColor rgb="FFFFF1D5"/>
      </x:patternFill>
    </x:fill>
  </x:fills>
  <x:borders count="6">
    <x:border/>
    <x:border/>
    <x:border>
      <x:bottom style="thin">
        <x:color rgb="FF7B8290"/>
      </x:bottom>
    </x:border>
    <x:border>
      <x:bottom style="thin">
        <x:color rgb="FF7B8290"/>
      </x:bottom>
    </x:border>
    <x:border>
      <x:top style="thin">
        <x:color rgb="FF0B0D12"/>
      </x:top>
    </x:border>
    <x:border>
      <x:top style="thin">
        <x:color rgb="FF0B0D12"/>
      </x:top>
    </x:border>
  </x:borders>
  <x:cellStyleXfs count="1">
    <x:xf numFmtId="0" fontId="0" fillId="0" borderId="0"/>
  </x:cellStyleXfs>
  <x:cellXfs count="4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0" fillId="6" borderId="0" xfId="0" applyNumberFormat="1" applyFont="1" applyFill="1" applyBorder="1"/>
    <x:xf numFmtId="200" fontId="6" fillId="6" borderId="0" xfId="0" applyNumberFormat="1" applyFont="1" applyFill="1" applyBorder="1"/>
    <x:xf numFmtId="200" fontId="5" fillId="6" borderId="0" xfId="0" applyNumberFormat="1" applyFont="1" applyFill="1" applyBorder="1"/>
    <x:xf numFmtId="0" fontId="0" fillId="6" borderId="1" xfId="0" applyNumberFormat="1" applyFont="1" applyFill="1" applyBorder="1"/>
    <x:xf numFmtId="200" fontId="6" fillId="6" borderId="1" xfId="0" applyNumberFormat="1" applyFont="1" applyFill="1" applyBorder="1"/>
    <x:xf numFmtId="200" fontId="5" fillId="6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1" fontId="5" fillId="6" borderId="0" xfId="0" applyNumberFormat="1" applyFont="1" applyFill="1" applyBorder="1"/>
    <x:xf numFmtId="201" fontId="5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0" fillId="0" borderId="4" xfId="0" applyNumberFormat="1" applyFont="1" applyFill="1" applyBorder="1"/>
    <x:xf numFmtId="201" fontId="7" fillId="0" borderId="4" xfId="0" applyNumberFormat="1" applyFont="1" applyFill="1" applyBorder="1"/>
    <x:xf numFmtId="200" fontId="7" fillId="0" borderId="4" xfId="0" applyNumberFormat="1" applyFont="1" applyFill="1" applyBorder="1"/>
    <x:xf numFmtId="0" fontId="0" fillId="0" borderId="5" xfId="0" applyNumberFormat="1" applyFont="1" applyFill="1" applyBorder="1"/>
    <x:xf numFmtId="201" fontId="7" fillId="0" borderId="5" xfId="0" applyNumberFormat="1" applyFont="1" applyFill="1" applyBorder="1"/>
    <x:xf numFmtId="200" fontId="7" fillId="0" borderId="5" xfId="0" applyNumberFormat="1" applyFont="1" applyFill="1" applyBorder="1"/>
    <x:xf numFmtId="0" fontId="8" fillId="0" borderId="4" xfId="0" applyNumberFormat="1" applyFont="1" applyFill="1" applyBorder="1"/>
    <x:xf numFmtId="201" fontId="8" fillId="0" borderId="4" xfId="0" applyNumberFormat="1" applyFont="1" applyFill="1" applyBorder="1"/>
    <x:xf numFmtId="200" fontId="8" fillId="0" borderId="4" xfId="0" applyNumberFormat="1" applyFont="1" applyFill="1" applyBorder="1"/>
    <x:xf numFmtId="0" fontId="8" fillId="0" borderId="5" xfId="0" applyNumberFormat="1" applyFont="1" applyFill="1" applyBorder="1"/>
    <x:xf numFmtId="201" fontId="8" fillId="0" borderId="5" xfId="0" applyNumberFormat="1" applyFont="1" applyFill="1" applyBorder="1"/>
    <x:xf numFmtId="200" fontId="8" fillId="0" borderId="5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0" fontId="9" fillId="0" borderId="0" xfId="0" applyNumberFormat="1" applyFont="1" applyFill="1" applyBorder="1"/>
    <x:xf numFmtId="201" fontId="10" fillId="0" borderId="0" xfId="0" applyNumberFormat="1" applyFont="1" applyFill="1" applyBorder="1"/>
    <x:xf numFmtId="200" fontId="10" fillId="0" borderId="0" xfId="0" applyNumberFormat="1" applyFont="1" applyFill="1" applyBorder="1"/>
    <x:xf numFmtId="205" fontId="10" fillId="0" borderId="0" xfId="0" applyNumberFormat="1" applyFont="1" applyFill="1" applyBorder="1"/>
    <x:xf numFmtId="0" fontId="9" fillId="0" borderId="1" xfId="0" applyNumberFormat="1" applyFont="1" applyFill="1" applyBorder="1"/>
    <x:xf numFmtId="201" fontId="10" fillId="0" borderId="1" xfId="0" applyNumberFormat="1" applyFont="1" applyFill="1" applyBorder="1"/>
    <x:xf numFmtId="200" fontId="10" fillId="0" borderId="1" xfId="0" applyNumberFormat="1" applyFont="1" applyFill="1" applyBorder="1"/>
    <x:xf numFmtId="205" fontId="10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6" fillId="0" borderId="4" xfId="0" applyNumberFormat="1" applyFont="1" applyFill="1" applyBorder="1"/>
    <x:xf numFmtId="201" fontId="6" fillId="0" borderId="5" xfId="0" applyNumberFormat="1" applyFont="1" applyFill="1" applyBorder="1"/>
    <x:xf numFmtId="202" fontId="6" fillId="0" borderId="4" xfId="0" applyNumberFormat="1" applyFont="1" applyFill="1" applyBorder="1"/>
    <x:xf numFmtId="202" fontId="6" fillId="0" borderId="5" xfId="0" applyNumberFormat="1" applyFont="1" applyFill="1" applyBorder="1"/>
    <x:xf numFmtId="202" fontId="8" fillId="0" borderId="4" xfId="0" applyNumberFormat="1" applyFont="1" applyFill="1" applyBorder="1"/>
    <x:xf numFmtId="202" fontId="8" fillId="0" borderId="5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200" fontId="8" fillId="7" borderId="0" xfId="0" applyNumberFormat="1" applyFont="1" applyFill="1" applyBorder="1"/>
    <x:xf numFmtId="200" fontId="8" fillId="7" borderId="1" xfId="0" applyNumberFormat="1" applyFont="1" applyFill="1" applyBorder="1"/>
    <x:xf numFmtId="200" fontId="4" fillId="5" borderId="2" xfId="0" applyNumberFormat="1" applyFont="1" applyFill="1" applyBorder="1" applyAlignment="1">
      <x:alignment horizontal="center" vertical="center" wrapText="1"/>
    </x:xf>
    <x:xf numFmtId="200" fontId="4" fillId="5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206" fontId="11" fillId="3" borderId="0" xfId="0" applyNumberFormat="1" applyFont="1" applyFill="1" applyBorder="1" applyAlignment="1">
      <x:alignment horizontal="center" vertical="center"/>
    </x:xf>
    <x:xf numFmtId="206" fontId="11" fillId="3" borderId="1" xfId="0" applyNumberFormat="1" applyFont="1" applyFill="1" applyBorder="1" applyAlignment="1">
      <x:alignment horizontal="center" vertical="center"/>
    </x:xf>
    <x:xf numFmtId="201" fontId="11" fillId="3" borderId="0" xfId="0" applyNumberFormat="1" applyFont="1" applyFill="1" applyBorder="1" applyAlignment="1">
      <x:alignment horizontal="center" vertical="center"/>
    </x:xf>
    <x:xf numFmtId="201" fontId="11" fillId="3" borderId="1" xfId="0" applyNumberFormat="1" applyFont="1" applyFill="1" applyBorder="1" applyAlignment="1">
      <x:alignment horizontal="center" vertical="center"/>
    </x:xf>
    <x:xf numFmtId="200" fontId="11" fillId="3" borderId="0" xfId="0" applyNumberFormat="1" applyFont="1" applyFill="1" applyBorder="1" applyAlignment="1">
      <x:alignment horizontal="center" vertical="center"/>
    </x:xf>
    <x:xf numFmtId="200" fontId="11" fillId="3" borderId="1" xfId="0" applyNumberFormat="1" applyFont="1" applyFill="1" applyBorder="1" applyAlignment="1">
      <x:alignment horizontal="center" vertical="center"/>
    </x:xf>
    <x:xf numFmtId="205" fontId="11" fillId="3" borderId="0" xfId="0" applyNumberFormat="1" applyFont="1" applyFill="1" applyBorder="1" applyAlignment="1">
      <x:alignment horizontal="center" vertical="center"/>
    </x:xf>
    <x:xf numFmtId="205" fontId="11" fillId="3" borderId="1" xfId="0" applyNumberFormat="1" applyFont="1" applyFill="1" applyBorder="1" applyAlignment="1">
      <x:alignment horizontal="center" vertical="center"/>
    </x:xf>
    <x:xf numFmtId="202" fontId="11" fillId="3" borderId="0" xfId="0" applyNumberFormat="1" applyFont="1" applyFill="1" applyBorder="1" applyAlignment="1">
      <x:alignment horizontal="center" vertical="center"/>
    </x:xf>
    <x:xf numFmtId="202" fontId="11" fillId="3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5" fontId="7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2" fillId="2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2" fillId="4" borderId="0" xfId="0" applyNumberFormat="1" applyFont="1" applyFill="1" applyBorder="1" applyAlignment="1">
      <x:alignment horizontal="left" vertical="center"/>
    </x:xf>
    <x:xf numFmtId="0" fontId="12" fillId="5" borderId="2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0" borderId="1" xfId="0" applyNumberFormat="1" applyFont="1" applyFill="1" applyBorder="1"/>
    <x:xf numFmtId="0" fontId="12" fillId="4" borderId="1" xfId="0" applyNumberFormat="1" applyFont="1" applyFill="1" applyBorder="1" applyAlignment="1">
      <x:alignment horizontal="left" vertical="center"/>
    </x:xf>
    <x:xf numFmtId="0" fontId="12" fillId="5" borderId="3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 wrapText="0"/>
    </x:xf>
    <x:xf numFmtId="0" fontId="13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12" fillId="4" borderId="0" xfId="0" applyNumberFormat="1" applyFont="1" applyFill="1" applyBorder="1" applyAlignment="1">
      <x:alignment horizontal="left" vertical="center" wrapText="0"/>
    </x:xf>
    <x:xf numFmtId="0" fontId="12" fillId="5" borderId="2" xfId="0" applyNumberFormat="1" applyFont="1" applyFill="1" applyBorder="1" applyAlignment="1">
      <x:alignment horizontal="center" vertical="center" wrapText="0"/>
    </x:xf>
    <x:xf numFmtId="0" fontId="12" fillId="2" borderId="1" xfId="0" applyNumberFormat="1" applyFont="1" applyFill="1" applyBorder="1" applyAlignment="1">
      <x:alignment horizontal="left" vertical="center" wrapText="0"/>
    </x:xf>
    <x:xf numFmtId="0" fontId="13" fillId="0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12" fillId="4" borderId="1" xfId="0" applyNumberFormat="1" applyFont="1" applyFill="1" applyBorder="1" applyAlignment="1">
      <x:alignment horizontal="left" vertical="center" wrapText="0"/>
    </x:xf>
    <x:xf numFmtId="0" fontId="12" fillId="5" borderId="3" xfId="0" applyNumberFormat="1" applyFont="1" applyFill="1" applyBorder="1" applyAlignment="1">
      <x:alignment horizontal="center" vertical="center" wrapText="0"/>
    </x:xf>
    <x:xf numFmtId="0" fontId="14" fillId="6" borderId="0" xfId="0" applyNumberFormat="1" applyFont="1" applyFill="1" applyBorder="1"/>
    <x:xf numFmtId="200" fontId="15" fillId="0" borderId="0" xfId="0" applyNumberFormat="1" applyFont="1" applyFill="1" applyBorder="1"/>
    <x:xf numFmtId="200" fontId="14" fillId="0" borderId="0" xfId="0" applyNumberFormat="1" applyFont="1" applyFill="1" applyBorder="1"/>
    <x:xf numFmtId="0" fontId="13" fillId="6" borderId="0" xfId="0" applyNumberFormat="1" applyFont="1" applyFill="1" applyBorder="1"/>
    <x:xf numFmtId="200" fontId="15" fillId="6" borderId="0" xfId="0" applyNumberFormat="1" applyFont="1" applyFill="1" applyBorder="1"/>
    <x:xf numFmtId="200" fontId="14" fillId="6" borderId="0" xfId="0" applyNumberFormat="1" applyFont="1" applyFill="1" applyBorder="1"/>
    <x:xf numFmtId="201" fontId="15" fillId="0" borderId="0" xfId="0" applyNumberFormat="1" applyFont="1" applyFill="1" applyBorder="1"/>
    <x:xf numFmtId="201" fontId="14" fillId="0" borderId="0" xfId="0" applyNumberFormat="1" applyFont="1" applyFill="1" applyBorder="1"/>
    <x:xf numFmtId="201" fontId="14" fillId="6" borderId="0" xfId="0" applyNumberFormat="1" applyFont="1" applyFill="1" applyBorder="1"/>
    <x:xf numFmtId="202" fontId="14" fillId="0" borderId="0" xfId="0" applyNumberFormat="1" applyFont="1" applyFill="1" applyBorder="1"/>
    <x:xf numFmtId="0" fontId="14" fillId="6" borderId="1" xfId="0" applyNumberFormat="1" applyFont="1" applyFill="1" applyBorder="1"/>
    <x:xf numFmtId="200" fontId="15" fillId="0" borderId="1" xfId="0" applyNumberFormat="1" applyFont="1" applyFill="1" applyBorder="1"/>
    <x:xf numFmtId="200" fontId="14" fillId="0" borderId="1" xfId="0" applyNumberFormat="1" applyFont="1" applyFill="1" applyBorder="1"/>
    <x:xf numFmtId="0" fontId="13" fillId="6" borderId="1" xfId="0" applyNumberFormat="1" applyFont="1" applyFill="1" applyBorder="1"/>
    <x:xf numFmtId="200" fontId="15" fillId="6" borderId="1" xfId="0" applyNumberFormat="1" applyFont="1" applyFill="1" applyBorder="1"/>
    <x:xf numFmtId="200" fontId="14" fillId="6" borderId="1" xfId="0" applyNumberFormat="1" applyFont="1" applyFill="1" applyBorder="1"/>
    <x:xf numFmtId="201" fontId="15" fillId="0" borderId="1" xfId="0" applyNumberFormat="1" applyFont="1" applyFill="1" applyBorder="1"/>
    <x:xf numFmtId="201" fontId="14" fillId="0" borderId="1" xfId="0" applyNumberFormat="1" applyFont="1" applyFill="1" applyBorder="1"/>
    <x:xf numFmtId="201" fontId="14" fillId="6" borderId="1" xfId="0" applyNumberFormat="1" applyFont="1" applyFill="1" applyBorder="1"/>
    <x:xf numFmtId="202" fontId="14" fillId="0" borderId="1" xfId="0" applyNumberFormat="1" applyFont="1" applyFill="1" applyBorder="1"/>
    <x:xf numFmtId="0" fontId="14" fillId="6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200" fontId="15" fillId="6" borderId="0" xfId="0" applyNumberFormat="1" applyFont="1" applyFill="1" applyBorder="1" applyAlignment="1">
      <x:alignment vertical="center"/>
    </x:xf>
    <x:xf numFmtId="200" fontId="14" fillId="6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1" fontId="14" fillId="6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0" fontId="14" fillId="6" borderId="1" xfId="0" applyNumberFormat="1" applyFont="1" applyFill="1" applyBorder="1" applyAlignment="1">
      <x:alignment vertical="center"/>
    </x:xf>
    <x:xf numFmtId="200" fontId="15" fillId="0" borderId="1" xfId="0" applyNumberFormat="1" applyFont="1" applyFill="1" applyBorder="1" applyAlignment="1">
      <x:alignment vertical="center"/>
    </x:xf>
    <x:xf numFmtId="200" fontId="14" fillId="0" borderId="1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 applyAlignment="1">
      <x:alignment vertical="center"/>
    </x:xf>
    <x:xf numFmtId="200" fontId="15" fillId="6" borderId="1" xfId="0" applyNumberFormat="1" applyFont="1" applyFill="1" applyBorder="1" applyAlignment="1">
      <x:alignment vertical="center"/>
    </x:xf>
    <x:xf numFmtId="200" fontId="14" fillId="6" borderId="1" xfId="0" applyNumberFormat="1" applyFont="1" applyFill="1" applyBorder="1" applyAlignment="1">
      <x:alignment vertical="center"/>
    </x:xf>
    <x:xf numFmtId="201" fontId="15" fillId="0" borderId="1" xfId="0" applyNumberFormat="1" applyFont="1" applyFill="1" applyBorder="1" applyAlignment="1">
      <x:alignment vertical="center"/>
    </x:xf>
    <x:xf numFmtId="201" fontId="14" fillId="0" borderId="1" xfId="0" applyNumberFormat="1" applyFont="1" applyFill="1" applyBorder="1" applyAlignment="1">
      <x:alignment vertical="center"/>
    </x:xf>
    <x:xf numFmtId="201" fontId="14" fillId="6" borderId="1" xfId="0" applyNumberFormat="1" applyFont="1" applyFill="1" applyBorder="1" applyAlignment="1">
      <x:alignment vertical="center"/>
    </x:xf>
    <x:xf numFmtId="202" fontId="14" fillId="0" borderId="1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 wrapText="0"/>
    </x:xf>
    <x:xf numFmtId="200" fontId="15" fillId="0" borderId="0" xfId="0" applyNumberFormat="1" applyFont="1" applyFill="1" applyBorder="1" applyAlignment="1">
      <x:alignment vertical="center" wrapText="0"/>
    </x:xf>
    <x:xf numFmtId="200" fontId="14" fillId="0" borderId="0" xfId="0" applyNumberFormat="1" applyFont="1" applyFill="1" applyBorder="1" applyAlignment="1">
      <x:alignment vertical="center" wrapText="0"/>
    </x:xf>
    <x:xf numFmtId="0" fontId="13" fillId="6" borderId="0" xfId="0" applyNumberFormat="1" applyFont="1" applyFill="1" applyBorder="1" applyAlignment="1">
      <x:alignment vertical="center" wrapText="0"/>
    </x:xf>
    <x:xf numFmtId="200" fontId="15" fillId="6" borderId="0" xfId="0" applyNumberFormat="1" applyFont="1" applyFill="1" applyBorder="1" applyAlignment="1">
      <x:alignment vertical="center" wrapText="0"/>
    </x:xf>
    <x:xf numFmtId="200" fontId="14" fillId="6" borderId="0" xfId="0" applyNumberFormat="1" applyFont="1" applyFill="1" applyBorder="1" applyAlignment="1">
      <x:alignment vertical="center" wrapText="0"/>
    </x:xf>
    <x:xf numFmtId="201" fontId="15" fillId="0" borderId="0" xfId="0" applyNumberFormat="1" applyFont="1" applyFill="1" applyBorder="1" applyAlignment="1">
      <x:alignment vertical="center" wrapText="0"/>
    </x:xf>
    <x:xf numFmtId="201" fontId="14" fillId="0" borderId="0" xfId="0" applyNumberFormat="1" applyFont="1" applyFill="1" applyBorder="1" applyAlignment="1">
      <x:alignment vertical="center" wrapText="0"/>
    </x:xf>
    <x:xf numFmtId="201" fontId="14" fillId="6" borderId="0" xfId="0" applyNumberFormat="1" applyFont="1" applyFill="1" applyBorder="1" applyAlignment="1">
      <x:alignment vertical="center" wrapText="0"/>
    </x:xf>
    <x:xf numFmtId="202" fontId="14" fillId="0" borderId="0" xfId="0" applyNumberFormat="1" applyFont="1" applyFill="1" applyBorder="1" applyAlignment="1">
      <x:alignment vertical="center" wrapText="0"/>
    </x:xf>
    <x:xf numFmtId="0" fontId="14" fillId="6" borderId="1" xfId="0" applyNumberFormat="1" applyFont="1" applyFill="1" applyBorder="1" applyAlignment="1">
      <x:alignment vertical="center" wrapText="0"/>
    </x:xf>
    <x:xf numFmtId="200" fontId="15" fillId="0" borderId="1" xfId="0" applyNumberFormat="1" applyFont="1" applyFill="1" applyBorder="1" applyAlignment="1">
      <x:alignment vertical="center" wrapText="0"/>
    </x:xf>
    <x:xf numFmtId="200" fontId="14" fillId="0" borderId="1" xfId="0" applyNumberFormat="1" applyFont="1" applyFill="1" applyBorder="1" applyAlignment="1">
      <x:alignment vertical="center" wrapText="0"/>
    </x:xf>
    <x:xf numFmtId="0" fontId="13" fillId="6" borderId="1" xfId="0" applyNumberFormat="1" applyFont="1" applyFill="1" applyBorder="1" applyAlignment="1">
      <x:alignment vertical="center" wrapText="0"/>
    </x:xf>
    <x:xf numFmtId="200" fontId="15" fillId="6" borderId="1" xfId="0" applyNumberFormat="1" applyFont="1" applyFill="1" applyBorder="1" applyAlignment="1">
      <x:alignment vertical="center" wrapText="0"/>
    </x:xf>
    <x:xf numFmtId="200" fontId="14" fillId="6" borderId="1" xfId="0" applyNumberFormat="1" applyFont="1" applyFill="1" applyBorder="1" applyAlignment="1">
      <x:alignment vertical="center" wrapText="0"/>
    </x:xf>
    <x:xf numFmtId="201" fontId="15" fillId="0" borderId="1" xfId="0" applyNumberFormat="1" applyFont="1" applyFill="1" applyBorder="1" applyAlignment="1">
      <x:alignment vertical="center" wrapText="0"/>
    </x:xf>
    <x:xf numFmtId="201" fontId="14" fillId="0" borderId="1" xfId="0" applyNumberFormat="1" applyFont="1" applyFill="1" applyBorder="1" applyAlignment="1">
      <x:alignment vertical="center" wrapText="0"/>
    </x:xf>
    <x:xf numFmtId="201" fontId="14" fillId="6" borderId="1" xfId="0" applyNumberFormat="1" applyFont="1" applyFill="1" applyBorder="1" applyAlignment="1">
      <x:alignment vertical="center" wrapText="0"/>
    </x:xf>
    <x:xf numFmtId="202" fontId="14" fillId="0" borderId="1" xfId="0" applyNumberFormat="1" applyFont="1" applyFill="1" applyBorder="1" applyAlignment="1">
      <x:alignment vertical="center" wrapText="0"/>
    </x:xf>
    <x:xf numFmtId="200" fontId="13" fillId="0" borderId="0" xfId="0" applyNumberFormat="1" applyFont="1" applyFill="1" applyBorder="1"/>
    <x:xf numFmtId="203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3" fillId="0" borderId="1" xfId="0" applyNumberFormat="1" applyFont="1" applyFill="1" applyBorder="1"/>
    <x:xf numFmtId="203" fontId="13" fillId="0" borderId="1" xfId="0" applyNumberFormat="1" applyFont="1" applyFill="1" applyBorder="1"/>
    <x:xf numFmtId="201" fontId="13" fillId="0" borderId="1" xfId="0" applyNumberFormat="1" applyFont="1" applyFill="1" applyBorder="1"/>
    <x:xf numFmtId="200" fontId="13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0" fontId="13" fillId="0" borderId="1" xfId="0" applyNumberFormat="1" applyFont="1" applyFill="1" applyBorder="1" applyAlignment="1">
      <x:alignment vertical="center"/>
    </x:xf>
    <x:xf numFmtId="203" fontId="13" fillId="0" borderId="1" xfId="0" applyNumberFormat="1" applyFont="1" applyFill="1" applyBorder="1" applyAlignment="1">
      <x:alignment vertical="center"/>
    </x:xf>
    <x:xf numFmtId="201" fontId="13" fillId="0" borderId="1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 wrapText="0"/>
    </x:xf>
    <x:xf numFmtId="203" fontId="13" fillId="0" borderId="0" xfId="0" applyNumberFormat="1" applyFont="1" applyFill="1" applyBorder="1" applyAlignment="1">
      <x:alignment vertical="center" wrapText="0"/>
    </x:xf>
    <x:xf numFmtId="201" fontId="13" fillId="0" borderId="0" xfId="0" applyNumberFormat="1" applyFont="1" applyFill="1" applyBorder="1" applyAlignment="1">
      <x:alignment vertical="center" wrapText="0"/>
    </x:xf>
    <x:xf numFmtId="200" fontId="13" fillId="0" borderId="1" xfId="0" applyNumberFormat="1" applyFont="1" applyFill="1" applyBorder="1" applyAlignment="1">
      <x:alignment vertical="center" wrapText="0"/>
    </x:xf>
    <x:xf numFmtId="203" fontId="13" fillId="0" borderId="1" xfId="0" applyNumberFormat="1" applyFont="1" applyFill="1" applyBorder="1" applyAlignment="1">
      <x:alignment vertical="center" wrapText="0"/>
    </x:xf>
    <x:xf numFmtId="201" fontId="13" fillId="0" borderId="1" xfId="0" applyNumberFormat="1" applyFont="1" applyFill="1" applyBorder="1" applyAlignment="1">
      <x:alignment vertical="center" wrapText="0"/>
    </x:xf>
    <x:xf numFmtId="0" fontId="15" fillId="0" borderId="0" xfId="0" applyNumberFormat="1" applyFont="1" applyFill="1" applyBorder="1"/>
    <x:xf numFmtId="0" fontId="16" fillId="0" borderId="4" xfId="0" applyNumberFormat="1" applyFont="1" applyFill="1" applyBorder="1"/>
    <x:xf numFmtId="201" fontId="16" fillId="0" borderId="4" xfId="0" applyNumberFormat="1" applyFont="1" applyFill="1" applyBorder="1"/>
    <x:xf numFmtId="200" fontId="16" fillId="0" borderId="4" xfId="0" applyNumberFormat="1" applyFont="1" applyFill="1" applyBorder="1"/>
    <x:xf numFmtId="201" fontId="17" fillId="0" borderId="0" xfId="0" applyNumberFormat="1" applyFont="1" applyFill="1" applyBorder="1"/>
    <x:xf numFmtId="204" fontId="13" fillId="0" borderId="0" xfId="0" applyNumberFormat="1" applyFont="1" applyFill="1" applyBorder="1"/>
    <x:xf numFmtId="0" fontId="18" fillId="0" borderId="0" xfId="0" applyNumberFormat="1" applyFont="1" applyFill="1" applyBorder="1"/>
    <x:xf numFmtId="201" fontId="19" fillId="0" borderId="0" xfId="0" applyNumberFormat="1" applyFont="1" applyFill="1" applyBorder="1"/>
    <x:xf numFmtId="200" fontId="19" fillId="0" borderId="0" xfId="0" applyNumberFormat="1" applyFont="1" applyFill="1" applyBorder="1"/>
    <x:xf numFmtId="205" fontId="19" fillId="0" borderId="0" xfId="0" applyNumberFormat="1" applyFont="1" applyFill="1" applyBorder="1"/>
    <x:xf numFmtId="0" fontId="15" fillId="0" borderId="1" xfId="0" applyNumberFormat="1" applyFont="1" applyFill="1" applyBorder="1"/>
    <x:xf numFmtId="0" fontId="16" fillId="0" borderId="5" xfId="0" applyNumberFormat="1" applyFont="1" applyFill="1" applyBorder="1"/>
    <x:xf numFmtId="201" fontId="16" fillId="0" borderId="5" xfId="0" applyNumberFormat="1" applyFont="1" applyFill="1" applyBorder="1"/>
    <x:xf numFmtId="200" fontId="16" fillId="0" borderId="5" xfId="0" applyNumberFormat="1" applyFont="1" applyFill="1" applyBorder="1"/>
    <x:xf numFmtId="201" fontId="17" fillId="0" borderId="1" xfId="0" applyNumberFormat="1" applyFont="1" applyFill="1" applyBorder="1"/>
    <x:xf numFmtId="204" fontId="13" fillId="0" borderId="1" xfId="0" applyNumberFormat="1" applyFont="1" applyFill="1" applyBorder="1"/>
    <x:xf numFmtId="0" fontId="18" fillId="0" borderId="1" xfId="0" applyNumberFormat="1" applyFont="1" applyFill="1" applyBorder="1"/>
    <x:xf numFmtId="201" fontId="19" fillId="0" borderId="1" xfId="0" applyNumberFormat="1" applyFont="1" applyFill="1" applyBorder="1"/>
    <x:xf numFmtId="200" fontId="19" fillId="0" borderId="1" xfId="0" applyNumberFormat="1" applyFont="1" applyFill="1" applyBorder="1"/>
    <x:xf numFmtId="205" fontId="19" fillId="0" borderId="1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/>
    </x:xf>
    <x:xf numFmtId="201" fontId="16" fillId="0" borderId="4" xfId="0" applyNumberFormat="1" applyFont="1" applyFill="1" applyBorder="1" applyAlignment="1">
      <x:alignment vertical="center"/>
    </x:xf>
    <x:xf numFmtId="200" fontId="16" fillId="0" borderId="4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201" fontId="19" fillId="0" borderId="0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vertical="center"/>
    </x:xf>
    <x:xf numFmtId="205" fontId="19" fillId="0" borderId="0" xfId="0" applyNumberFormat="1" applyFont="1" applyFill="1" applyBorder="1" applyAlignment="1">
      <x:alignment vertical="center"/>
    </x:xf>
    <x:xf numFmtId="0" fontId="15" fillId="0" borderId="1" xfId="0" applyNumberFormat="1" applyFont="1" applyFill="1" applyBorder="1" applyAlignment="1">
      <x:alignment vertical="center"/>
    </x:xf>
    <x:xf numFmtId="0" fontId="16" fillId="0" borderId="5" xfId="0" applyNumberFormat="1" applyFont="1" applyFill="1" applyBorder="1" applyAlignment="1">
      <x:alignment vertical="center"/>
    </x:xf>
    <x:xf numFmtId="201" fontId="16" fillId="0" borderId="5" xfId="0" applyNumberFormat="1" applyFont="1" applyFill="1" applyBorder="1" applyAlignment="1">
      <x:alignment vertical="center"/>
    </x:xf>
    <x:xf numFmtId="200" fontId="16" fillId="0" borderId="5" xfId="0" applyNumberFormat="1" applyFont="1" applyFill="1" applyBorder="1" applyAlignment="1">
      <x:alignment vertical="center"/>
    </x:xf>
    <x:xf numFmtId="201" fontId="17" fillId="0" borderId="1" xfId="0" applyNumberFormat="1" applyFont="1" applyFill="1" applyBorder="1" applyAlignment="1">
      <x:alignment vertical="center"/>
    </x:xf>
    <x:xf numFmtId="204" fontId="13" fillId="0" borderId="1" xfId="0" applyNumberFormat="1" applyFont="1" applyFill="1" applyBorder="1" applyAlignment="1">
      <x:alignment vertical="center"/>
    </x:xf>
    <x:xf numFmtId="0" fontId="18" fillId="0" borderId="1" xfId="0" applyNumberFormat="1" applyFont="1" applyFill="1" applyBorder="1" applyAlignment="1">
      <x:alignment vertical="center"/>
    </x:xf>
    <x:xf numFmtId="201" fontId="19" fillId="0" borderId="1" xfId="0" applyNumberFormat="1" applyFont="1" applyFill="1" applyBorder="1" applyAlignment="1">
      <x:alignment vertical="center"/>
    </x:xf>
    <x:xf numFmtId="200" fontId="19" fillId="0" borderId="1" xfId="0" applyNumberFormat="1" applyFont="1" applyFill="1" applyBorder="1" applyAlignment="1">
      <x:alignment vertical="center"/>
    </x:xf>
    <x:xf numFmtId="205" fontId="19" fillId="0" borderId="1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0"/>
    </x:xf>
    <x:xf numFmtId="0" fontId="16" fillId="0" borderId="4" xfId="0" applyNumberFormat="1" applyFont="1" applyFill="1" applyBorder="1" applyAlignment="1">
      <x:alignment vertical="center" wrapText="0"/>
    </x:xf>
    <x:xf numFmtId="201" fontId="16" fillId="0" borderId="4" xfId="0" applyNumberFormat="1" applyFont="1" applyFill="1" applyBorder="1" applyAlignment="1">
      <x:alignment vertical="center" wrapText="0"/>
    </x:xf>
    <x:xf numFmtId="200" fontId="16" fillId="0" borderId="4" xfId="0" applyNumberFormat="1" applyFont="1" applyFill="1" applyBorder="1" applyAlignment="1">
      <x:alignment vertical="center" wrapText="0"/>
    </x:xf>
    <x:xf numFmtId="201" fontId="17" fillId="0" borderId="0" xfId="0" applyNumberFormat="1" applyFont="1" applyFill="1" applyBorder="1" applyAlignment="1">
      <x:alignment vertical="center" wrapText="0"/>
    </x:xf>
    <x:xf numFmtId="204" fontId="13" fillId="0" borderId="0" xfId="0" applyNumberFormat="1" applyFont="1" applyFill="1" applyBorder="1" applyAlignment="1">
      <x:alignment vertical="center" wrapText="0"/>
    </x:xf>
    <x:xf numFmtId="0" fontId="18" fillId="0" borderId="0" xfId="0" applyNumberFormat="1" applyFont="1" applyFill="1" applyBorder="1" applyAlignment="1">
      <x:alignment vertical="center" wrapText="0"/>
    </x:xf>
    <x:xf numFmtId="201" fontId="19" fillId="0" borderId="0" xfId="0" applyNumberFormat="1" applyFont="1" applyFill="1" applyBorder="1" applyAlignment="1">
      <x:alignment vertical="center" wrapText="0"/>
    </x:xf>
    <x:xf numFmtId="200" fontId="19" fillId="0" borderId="0" xfId="0" applyNumberFormat="1" applyFont="1" applyFill="1" applyBorder="1" applyAlignment="1">
      <x:alignment vertical="center" wrapText="0"/>
    </x:xf>
    <x:xf numFmtId="205" fontId="19" fillId="0" borderId="0" xfId="0" applyNumberFormat="1" applyFont="1" applyFill="1" applyBorder="1" applyAlignment="1">
      <x:alignment vertical="center" wrapText="0"/>
    </x:xf>
    <x:xf numFmtId="0" fontId="15" fillId="0" borderId="1" xfId="0" applyNumberFormat="1" applyFont="1" applyFill="1" applyBorder="1" applyAlignment="1">
      <x:alignment vertical="center" wrapText="0"/>
    </x:xf>
    <x:xf numFmtId="0" fontId="16" fillId="0" borderId="5" xfId="0" applyNumberFormat="1" applyFont="1" applyFill="1" applyBorder="1" applyAlignment="1">
      <x:alignment vertical="center" wrapText="0"/>
    </x:xf>
    <x:xf numFmtId="201" fontId="16" fillId="0" borderId="5" xfId="0" applyNumberFormat="1" applyFont="1" applyFill="1" applyBorder="1" applyAlignment="1">
      <x:alignment vertical="center" wrapText="0"/>
    </x:xf>
    <x:xf numFmtId="200" fontId="16" fillId="0" borderId="5" xfId="0" applyNumberFormat="1" applyFont="1" applyFill="1" applyBorder="1" applyAlignment="1">
      <x:alignment vertical="center" wrapText="0"/>
    </x:xf>
    <x:xf numFmtId="201" fontId="17" fillId="0" borderId="1" xfId="0" applyNumberFormat="1" applyFont="1" applyFill="1" applyBorder="1" applyAlignment="1">
      <x:alignment vertical="center" wrapText="0"/>
    </x:xf>
    <x:xf numFmtId="204" fontId="13" fillId="0" borderId="1" xfId="0" applyNumberFormat="1" applyFont="1" applyFill="1" applyBorder="1" applyAlignment="1">
      <x:alignment vertical="center" wrapText="0"/>
    </x:xf>
    <x:xf numFmtId="0" fontId="18" fillId="0" borderId="1" xfId="0" applyNumberFormat="1" applyFont="1" applyFill="1" applyBorder="1" applyAlignment="1">
      <x:alignment vertical="center" wrapText="0"/>
    </x:xf>
    <x:xf numFmtId="201" fontId="19" fillId="0" borderId="1" xfId="0" applyNumberFormat="1" applyFont="1" applyFill="1" applyBorder="1" applyAlignment="1">
      <x:alignment vertical="center" wrapText="0"/>
    </x:xf>
    <x:xf numFmtId="200" fontId="19" fillId="0" borderId="1" xfId="0" applyNumberFormat="1" applyFont="1" applyFill="1" applyBorder="1" applyAlignment="1">
      <x:alignment vertical="center" wrapText="0"/>
    </x:xf>
    <x:xf numFmtId="205" fontId="19" fillId="0" borderId="1" xfId="0" applyNumberFormat="1" applyFont="1" applyFill="1" applyBorder="1" applyAlignment="1">
      <x:alignment vertical="center" wrapText="0"/>
    </x:xf>
    <x:xf numFmtId="205" fontId="15" fillId="0" borderId="0" xfId="0" applyNumberFormat="1" applyFont="1" applyFill="1" applyBorder="1"/>
    <x:xf numFmtId="205" fontId="17" fillId="0" borderId="0" xfId="0" applyNumberFormat="1" applyFont="1" applyFill="1" applyBorder="1"/>
    <x:xf numFmtId="205" fontId="15" fillId="0" borderId="1" xfId="0" applyNumberFormat="1" applyFont="1" applyFill="1" applyBorder="1"/>
    <x:xf numFmtId="205" fontId="17" fillId="0" borderId="1" xfId="0" applyNumberFormat="1" applyFont="1" applyFill="1" applyBorder="1"/>
    <x:xf numFmtId="205" fontId="15" fillId="0" borderId="0" xfId="0" applyNumberFormat="1" applyFont="1" applyFill="1" applyBorder="1" applyAlignment="1">
      <x:alignment vertical="center"/>
    </x:xf>
    <x:xf numFmtId="205" fontId="17" fillId="0" borderId="0" xfId="0" applyNumberFormat="1" applyFont="1" applyFill="1" applyBorder="1" applyAlignment="1">
      <x:alignment vertical="center"/>
    </x:xf>
    <x:xf numFmtId="205" fontId="15" fillId="0" borderId="1" xfId="0" applyNumberFormat="1" applyFont="1" applyFill="1" applyBorder="1" applyAlignment="1">
      <x:alignment vertical="center"/>
    </x:xf>
    <x:xf numFmtId="205" fontId="17" fillId="0" borderId="1" xfId="0" applyNumberFormat="1" applyFont="1" applyFill="1" applyBorder="1" applyAlignment="1">
      <x:alignment vertical="center"/>
    </x:xf>
    <x:xf numFmtId="205" fontId="15" fillId="0" borderId="0" xfId="0" applyNumberFormat="1" applyFont="1" applyFill="1" applyBorder="1" applyAlignment="1">
      <x:alignment vertical="center" wrapText="0"/>
    </x:xf>
    <x:xf numFmtId="205" fontId="17" fillId="0" borderId="0" xfId="0" applyNumberFormat="1" applyFont="1" applyFill="1" applyBorder="1" applyAlignment="1">
      <x:alignment vertical="center" wrapText="0"/>
    </x:xf>
    <x:xf numFmtId="205" fontId="15" fillId="0" borderId="1" xfId="0" applyNumberFormat="1" applyFont="1" applyFill="1" applyBorder="1" applyAlignment="1">
      <x:alignment vertical="center" wrapText="0"/>
    </x:xf>
    <x:xf numFmtId="205" fontId="17" fillId="0" borderId="1" xfId="0" applyNumberFormat="1" applyFont="1" applyFill="1" applyBorder="1" applyAlignment="1">
      <x:alignment vertical="center" wrapText="0"/>
    </x:xf>
    <x:xf numFmtId="202" fontId="16" fillId="0" borderId="4" xfId="0" applyNumberFormat="1" applyFont="1" applyFill="1" applyBorder="1"/>
    <x:xf numFmtId="202" fontId="16" fillId="0" borderId="5" xfId="0" applyNumberFormat="1" applyFont="1" applyFill="1" applyBorder="1"/>
    <x:xf numFmtId="202" fontId="16" fillId="0" borderId="4" xfId="0" applyNumberFormat="1" applyFont="1" applyFill="1" applyBorder="1" applyAlignment="1">
      <x:alignment vertical="center"/>
    </x:xf>
    <x:xf numFmtId="202" fontId="16" fillId="0" borderId="5" xfId="0" applyNumberFormat="1" applyFont="1" applyFill="1" applyBorder="1" applyAlignment="1">
      <x:alignment vertical="center"/>
    </x:xf>
    <x:xf numFmtId="202" fontId="16" fillId="0" borderId="4" xfId="0" applyNumberFormat="1" applyFont="1" applyFill="1" applyBorder="1" applyAlignment="1">
      <x:alignment vertical="center" wrapText="0"/>
    </x:xf>
    <x:xf numFmtId="202" fontId="16" fillId="0" borderId="5" xfId="0" applyNumberFormat="1" applyFont="1" applyFill="1" applyBorder="1" applyAlignment="1">
      <x:alignment vertical="center" wrapText="0"/>
    </x:xf>
    <x:xf numFmtId="200" fontId="17" fillId="0" borderId="0" xfId="0" applyNumberFormat="1" applyFont="1" applyFill="1" applyBorder="1"/>
    <x:xf numFmtId="200" fontId="17" fillId="0" borderId="1" xfId="0" applyNumberFormat="1" applyFont="1" applyFill="1" applyBorder="1"/>
    <x:xf numFmtId="200" fontId="17" fillId="0" borderId="0" xfId="0" applyNumberFormat="1" applyFont="1" applyFill="1" applyBorder="1" applyAlignment="1">
      <x:alignment vertical="center"/>
    </x:xf>
    <x:xf numFmtId="200" fontId="17" fillId="0" borderId="1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 wrapText="0"/>
    </x:xf>
    <x:xf numFmtId="200" fontId="17" fillId="0" borderId="1" xfId="0" applyNumberFormat="1" applyFont="1" applyFill="1" applyBorder="1" applyAlignment="1">
      <x:alignment vertical="center" wrapText="0"/>
    </x:xf>
    <x:xf numFmtId="200" fontId="12" fillId="5" borderId="2" xfId="0" applyNumberFormat="1" applyFont="1" applyFill="1" applyBorder="1" applyAlignment="1">
      <x:alignment horizontal="center" vertical="center" wrapText="1"/>
    </x:xf>
    <x:xf numFmtId="200" fontId="16" fillId="7" borderId="0" xfId="0" applyNumberFormat="1" applyFont="1" applyFill="1" applyBorder="1"/>
    <x:xf numFmtId="200" fontId="12" fillId="5" borderId="3" xfId="0" applyNumberFormat="1" applyFont="1" applyFill="1" applyBorder="1" applyAlignment="1">
      <x:alignment horizontal="center" vertical="center" wrapText="1"/>
    </x:xf>
    <x:xf numFmtId="200" fontId="16" fillId="7" borderId="1" xfId="0" applyNumberFormat="1" applyFont="1" applyFill="1" applyBorder="1"/>
    <x:xf numFmtId="200" fontId="16" fillId="7" borderId="0" xfId="0" applyNumberFormat="1" applyFont="1" applyFill="1" applyBorder="1" applyAlignment="1">
      <x:alignment vertical="center"/>
    </x:xf>
    <x:xf numFmtId="200" fontId="16" fillId="7" borderId="1" xfId="0" applyNumberFormat="1" applyFont="1" applyFill="1" applyBorder="1" applyAlignment="1">
      <x:alignment vertical="center"/>
    </x:xf>
    <x:xf numFmtId="200" fontId="12" fillId="5" borderId="2" xfId="0" applyNumberFormat="1" applyFont="1" applyFill="1" applyBorder="1" applyAlignment="1">
      <x:alignment horizontal="center" vertical="center" wrapText="0"/>
    </x:xf>
    <x:xf numFmtId="200" fontId="16" fillId="7" borderId="0" xfId="0" applyNumberFormat="1" applyFont="1" applyFill="1" applyBorder="1" applyAlignment="1">
      <x:alignment vertical="center" wrapText="0"/>
    </x:xf>
    <x:xf numFmtId="200" fontId="12" fillId="5" borderId="3" xfId="0" applyNumberFormat="1" applyFont="1" applyFill="1" applyBorder="1" applyAlignment="1">
      <x:alignment horizontal="center" vertical="center" wrapText="0"/>
    </x:xf>
    <x:xf numFmtId="200" fontId="16" fillId="7" borderId="1" xfId="0" applyNumberFormat="1" applyFont="1" applyFill="1" applyBorder="1" applyAlignment="1">
      <x:alignment vertical="center" wrapText="0"/>
    </x:xf>
    <x:xf numFmtId="0" fontId="17" fillId="0" borderId="0" xfId="0" applyNumberFormat="1" applyFont="1" applyFill="1" applyBorder="1"/>
    <x:xf numFmtId="202" fontId="15" fillId="0" borderId="0" xfId="0" applyNumberFormat="1" applyFont="1" applyFill="1" applyBorder="1"/>
    <x:xf numFmtId="0" fontId="13" fillId="8" borderId="0" xfId="0" applyNumberFormat="1" applyFont="1" applyFill="1" applyBorder="1"/>
    <x:xf numFmtId="0" fontId="17" fillId="0" borderId="1" xfId="0" applyNumberFormat="1" applyFont="1" applyFill="1" applyBorder="1"/>
    <x:xf numFmtId="202" fontId="15" fillId="0" borderId="1" xfId="0" applyNumberFormat="1" applyFont="1" applyFill="1" applyBorder="1"/>
    <x:xf numFmtId="0" fontId="13" fillId="8" borderId="1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202" fontId="15" fillId="0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7" fillId="0" borderId="1" xfId="0" applyNumberFormat="1" applyFont="1" applyFill="1" applyBorder="1" applyAlignment="1">
      <x:alignment vertical="center"/>
    </x:xf>
    <x:xf numFmtId="202" fontId="15" fillId="0" borderId="1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 wrapText="0"/>
    </x:xf>
    <x:xf numFmtId="202" fontId="15" fillId="0" borderId="0" xfId="0" applyNumberFormat="1" applyFont="1" applyFill="1" applyBorder="1" applyAlignment="1">
      <x:alignment vertical="center" wrapText="0"/>
    </x:xf>
    <x:xf numFmtId="0" fontId="13" fillId="8" borderId="0" xfId="0" applyNumberFormat="1" applyFont="1" applyFill="1" applyBorder="1" applyAlignment="1">
      <x:alignment vertical="center" wrapText="0"/>
    </x:xf>
    <x:xf numFmtId="0" fontId="17" fillId="0" borderId="1" xfId="0" applyNumberFormat="1" applyFont="1" applyFill="1" applyBorder="1" applyAlignment="1">
      <x:alignment vertical="center" wrapText="0"/>
    </x:xf>
    <x:xf numFmtId="202" fontId="15" fillId="0" borderId="1" xfId="0" applyNumberFormat="1" applyFont="1" applyFill="1" applyBorder="1" applyAlignment="1">
      <x:alignment vertical="center" wrapText="0"/>
    </x:xf>
    <x:xf numFmtId="0" fontId="13" fillId="8" borderId="1" xfId="0" applyNumberFormat="1" applyFont="1" applyFill="1" applyBorder="1" applyAlignment="1">
      <x:alignment vertical="center" wrapText="0"/>
    </x:xf>
    <x:xf numFmtId="0" fontId="12" fillId="5" borderId="0" xfId="0" applyNumberFormat="1" applyFont="1" applyFill="1" applyBorder="1" applyAlignment="1">
      <x:alignment horizontal="center"/>
    </x:xf>
    <x:xf numFmtId="206" fontId="20" fillId="3" borderId="0" xfId="0" applyNumberFormat="1" applyFont="1" applyFill="1" applyBorder="1" applyAlignment="1">
      <x:alignment horizontal="center" vertical="center"/>
    </x:xf>
    <x:xf numFmtId="201" fontId="20" fillId="3" borderId="0" xfId="0" applyNumberFormat="1" applyFont="1" applyFill="1" applyBorder="1" applyAlignment="1">
      <x:alignment horizontal="center" vertical="center"/>
    </x:xf>
    <x:xf numFmtId="200" fontId="20" fillId="3" borderId="0" xfId="0" applyNumberFormat="1" applyFont="1" applyFill="1" applyBorder="1" applyAlignment="1">
      <x:alignment horizontal="center" vertical="center"/>
    </x:xf>
    <x:xf numFmtId="202" fontId="13" fillId="0" borderId="0" xfId="0" applyNumberFormat="1" applyFont="1" applyFill="1" applyBorder="1"/>
    <x:xf numFmtId="205" fontId="20" fillId="3" borderId="0" xfId="0" applyNumberFormat="1" applyFont="1" applyFill="1" applyBorder="1" applyAlignment="1">
      <x:alignment horizontal="center" vertical="center"/>
    </x:xf>
    <x:xf numFmtId="202" fontId="20" fillId="3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wrapText="1"/>
    </x:xf>
    <x:xf numFmtId="205" fontId="17" fillId="0" borderId="0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center"/>
    </x:xf>
    <x:xf numFmtId="206" fontId="20" fillId="3" borderId="1" xfId="0" applyNumberFormat="1" applyFont="1" applyFill="1" applyBorder="1" applyAlignment="1">
      <x:alignment horizontal="center" vertical="center"/>
    </x:xf>
    <x:xf numFmtId="201" fontId="20" fillId="3" borderId="1" xfId="0" applyNumberFormat="1" applyFont="1" applyFill="1" applyBorder="1" applyAlignment="1">
      <x:alignment horizontal="center" vertical="center"/>
    </x:xf>
    <x:xf numFmtId="200" fontId="20" fillId="3" borderId="1" xfId="0" applyNumberFormat="1" applyFont="1" applyFill="1" applyBorder="1" applyAlignment="1">
      <x:alignment horizontal="center" vertical="center"/>
    </x:xf>
    <x:xf numFmtId="202" fontId="13" fillId="0" borderId="1" xfId="0" applyNumberFormat="1" applyFont="1" applyFill="1" applyBorder="1"/>
    <x:xf numFmtId="205" fontId="20" fillId="3" borderId="1" xfId="0" applyNumberFormat="1" applyFont="1" applyFill="1" applyBorder="1" applyAlignment="1">
      <x:alignment horizontal="center" vertical="center"/>
    </x:xf>
    <x:xf numFmtId="202" fontId="20" fillId="3" borderId="1" xfId="0" applyNumberFormat="1" applyFont="1" applyFill="1" applyBorder="1" applyAlignment="1">
      <x:alignment horizontal="center" vertical="center"/>
    </x:xf>
    <x:xf numFmtId="0" fontId="17" fillId="0" borderId="1" xfId="0" applyNumberFormat="1" applyFont="1" applyFill="1" applyBorder="1" applyAlignment="1">
      <x:alignment wrapText="1"/>
    </x:xf>
    <x:xf numFmtId="205" fontId="17" fillId="0" borderId="1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center" vertical="center"/>
    </x:xf>
    <x:xf numFmtId="202" fontId="13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 wrapText="1"/>
    </x:xf>
    <x:xf numFmtId="205" fontId="17" fillId="0" borderId="0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horizontal="center" vertical="center"/>
    </x:xf>
    <x:xf numFmtId="202" fontId="13" fillId="0" borderId="1" xfId="0" applyNumberFormat="1" applyFont="1" applyFill="1" applyBorder="1" applyAlignment="1">
      <x:alignment vertical="center"/>
    </x:xf>
    <x:xf numFmtId="0" fontId="17" fillId="0" borderId="1" xfId="0" applyNumberFormat="1" applyFont="1" applyFill="1" applyBorder="1" applyAlignment="1">
      <x:alignment vertical="center" wrapText="1"/>
    </x:xf>
    <x:xf numFmtId="205" fontId="17" fillId="0" borderId="1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horizontal="center" vertical="center" wrapText="0"/>
    </x:xf>
    <x:xf numFmtId="206" fontId="20" fillId="3" borderId="0" xfId="0" applyNumberFormat="1" applyFont="1" applyFill="1" applyBorder="1" applyAlignment="1">
      <x:alignment horizontal="center" vertical="center" wrapText="0"/>
    </x:xf>
    <x:xf numFmtId="201" fontId="20" fillId="3" borderId="0" xfId="0" applyNumberFormat="1" applyFont="1" applyFill="1" applyBorder="1" applyAlignment="1">
      <x:alignment horizontal="center" vertical="center" wrapText="0"/>
    </x:xf>
    <x:xf numFmtId="200" fontId="20" fillId="3" borderId="0" xfId="0" applyNumberFormat="1" applyFont="1" applyFill="1" applyBorder="1" applyAlignment="1">
      <x:alignment horizontal="center" vertical="center" wrapText="0"/>
    </x:xf>
    <x:xf numFmtId="202" fontId="13" fillId="0" borderId="0" xfId="0" applyNumberFormat="1" applyFont="1" applyFill="1" applyBorder="1" applyAlignment="1">
      <x:alignment vertical="center" wrapText="0"/>
    </x:xf>
    <x:xf numFmtId="205" fontId="20" fillId="3" borderId="0" xfId="0" applyNumberFormat="1" applyFont="1" applyFill="1" applyBorder="1" applyAlignment="1">
      <x:alignment horizontal="center" vertical="center" wrapText="0"/>
    </x:xf>
    <x:xf numFmtId="202" fontId="20" fillId="3" borderId="0" xfId="0" applyNumberFormat="1" applyFont="1" applyFill="1" applyBorder="1" applyAlignment="1">
      <x:alignment horizontal="center" vertical="center" wrapText="0"/>
    </x:xf>
    <x:xf numFmtId="0" fontId="12" fillId="5" borderId="1" xfId="0" applyNumberFormat="1" applyFont="1" applyFill="1" applyBorder="1" applyAlignment="1">
      <x:alignment horizontal="center" vertical="center" wrapText="0"/>
    </x:xf>
    <x:xf numFmtId="206" fontId="20" fillId="3" borderId="1" xfId="0" applyNumberFormat="1" applyFont="1" applyFill="1" applyBorder="1" applyAlignment="1">
      <x:alignment horizontal="center" vertical="center" wrapText="0"/>
    </x:xf>
    <x:xf numFmtId="201" fontId="20" fillId="3" borderId="1" xfId="0" applyNumberFormat="1" applyFont="1" applyFill="1" applyBorder="1" applyAlignment="1">
      <x:alignment horizontal="center" vertical="center" wrapText="0"/>
    </x:xf>
    <x:xf numFmtId="200" fontId="20" fillId="3" borderId="1" xfId="0" applyNumberFormat="1" applyFont="1" applyFill="1" applyBorder="1" applyAlignment="1">
      <x:alignment horizontal="center" vertical="center" wrapText="0"/>
    </x:xf>
    <x:xf numFmtId="202" fontId="13" fillId="0" borderId="1" xfId="0" applyNumberFormat="1" applyFont="1" applyFill="1" applyBorder="1" applyAlignment="1">
      <x:alignment vertical="center" wrapText="0"/>
    </x:xf>
    <x:xf numFmtId="205" fontId="20" fillId="3" borderId="1" xfId="0" applyNumberFormat="1" applyFont="1" applyFill="1" applyBorder="1" applyAlignment="1">
      <x:alignment horizontal="center" vertical="center" wrapText="0"/>
    </x:xf>
    <x:xf numFmtId="202" fontId="20" fillId="3" borderId="1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horizontal="left"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200" fontId="15" fillId="6" borderId="0" xfId="0" applyNumberFormat="1" applyFont="1" applyFill="1" applyBorder="1" applyAlignment="1">
      <x:alignment vertical="center" wrapText="1"/>
    </x:xf>
    <x:xf numFmtId="200" fontId="14" fillId="6" borderId="0" xfId="0" applyNumberFormat="1" applyFont="1" applyFill="1" applyBorder="1" applyAlignment="1">
      <x:alignment vertical="center" wrapText="1"/>
    </x:xf>
    <x:xf numFmtId="201" fontId="15" fillId="0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201" fontId="14" fillId="6" borderId="0" xfId="0" applyNumberFormat="1" applyFont="1" applyFill="1" applyBorder="1" applyAlignment="1">
      <x:alignment vertical="center" wrapText="1"/>
    </x:xf>
    <x:xf numFmtId="202" fontId="14" fillId="0" borderId="0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200" fontId="15" fillId="0" borderId="1" xfId="0" applyNumberFormat="1" applyFont="1" applyFill="1" applyBorder="1" applyAlignment="1">
      <x:alignment vertical="center" wrapText="1"/>
    </x:xf>
    <x:xf numFmtId="200" fontId="14" fillId="0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200" fontId="15" fillId="6" borderId="1" xfId="0" applyNumberFormat="1" applyFont="1" applyFill="1" applyBorder="1" applyAlignment="1">
      <x:alignment vertical="center" wrapText="1"/>
    </x:xf>
    <x:xf numFmtId="200" fontId="14" fillId="6" borderId="1" xfId="0" applyNumberFormat="1" applyFont="1" applyFill="1" applyBorder="1" applyAlignment="1">
      <x:alignment vertical="center" wrapText="1"/>
    </x:xf>
    <x:xf numFmtId="201" fontId="15" fillId="0" borderId="1" xfId="0" applyNumberFormat="1" applyFont="1" applyFill="1" applyBorder="1" applyAlignment="1">
      <x:alignment vertical="center" wrapText="1"/>
    </x:xf>
    <x:xf numFmtId="201" fontId="14" fillId="0" borderId="1" xfId="0" applyNumberFormat="1" applyFont="1" applyFill="1" applyBorder="1" applyAlignment="1">
      <x:alignment vertical="center" wrapText="1"/>
    </x:xf>
    <x:xf numFmtId="201" fontId="14" fillId="6" borderId="1" xfId="0" applyNumberFormat="1" applyFont="1" applyFill="1" applyBorder="1" applyAlignment="1">
      <x:alignment vertical="center" wrapText="1"/>
    </x:xf>
    <x:xf numFmtId="202" fontId="14" fillId="0" borderId="1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203" fontId="13" fillId="0" borderId="1" xfId="0" applyNumberFormat="1" applyFont="1" applyFill="1" applyBorder="1" applyAlignment="1">
      <x:alignment vertical="center" wrapText="1"/>
    </x:xf>
    <x:xf numFmtId="201" fontId="13" fillId="0" borderId="1" xfId="0" applyNumberFormat="1" applyFont="1" applyFill="1" applyBorder="1" applyAlignment="1">
      <x:alignment vertical="center" wrapText="1"/>
    </x:xf>
    <x:xf numFmtId="205" fontId="15" fillId="0" borderId="0" xfId="0" applyNumberFormat="1" applyFont="1" applyFill="1" applyBorder="1" applyAlignment="1">
      <x:alignment vertical="center" wrapText="1"/>
    </x:xf>
    <x:xf numFmtId="202" fontId="15" fillId="0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205" fontId="15" fillId="0" borderId="1" xfId="0" applyNumberFormat="1" applyFont="1" applyFill="1" applyBorder="1" applyAlignment="1">
      <x:alignment vertical="center" wrapText="1"/>
    </x:xf>
    <x:xf numFmtId="202" fontId="15" fillId="0" borderId="1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horizontal="center" vertical="center" wrapText="0"/>
    </x:xf>
    <x:xf numFmtId="0" fontId="4" fillId="5" borderId="0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vertical="center" wrapText="0"/>
    </x:xf>
    <x:xf numFmtId="0" fontId="4" fillId="5" borderId="3" xfId="0" applyNumberFormat="1" applyFont="1" applyFill="1" applyBorder="1" applyAlignment="1">
      <x:alignment horizontal="center"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4" fillId="5" borderId="3" xfId="0" applyNumberFormat="1" applyFont="1" applyFill="1" applyBorder="1" applyAlignment="1">
      <x:alignment vertical="center" wrapText="0"/>
    </x:xf>
    <x:xf numFmtId="0" fontId="4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C94D4D"/>
      </x:font>
      <x:fill>
        <x:patternFill patternType="solid">
          <x:bgColor rgb="FFFBE7E7"/>
        </x:patternFill>
      </x:fill>
    </x:dxf>
    <x:dxf>
      <x:font>
        <x:b/>
        <x:color rgb="FFC88B25"/>
      </x:font>
      <x:fill>
        <x:patternFill patternType="solid">
          <x:bgColor rgb="FFFFF1D5"/>
        </x:patternFill>
      </x:fill>
    </x:dxf>
    <x:dxf>
      <x:font>
        <x:b/>
        <x:color rgb="FF258A61"/>
      </x:font>
      <x:fill>
        <x:patternFill patternType="solid">
          <x:bgColor rgb="FFE3F3EC"/>
        </x:patternFill>
      </x:fill>
    </x:dxf>
    <x:dxf>
      <x:font>
        <x:b/>
        <x:color rgb="FFC94D4D"/>
      </x:font>
      <x:fill>
        <x:patternFill patternType="solid">
          <x:bgColor rgb="FFFBE7E7"/>
        </x:patternFill>
      </x:fill>
    </x:dxf>
    <x:dxf>
      <x:font>
        <x:b/>
        <x:color rgb="FF258A61"/>
      </x:font>
      <x:fill>
        <x:patternFill patternType="solid">
          <x:bgColor rgb="FFE3F3EC"/>
        </x:patternFill>
      </x:fill>
    </x:dxf>
    <x:dxf>
      <x:font>
        <x:b/>
        <x:color rgb="FFC88B25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6809e106b45e2" /><Relationship Type="http://schemas.openxmlformats.org/officeDocument/2006/relationships/theme" Target="/xl/theme/theme1.xml" Id="R985083aefca5437f" /><Relationship Type="http://schemas.openxmlformats.org/officeDocument/2006/relationships/sharedStrings" Target="/xl/sharedStrings.xml" Id="R4ecf1509617a404a" /><Relationship Type="http://schemas.openxmlformats.org/officeDocument/2006/relationships/worksheet" Target="/xl/worksheets/sheet1.xml" Id="R25bb9fcc70ba416d" /><Relationship Type="http://schemas.openxmlformats.org/officeDocument/2006/relationships/worksheet" Target="/xl/worksheets/sheet2.xml" Id="R05396b0c4c9f4ccc" /><Relationship Type="http://schemas.openxmlformats.org/officeDocument/2006/relationships/worksheet" Target="/xl/worksheets/sheet3.xml" Id="R847647a5dff14b6d" /><Relationship Type="http://schemas.openxmlformats.org/officeDocument/2006/relationships/worksheet" Target="/xl/worksheets/sheet4.xml" Id="R9f39ab41a6134012" /><Relationship Type="http://schemas.openxmlformats.org/officeDocument/2006/relationships/worksheet" Target="/xl/worksheets/sheet5.xml" Id="R3110f3536a7c429b" /><Relationship Type="http://schemas.openxmlformats.org/officeDocument/2006/relationships/worksheet" Target="/xl/worksheets/sheet6.xml" Id="R9c94c34352304e03" /><Relationship Type="http://schemas.openxmlformats.org/officeDocument/2006/relationships/worksheet" Target="/xl/worksheets/sheet7.xml" Id="R55cbc09733e04fa2" /><Relationship Type="http://schemas.openxmlformats.org/officeDocument/2006/relationships/worksheet" Target="/xl/worksheets/sheet8.xml" Id="R8f46875d2298407f" /><Relationship Type="http://schemas.openxmlformats.org/officeDocument/2006/relationships/worksheet" Target="/xl/worksheets/sheet9.xml" Id="Rc882bec249ab42df" /><Relationship Type="http://schemas.openxmlformats.org/officeDocument/2006/relationships/worksheet" Target="/xl/worksheets/sheet10.xml" Id="R325e3b925d794ae1" /><Relationship Type="http://schemas.openxmlformats.org/officeDocument/2006/relationships/worksheet" Target="/xl/worksheets/sheet11.xml" Id="R5e670d8490ef43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34cee2aad64a75" /><Relationship Type="http://schemas.openxmlformats.org/officeDocument/2006/relationships/chart" Target="/xl/drawings/charts/chart2.xml" Id="R672b8408951b444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Chiffre d’affaires</c:v>
          </c:tx>
          <c:cat>
            <c:strRef>
              <c:f>'Dashboard'!$N$2:$AK$2</c:f>
              <c:strCache>
                <c:ptCount val="0"/>
              </c:strCache>
            </c:strRef>
          </c:cat>
          <c:val>
            <c:numRef>
              <c:f>'Dashboard'!$N$3:$AK$3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Payouts</c:v>
          </c:tx>
          <c:cat>
            <c:strRef>
              <c:f>'Dashboard'!$N$2:$AK$2</c:f>
              <c:strCache>
                <c:ptCount val="0"/>
              </c:strCache>
            </c:strRef>
          </c:cat>
          <c:val>
            <c:numRef>
              <c:f>'Dashboard'!$N$4:$AK$4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Couverture</c:v>
          </c:tx>
          <c:cat>
            <c:strRef>
              <c:f>'Dashboard'!$N$6:$AK$6</c:f>
              <c:strCache>
                <c:ptCount val="0"/>
              </c:strCache>
            </c:strRef>
          </c:cat>
          <c:val>
            <c:numRef>
              <c:f>'Dashboard'!$N$7:$AK$7</c:f>
              <c:numCache>
                <c:formatCode>0.0x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4cee2aad64a75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2b8408951b44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30a8f81a39f4cd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5" hidden="0" customHeight="1">
      <x:c r="A1" s="402" t="str">
        <x:v>WARIBA — Financial Model v1.0</x:v>
      </x:c>
      <x:c r="B1" s="157"/>
      <x:c r="C1" s="157"/>
      <x:c r="D1" s="157"/>
      <x:c r="E1" s="157"/>
      <x:c r="F1" s="157"/>
      <x:c r="G1" s="157"/>
      <x:c r="H1" s="157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3" t="str">
        <x:v>Modèle interne de planification. Il ne constitue ni une prévision garantie, ni un avis juridique, fiscal ou comptable.</x:v>
      </x:c>
      <x:c r="B2" s="157"/>
      <x:c r="C2" s="157"/>
      <x:c r="D2" s="157"/>
      <x:c r="E2" s="157"/>
      <x:c r="F2" s="157"/>
      <x:c r="G2" s="157"/>
      <x:c r="H2" s="157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57"/>
      <x:c r="B3" s="157"/>
      <x:c r="C3" s="157"/>
      <x:c r="D3" s="157"/>
      <x:c r="E3" s="157"/>
      <x:c r="F3" s="157"/>
      <x:c r="G3" s="157"/>
      <x:c r="H3" s="157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403" t="str">
        <x:v>1. Source de vérité</x:v>
      </x:c>
      <x:c r="B4" s="157"/>
      <x:c r="C4" s="157"/>
      <x:c r="D4" s="157"/>
      <x:c r="E4" s="157"/>
      <x:c r="F4" s="157"/>
      <x:c r="G4" s="157"/>
      <x:c r="H4" s="157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49" t="str">
        <x:v>Élément</x:v>
      </x:c>
      <x:c r="B5" s="149" t="str">
        <x:v>Valeur</x:v>
      </x:c>
      <x:c r="C5" s="157"/>
      <x:c r="D5" s="157"/>
      <x:c r="E5" s="157"/>
      <x:c r="F5" s="157"/>
      <x:c r="G5" s="157"/>
      <x:c r="H5" s="157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57" t="str">
        <x:v>Marque</x:v>
      </x:c>
      <x:c r="B6" s="157" t="str">
        <x:v>WARIBA</x:v>
      </x:c>
      <x:c r="C6" s="157"/>
      <x:c r="D6" s="157"/>
      <x:c r="E6" s="157"/>
      <x:c r="F6" s="157"/>
      <x:c r="G6" s="157"/>
      <x:c r="H6" s="157"/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57" t="str">
        <x:v>Domaine</x:v>
      </x:c>
      <x:c r="B7" s="157" t="str">
        <x:v>wariba.app</x:v>
      </x:c>
      <x:c r="C7" s="157"/>
      <x:c r="D7" s="157"/>
      <x:c r="E7" s="157"/>
      <x:c r="F7" s="157"/>
      <x:c r="G7" s="157"/>
      <x:c r="H7" s="157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57" t="str">
        <x:v>Produit</x:v>
      </x:c>
      <x:c r="B8" s="157" t="str">
        <x:v>WARIBA ONE → WARIBA Performance → WARIBA Review</x:v>
      </x:c>
      <x:c r="C8" s="157"/>
      <x:c r="D8" s="157"/>
      <x:c r="E8" s="157"/>
      <x:c r="F8" s="157"/>
      <x:c r="G8" s="157"/>
      <x:c r="H8" s="157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57" t="str">
        <x:v>État du projet</x:v>
      </x:c>
      <x:c r="B9" s="157" t="str">
        <x:v>Dossier créé, aucun code commencé</x:v>
      </x:c>
      <x:c r="C9" s="157"/>
      <x:c r="D9" s="157"/>
      <x:c r="E9" s="157"/>
      <x:c r="F9" s="157"/>
      <x:c r="G9" s="157"/>
      <x:c r="H9" s="157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57" t="str">
        <x:v>Rulebook</x:v>
      </x:c>
      <x:c r="B10" s="157" t="str">
        <x:v>WARIBA Program Rulebook v1.0</x:v>
      </x:c>
      <x:c r="C10" s="157"/>
      <x:c r="D10" s="157"/>
      <x:c r="E10" s="157"/>
      <x:c r="F10" s="157"/>
      <x:c r="G10" s="157"/>
      <x:c r="H10" s="157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57" t="str">
        <x:v>Statut des prix/caps</x:v>
      </x:c>
      <x:c r="B11" s="157" t="str">
        <x:v>CANDIDATE</x:v>
      </x:c>
      <x:c r="C11" s="157"/>
      <x:c r="D11" s="157"/>
      <x:c r="E11" s="157"/>
      <x:c r="F11" s="157"/>
      <x:c r="G11" s="157"/>
      <x:c r="H11" s="157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57" t="str">
        <x:v>Usage du modèle</x:v>
      </x:c>
      <x:c r="B12" s="157" t="str">
        <x:v>Décider prix, caps, réserve, rythme de vente et gates</x:v>
      </x:c>
      <x:c r="C12" s="157"/>
      <x:c r="D12" s="157"/>
      <x:c r="E12" s="157"/>
      <x:c r="F12" s="157"/>
      <x:c r="G12" s="157"/>
      <x:c r="H12" s="157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57"/>
      <x:c r="B13" s="157"/>
      <x:c r="C13" s="157"/>
      <x:c r="D13" s="157"/>
      <x:c r="E13" s="157"/>
      <x:c r="F13" s="157"/>
      <x:c r="G13" s="157"/>
      <x:c r="H13" s="157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403" t="str">
        <x:v>2. Mode d’emploi</x:v>
      </x:c>
      <x:c r="B14" s="157"/>
      <x:c r="C14" s="157"/>
      <x:c r="D14" s="157"/>
      <x:c r="E14" s="157"/>
      <x:c r="F14" s="157"/>
      <x:c r="G14" s="157"/>
      <x:c r="H14" s="157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49" t="str">
        <x:v>Étape</x:v>
      </x:c>
      <x:c r="B15" s="149" t="str">
        <x:v>Action</x:v>
      </x:c>
      <x:c r="C15" s="157" t="str"/>
      <x:c r="D15" s="157" t="str"/>
      <x:c r="E15" s="157" t="str"/>
      <x:c r="F15" s="157" t="str"/>
      <x:c r="G15" s="157" t="str"/>
      <x:c r="H15" s="157" t="str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57" t="str">
        <x:v>1</x:v>
      </x:c>
      <x:c r="B16" s="157" t="str">
        <x:v>Choisir le scénario actif dans l’onglet Hypothèses.</x:v>
      </x:c>
      <x:c r="C16" s="157" t="str"/>
      <x:c r="D16" s="157" t="str"/>
      <x:c r="E16" s="157" t="str"/>
      <x:c r="F16" s="157" t="str"/>
      <x:c r="G16" s="157" t="str"/>
      <x:c r="H16" s="157" t="str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57" t="str">
        <x:v>2</x:v>
      </x:c>
      <x:c r="B17" s="157" t="str">
        <x:v>Modifier uniquement les cellules en texte bleu.</x:v>
      </x:c>
      <x:c r="C17" s="157" t="str"/>
      <x:c r="D17" s="157" t="str"/>
      <x:c r="E17" s="157" t="str"/>
      <x:c r="F17" s="157" t="str"/>
      <x:c r="G17" s="157" t="str"/>
      <x:c r="H17" s="157" t="str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57" t="str">
        <x:v>3</x:v>
      </x:c>
      <x:c r="B18" s="157" t="str">
        <x:v>Remplacer les hypothèses management par les données de bêta.</x:v>
      </x:c>
      <x:c r="C18" s="157" t="str"/>
      <x:c r="D18" s="157" t="str"/>
      <x:c r="E18" s="157" t="str"/>
      <x:c r="F18" s="157" t="str"/>
      <x:c r="G18" s="157" t="str"/>
      <x:c r="H18" s="157" t="str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57" t="str">
        <x:v>4</x:v>
      </x:c>
      <x:c r="B19" s="157" t="str">
        <x:v>Contrôler le Dashboard, la Cohorte 1000 et les Stress Tests.</x:v>
      </x:c>
      <x:c r="C19" s="157" t="str"/>
      <x:c r="D19" s="157" t="str"/>
      <x:c r="E19" s="157" t="str"/>
      <x:c r="F19" s="157" t="str"/>
      <x:c r="G19" s="157" t="str"/>
      <x:c r="H19" s="157" t="str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57" t="str">
        <x:v>5</x:v>
      </x:c>
      <x:c r="B20" s="157" t="str">
        <x:v>Ne pas figer les prix ou caps tant que le scénario Stress n’est pas soutenable.</x:v>
      </x:c>
      <x:c r="C20" s="157" t="str"/>
      <x:c r="D20" s="157" t="str"/>
      <x:c r="E20" s="157" t="str"/>
      <x:c r="F20" s="157" t="str"/>
      <x:c r="G20" s="157" t="str"/>
      <x:c r="H20" s="157" t="str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57" t="str">
        <x:v>6</x:v>
      </x:c>
      <x:c r="B21" s="157" t="str">
        <x:v>Mettre à jour le Decision Log après toute modification commerciale.</x:v>
      </x:c>
      <x:c r="C21" s="157" t="str"/>
      <x:c r="D21" s="157" t="str"/>
      <x:c r="E21" s="157" t="str"/>
      <x:c r="F21" s="157" t="str"/>
      <x:c r="G21" s="157" t="str"/>
      <x:c r="H21" s="157" t="str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57" t="str">
        <x:v>7</x:v>
      </x:c>
      <x:c r="B22" s="157" t="str">
        <x:v>Conserver une réserve payout séparée de la trésorerie d’exploitation.</x:v>
      </x:c>
      <x:c r="C22" s="157" t="str"/>
      <x:c r="D22" s="157" t="str"/>
      <x:c r="E22" s="157" t="str"/>
      <x:c r="F22" s="157" t="str"/>
      <x:c r="G22" s="157" t="str"/>
      <x:c r="H22" s="157" t="str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57"/>
      <x:c r="B23" s="157"/>
      <x:c r="C23" s="157"/>
      <x:c r="D23" s="157"/>
      <x:c r="E23" s="157"/>
      <x:c r="F23" s="157"/>
      <x:c r="G23" s="157"/>
      <x:c r="H23" s="157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403" t="str">
        <x:v>3. Convention de couleurs</x:v>
      </x:c>
      <x:c r="B24" s="157"/>
      <x:c r="C24" s="157"/>
      <x:c r="D24" s="157"/>
      <x:c r="E24" s="157"/>
      <x:c r="F24" s="157"/>
      <x:c r="G24" s="157"/>
      <x:c r="H24" s="157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49" t="str">
        <x:v>Couleur</x:v>
      </x:c>
      <x:c r="B25" s="149" t="str">
        <x:v>Signification</x:v>
      </x:c>
      <x:c r="C25" s="149" t="str">
        <x:v>Exemple</x:v>
      </x:c>
      <x:c r="D25" s="157"/>
      <x:c r="E25" s="157"/>
      <x:c r="F25" s="157"/>
      <x:c r="G25" s="157"/>
      <x:c r="H25" s="157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57" t="str">
        <x:v>Bleu</x:v>
      </x:c>
      <x:c r="B26" s="157" t="str">
        <x:v>Entrée modifiable</x:v>
      </x:c>
      <x:c r="C26" s="157" t="str">
        <x:v>Taux de réussite</x:v>
      </x:c>
      <x:c r="D26" s="157"/>
      <x:c r="E26" s="157"/>
      <x:c r="F26" s="157"/>
      <x:c r="G26" s="157"/>
      <x:c r="H26" s="157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57" t="str">
        <x:v>Vert</x:v>
      </x:c>
      <x:c r="B27" s="157" t="str">
        <x:v>Lien vers un autre onglet</x:v>
      </x:c>
      <x:c r="C27" s="157" t="str">
        <x:v>Prix moyen pondéré</x:v>
      </x:c>
      <x:c r="D27" s="157"/>
      <x:c r="E27" s="157"/>
      <x:c r="F27" s="157"/>
      <x:c r="G27" s="157"/>
      <x:c r="H27" s="157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57" t="str">
        <x:v>Noir</x:v>
      </x:c>
      <x:c r="B28" s="157" t="str">
        <x:v>Formule locale</x:v>
      </x:c>
      <x:c r="C28" s="157" t="str">
        <x:v>Contribution</x:v>
      </x:c>
      <x:c r="D28" s="157"/>
      <x:c r="E28" s="157"/>
      <x:c r="F28" s="157"/>
      <x:c r="G28" s="157"/>
      <x:c r="H28" s="157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57" t="str">
        <x:v>Fond jaune</x:v>
      </x:c>
      <x:c r="B29" s="157" t="str">
        <x:v>Hypothèse critique à confirmer</x:v>
      </x:c>
      <x:c r="C29" s="157" t="str">
        <x:v>Taxe, PSP, FX</x:v>
      </x:c>
      <x:c r="D29" s="157"/>
      <x:c r="E29" s="157"/>
      <x:c r="F29" s="157"/>
      <x:c r="G29" s="157"/>
      <x:c r="H29" s="157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57" t="str">
        <x:v>Rouge entre parenthèses</x:v>
      </x:c>
      <x:c r="B30" s="157" t="str">
        <x:v>Valeur négative</x:v>
      </x:c>
      <x:c r="C30" s="157" t="str">
        <x:v>Coût ou sortie de trésorerie</x:v>
      </x:c>
      <x:c r="D30" s="157"/>
      <x:c r="E30" s="157"/>
      <x:c r="F30" s="157"/>
      <x:c r="G30" s="157"/>
      <x:c r="H30" s="157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57"/>
      <x:c r="B31" s="157"/>
      <x:c r="C31" s="157"/>
      <x:c r="D31" s="157"/>
      <x:c r="E31" s="157"/>
      <x:c r="F31" s="157"/>
      <x:c r="G31" s="157"/>
      <x:c r="H31" s="157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403" t="str">
        <x:v>4. Lecture des résultats</x:v>
      </x:c>
      <x:c r="B32" s="157"/>
      <x:c r="C32" s="157"/>
      <x:c r="D32" s="157"/>
      <x:c r="E32" s="157"/>
      <x:c r="F32" s="157"/>
      <x:c r="G32" s="157"/>
      <x:c r="H32" s="157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49" t="str">
        <x:v>Indicateur</x:v>
      </x:c>
      <x:c r="B33" s="149" t="str">
        <x:v>Interprétation</x:v>
      </x:c>
      <x:c r="C33" s="157" t="str"/>
      <x:c r="D33" s="157" t="str"/>
      <x:c r="E33" s="157" t="str"/>
      <x:c r="F33" s="157" t="str"/>
      <x:c r="G33" s="157" t="str"/>
      <x:c r="H33" s="157" t="str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57" t="str">
        <x:v>Contribution par achat</x:v>
      </x:c>
      <x:c r="B34" s="157" t="str">
        <x:v>Montant restant après coûts variables et payout attendu, avant OPEX fixe.</x:v>
      </x:c>
      <x:c r="C34" s="157" t="str"/>
      <x:c r="D34" s="157" t="str"/>
      <x:c r="E34" s="157" t="str"/>
      <x:c r="F34" s="157" t="str"/>
      <x:c r="G34" s="157" t="str"/>
      <x:c r="H34" s="157" t="str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57" t="str">
        <x:v>Break-even mensuel</x:v>
      </x:c>
      <x:c r="B35" s="157" t="str">
        <x:v>Nombre d’achats requis pour couvrir l’OPEX fixe.</x:v>
      </x:c>
      <x:c r="C35" s="157" t="str"/>
      <x:c r="D35" s="157" t="str"/>
      <x:c r="E35" s="157" t="str"/>
      <x:c r="F35" s="157" t="str"/>
      <x:c r="G35" s="157" t="str"/>
      <x:c r="H35" s="157" t="str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57" t="str">
        <x:v>Couverture réserve</x:v>
      </x:c>
      <x:c r="B36" s="157" t="str">
        <x:v>Réserve disponible ÷ payouts projetés sur les 30 prochains jours.</x:v>
      </x:c>
      <x:c r="C36" s="157" t="str"/>
      <x:c r="D36" s="157" t="str"/>
      <x:c r="E36" s="157" t="str"/>
      <x:c r="F36" s="157" t="str"/>
      <x:c r="G36" s="157" t="str"/>
      <x:c r="H36" s="157" t="str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57" t="str">
        <x:v>Réserve / 1 000 achats</x:v>
      </x:c>
      <x:c r="B37" s="157" t="str">
        <x:v>Réserve prudentielle à 2,0x pour une cohorte de 1 000 achats.</x:v>
      </x:c>
      <x:c r="C37" s="157" t="str"/>
      <x:c r="D37" s="157" t="str"/>
      <x:c r="E37" s="157" t="str"/>
      <x:c r="F37" s="157" t="str"/>
      <x:c r="G37" s="157" t="str"/>
      <x:c r="H37" s="157" t="str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57" t="str">
        <x:v>25K Gate</x:v>
      </x:c>
      <x:c r="B38" s="157" t="str">
        <x:v>Ouverture du 25K uniquement si couverture et trésorerie respectent les seuils.</x:v>
      </x:c>
      <x:c r="C38" s="157" t="str"/>
      <x:c r="D38" s="157" t="str"/>
      <x:c r="E38" s="157" t="str"/>
      <x:c r="F38" s="157" t="str"/>
      <x:c r="G38" s="157" t="str"/>
      <x:c r="H38" s="157" t="str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57" t="str">
        <x:v>Max safe sales</x:v>
      </x:c>
      <x:c r="B39" s="157" t="str">
        <x:v>Volume conservateur supportable par la réserve actuelle.</x:v>
      </x:c>
      <x:c r="C39" s="157" t="str"/>
      <x:c r="D39" s="157" t="str"/>
      <x:c r="E39" s="157" t="str"/>
      <x:c r="F39" s="157" t="str"/>
      <x:c r="G39" s="157" t="str"/>
      <x:c r="H39" s="157" t="str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57"/>
      <x:c r="B40" s="157"/>
      <x:c r="C40" s="157"/>
      <x:c r="D40" s="157"/>
      <x:c r="E40" s="157"/>
      <x:c r="F40" s="157"/>
      <x:c r="G40" s="157"/>
      <x:c r="H40" s="157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57"/>
      <x:c r="B41" s="157"/>
      <x:c r="C41" s="157"/>
      <x:c r="D41" s="157"/>
      <x:c r="E41" s="157"/>
      <x:c r="F41" s="157"/>
      <x:c r="G41" s="157"/>
      <x:c r="H41" s="157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57"/>
      <x:c r="B42" s="157"/>
      <x:c r="C42" s="157"/>
      <x:c r="D42" s="157"/>
      <x:c r="E42" s="157"/>
      <x:c r="F42" s="157"/>
      <x:c r="G42" s="157"/>
      <x:c r="H42" s="157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57"/>
      <x:c r="B43" s="157"/>
      <x:c r="C43" s="157"/>
      <x:c r="D43" s="157"/>
      <x:c r="E43" s="157"/>
      <x:c r="F43" s="157"/>
      <x:c r="G43" s="157"/>
      <x:c r="H43" s="157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57"/>
      <x:c r="B44" s="157"/>
      <x:c r="C44" s="157"/>
      <x:c r="D44" s="157"/>
      <x:c r="E44" s="157"/>
      <x:c r="F44" s="157"/>
      <x:c r="G44" s="157"/>
      <x:c r="H44" s="157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57"/>
      <x:c r="B45" s="157"/>
      <x:c r="C45" s="157"/>
      <x:c r="D45" s="157"/>
      <x:c r="E45" s="157"/>
      <x:c r="F45" s="157"/>
      <x:c r="G45" s="157"/>
      <x:c r="H45" s="157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57"/>
      <x:c r="B46" s="157"/>
      <x:c r="C46" s="157"/>
      <x:c r="D46" s="157"/>
      <x:c r="E46" s="157"/>
      <x:c r="F46" s="157"/>
      <x:c r="G46" s="157"/>
      <x:c r="H46" s="157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57"/>
      <x:c r="B47" s="157"/>
      <x:c r="C47" s="157"/>
      <x:c r="D47" s="157"/>
      <x:c r="E47" s="157"/>
      <x:c r="F47" s="157"/>
      <x:c r="G47" s="157"/>
      <x:c r="H47" s="157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57"/>
      <x:c r="B48" s="157"/>
      <x:c r="C48" s="157"/>
      <x:c r="D48" s="157"/>
      <x:c r="E48" s="157"/>
      <x:c r="F48" s="157"/>
      <x:c r="G48" s="157"/>
      <x:c r="H48" s="157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57"/>
      <x:c r="B49" s="157"/>
      <x:c r="C49" s="157"/>
      <x:c r="D49" s="157"/>
      <x:c r="E49" s="157"/>
      <x:c r="F49" s="157"/>
      <x:c r="G49" s="157"/>
      <x:c r="H49" s="157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57"/>
      <x:c r="B50" s="157"/>
      <x:c r="C50" s="157"/>
      <x:c r="D50" s="157"/>
      <x:c r="E50" s="157"/>
      <x:c r="F50" s="157"/>
      <x:c r="G50" s="157"/>
      <x:c r="H50" s="157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H1"/>
    <x:mergeCell ref="A2:H2"/>
    <x:mergeCell ref="A4:H4"/>
    <x:mergeCell ref="A14:H14"/>
    <x:mergeCell ref="A24:H24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36" hidden="0" customWidth="1"/>
  </x:cols>
  <x:sheetData>
    <x:row r="1" ht="15" hidden="0" customHeight="1">
      <x:c r="A1" s="402" t="str">
        <x:v>WARIBA — Hypothèses et scénarios</x:v>
      </x:c>
      <x:c r="B1" s="157"/>
      <x:c r="C1" s="157"/>
      <x:c r="D1" s="157"/>
      <x:c r="E1" s="157"/>
      <x:c r="F1" s="157"/>
      <x:c r="G1" s="157"/>
      <x:c r="H1" s="157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3" t="str">
        <x:v>Les valeurs sont des hypothèses de travail. Les cellules bleues doivent être remplacées progressivement par les données de bêta et les devis fournisseurs.</x:v>
      </x:c>
      <x:c r="B2" s="157"/>
      <x:c r="C2" s="157"/>
      <x:c r="D2" s="157"/>
      <x:c r="E2" s="157"/>
      <x:c r="F2" s="157"/>
      <x:c r="G2" s="157"/>
      <x:c r="H2" s="157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57" t="str">
        <x:v>Scénario actif</x:v>
      </x:c>
      <x:c r="B3" s="406" t="str">
        <x:v>Base</x:v>
      </x:c>
      <x:c r="C3" s="157"/>
      <x:c r="D3" s="157"/>
      <x:c r="E3" s="157"/>
      <x:c r="F3" s="157"/>
      <x:c r="G3" s="157"/>
      <x:c r="H3" s="157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57"/>
      <x:c r="B4" s="157"/>
      <x:c r="C4" s="157"/>
      <x:c r="D4" s="157"/>
      <x:c r="E4" s="157"/>
      <x:c r="F4" s="157"/>
      <x:c r="G4" s="157"/>
      <x:c r="H4" s="157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403" t="str">
        <x:v>A. Hypothèses économiques</x:v>
      </x:c>
      <x:c r="B5" s="157"/>
      <x:c r="C5" s="157"/>
      <x:c r="D5" s="157"/>
      <x:c r="E5" s="157"/>
      <x:c r="F5" s="157"/>
      <x:c r="G5" s="157"/>
      <x:c r="H5" s="157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49" t="str">
        <x:v>Hypothèse</x:v>
      </x:c>
      <x:c r="B6" s="149" t="str">
        <x:v>Valeur active</x:v>
      </x:c>
      <x:c r="C6" s="149" t="str">
        <x:v>Unité</x:v>
      </x:c>
      <x:c r="D6" s="149" t="str">
        <x:v>Source / statut</x:v>
      </x:c>
      <x:c r="E6" s="149" t="str">
        <x:v>Base</x:v>
      </x:c>
      <x:c r="F6" s="149" t="str">
        <x:v>Upside</x:v>
      </x:c>
      <x:c r="G6" s="149" t="str">
        <x:v>Stress</x:v>
      </x:c>
      <x:c r="H6" s="149" t="str">
        <x:v>Commentaire</x:v>
      </x:c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57" t="str">
        <x:v>Taux de réussite de l’évaluation</x:v>
      </x:c>
      <x:c r="B7" s="407" t="n">
        <x:f>IF($B$3="Base",E7,IF($B$3="Upside",F7,G7))</x:f>
        <x:v>0.08</x:v>
      </x:c>
      <x:c r="C7" s="157" t="str">
        <x:v>% achats</x:v>
      </x:c>
      <x:c r="D7" s="157" t="str">
        <x:v>Management — à calibrer</x:v>
      </x:c>
      <x:c r="E7" s="408" t="n">
        <x:v>0.08</x:v>
      </x:c>
      <x:c r="F7" s="408" t="n">
        <x:v>0.05</x:v>
      </x:c>
      <x:c r="G7" s="408" t="n">
        <x:v>0.14</x:v>
      </x:c>
      <x:c r="H7" s="157" t="str">
        <x:v>Plus le taux augmente, plus la charge payout future augmente.</x:v>
      </x:c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57" t="str">
        <x:v>Accès au payout #1 après passage</x:v>
      </x:c>
      <x:c r="B8" s="407" t="n">
        <x:f>IF($B$3="Base",E8,IF($B$3="Upside",F8,G8))</x:f>
        <x:v>0.35</x:v>
      </x:c>
      <x:c r="C8" s="157" t="str">
        <x:v>% passés</x:v>
      </x:c>
      <x:c r="D8" s="157" t="str">
        <x:v>Management — à calibrer</x:v>
      </x:c>
      <x:c r="E8" s="408" t="n">
        <x:v>0.35</x:v>
      </x:c>
      <x:c r="F8" s="408" t="n">
        <x:v>0.25</x:v>
      </x:c>
      <x:c r="G8" s="408" t="n">
        <x:v>0.5</x:v>
      </x:c>
      <x:c r="H8" s="157" t="str">
        <x:v>Part des comptes Performance atteignant le premier payout.</x:v>
      </x:c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57" t="str">
        <x:v>Transition payout #1 → #2</x:v>
      </x:c>
      <x:c r="B9" s="407" t="n">
        <x:f>IF($B$3="Base",E9,IF($B$3="Upside",F9,G9))</x:f>
        <x:v>0.55</x:v>
      </x:c>
      <x:c r="C9" s="157" t="str">
        <x:v>%</x:v>
      </x:c>
      <x:c r="D9" s="157" t="str">
        <x:v>Management — à calibrer</x:v>
      </x:c>
      <x:c r="E9" s="408" t="n">
        <x:v>0.55</x:v>
      </x:c>
      <x:c r="F9" s="408" t="n">
        <x:v>0.45</x:v>
      </x:c>
      <x:c r="G9" s="408" t="n">
        <x:v>0.65</x:v>
      </x:c>
      <x:c r="H9" s="157" t="str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57" t="str">
        <x:v>Transition payout #2 → #3</x:v>
      </x:c>
      <x:c r="B10" s="407" t="n">
        <x:f>IF($B$3="Base",E10,IF($B$3="Upside",F10,G10))</x:f>
        <x:v>0.5</x:v>
      </x:c>
      <x:c r="C10" s="157" t="str">
        <x:v>%</x:v>
      </x:c>
      <x:c r="D10" s="157" t="str">
        <x:v>Management — à calibrer</x:v>
      </x:c>
      <x:c r="E10" s="408" t="n">
        <x:v>0.5</x:v>
      </x:c>
      <x:c r="F10" s="408" t="n">
        <x:v>0.4</x:v>
      </x:c>
      <x:c r="G10" s="408" t="n">
        <x:v>0.6</x:v>
      </x:c>
      <x:c r="H10" s="157" t="str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57" t="str">
        <x:v>Transition payout #3 → #4</x:v>
      </x:c>
      <x:c r="B11" s="407" t="n">
        <x:f>IF($B$3="Base",E11,IF($B$3="Upside",F11,G11))</x:f>
        <x:v>0.45</x:v>
      </x:c>
      <x:c r="C11" s="157" t="str">
        <x:v>%</x:v>
      </x:c>
      <x:c r="D11" s="157" t="str">
        <x:v>Management — à calibrer</x:v>
      </x:c>
      <x:c r="E11" s="408" t="n">
        <x:v>0.45</x:v>
      </x:c>
      <x:c r="F11" s="408" t="n">
        <x:v>0.35</x:v>
      </x:c>
      <x:c r="G11" s="408" t="n">
        <x:v>0.55</x:v>
      </x:c>
      <x:c r="H11" s="157" t="str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57" t="str">
        <x:v>Transition payout #4 → #5</x:v>
      </x:c>
      <x:c r="B12" s="407" t="n">
        <x:f>IF($B$3="Base",E12,IF($B$3="Upside",F12,G12))</x:f>
        <x:v>0.4</x:v>
      </x:c>
      <x:c r="C12" s="157" t="str">
        <x:v>%</x:v>
      </x:c>
      <x:c r="D12" s="157" t="str">
        <x:v>Management — à calibrer</x:v>
      </x:c>
      <x:c r="E12" s="408" t="n">
        <x:v>0.4</x:v>
      </x:c>
      <x:c r="F12" s="408" t="n">
        <x:v>0.3</x:v>
      </x:c>
      <x:c r="G12" s="408" t="n">
        <x:v>0.5</x:v>
      </x:c>
      <x:c r="H12" s="157" t="str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57" t="str">
        <x:v>Utilisation moyenne des caps</x:v>
      </x:c>
      <x:c r="B13" s="407" t="n">
        <x:f>IF($B$3="Base",E13,IF($B$3="Upside",F13,G13))</x:f>
        <x:v>0.7</x:v>
      </x:c>
      <x:c r="C13" s="157" t="str">
        <x:v>% cap</x:v>
      </x:c>
      <x:c r="D13" s="157" t="str">
        <x:v>Management — à calibrer</x:v>
      </x:c>
      <x:c r="E13" s="408" t="n">
        <x:v>0.7</x:v>
      </x:c>
      <x:c r="F13" s="408" t="n">
        <x:v>0.55</x:v>
      </x:c>
      <x:c r="G13" s="408" t="n">
        <x:v>0.9</x:v>
      </x:c>
      <x:c r="H13" s="157" t="str">
        <x:v>Payout Base moyen en % du cap applicable.</x:v>
      </x:c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57" t="str">
        <x:v>Remboursements / chargebacks</x:v>
      </x:c>
      <x:c r="B14" s="407" t="n">
        <x:f>IF($B$3="Base",E14,IF($B$3="Upside",F14,G14))</x:f>
        <x:v>0.015</x:v>
      </x:c>
      <x:c r="C14" s="157" t="str">
        <x:v>% CA</x:v>
      </x:c>
      <x:c r="D14" s="157" t="str">
        <x:v>PSP réel requis</x:v>
      </x:c>
      <x:c r="E14" s="408" t="n">
        <x:v>0.015</x:v>
      </x:c>
      <x:c r="F14" s="408" t="n">
        <x:v>0.01</x:v>
      </x:c>
      <x:c r="G14" s="408" t="n">
        <x:v>0.03</x:v>
      </x:c>
      <x:c r="H14" s="157" t="str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409" t="str">
        <x:v>Frais PSP encaissement</x:v>
      </x:c>
      <x:c r="B15" s="410" t="n">
        <x:f>IF($B$3="Base",E15,IF($B$3="Upside",F15,G15))</x:f>
        <x:v>0.035</x:v>
      </x:c>
      <x:c r="C15" s="409" t="str">
        <x:v>% encaissement</x:v>
      </x:c>
      <x:c r="D15" s="409" t="str">
        <x:v>Devis PSP requis</x:v>
      </x:c>
      <x:c r="E15" s="411" t="n">
        <x:v>0.035</x:v>
      </x:c>
      <x:c r="F15" s="411" t="n">
        <x:v>0.03</x:v>
      </x:c>
      <x:c r="G15" s="411" t="n">
        <x:v>0.045</x:v>
      </x:c>
      <x:c r="H15" s="409" t="str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57" t="str">
        <x:v>CAC moyen par nouvel acheteur</x:v>
      </x:c>
      <x:c r="B16" s="412" t="n">
        <x:f>IF($B$3="Base",E16,IF($B$3="Upside",F16,G16))</x:f>
        <x:v>4500</x:v>
      </x:c>
      <x:c r="C16" s="157" t="str">
        <x:v>FCFA</x:v>
      </x:c>
      <x:c r="D16" s="157" t="str">
        <x:v>Management — à calibrer</x:v>
      </x:c>
      <x:c r="E16" s="413" t="n">
        <x:v>4500</x:v>
      </x:c>
      <x:c r="F16" s="413" t="n">
        <x:v>3500</x:v>
      </x:c>
      <x:c r="G16" s="413" t="n">
        <x:v>7000</x:v>
      </x:c>
      <x:c r="H16" s="157" t="str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57" t="str">
        <x:v>Support variable par achat</x:v>
      </x:c>
      <x:c r="B17" s="412" t="n">
        <x:f>IF($B$3="Base",E17,IF($B$3="Upside",F17,G17))</x:f>
        <x:v>700</x:v>
      </x:c>
      <x:c r="C17" s="157" t="str">
        <x:v>FCFA</x:v>
      </x:c>
      <x:c r="D17" s="157" t="str">
        <x:v>Management — à calibrer</x:v>
      </x:c>
      <x:c r="E17" s="413" t="n">
        <x:v>700</x:v>
      </x:c>
      <x:c r="F17" s="413" t="n">
        <x:v>500</x:v>
      </x:c>
      <x:c r="G17" s="413" t="n">
        <x:v>1000</x:v>
      </x:c>
      <x:c r="H17" s="157" t="str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57" t="str">
        <x:v>KYC / contrôle par compte réussi</x:v>
      </x:c>
      <x:c r="B18" s="412" t="n">
        <x:f>IF($B$3="Base",E18,IF($B$3="Upside",F18,G18))</x:f>
        <x:v>2000</x:v>
      </x:c>
      <x:c r="C18" s="157" t="str">
        <x:v>FCFA</x:v>
      </x:c>
      <x:c r="D18" s="157" t="str">
        <x:v>Devis fournisseur requis</x:v>
      </x:c>
      <x:c r="E18" s="413" t="n">
        <x:v>2000</x:v>
      </x:c>
      <x:c r="F18" s="413" t="n">
        <x:v>1500</x:v>
      </x:c>
      <x:c r="G18" s="413" t="n">
        <x:v>3000</x:v>
      </x:c>
      <x:c r="H18" s="157" t="str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409" t="str">
        <x:v>Frais de transfert payout</x:v>
      </x:c>
      <x:c r="B19" s="410" t="n">
        <x:f>IF($B$3="Base",E19,IF($B$3="Upside",F19,G19))</x:f>
        <x:v>0.02</x:v>
      </x:c>
      <x:c r="C19" s="409" t="str">
        <x:v>% trader cash</x:v>
      </x:c>
      <x:c r="D19" s="409" t="str">
        <x:v>Devis rail payout requis</x:v>
      </x:c>
      <x:c r="E19" s="411" t="n">
        <x:v>0.02</x:v>
      </x:c>
      <x:c r="F19" s="411" t="n">
        <x:v>0.015</x:v>
      </x:c>
      <x:c r="G19" s="411" t="n">
        <x:v>0.03</x:v>
      </x:c>
      <x:c r="H19" s="409" t="str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57" t="str">
        <x:v>Pertes fraude / paiement</x:v>
      </x:c>
      <x:c r="B20" s="407" t="n">
        <x:f>IF($B$3="Base",E20,IF($B$3="Upside",F20,G20))</x:f>
        <x:v>0.005</x:v>
      </x:c>
      <x:c r="C20" s="157" t="str">
        <x:v>% CA</x:v>
      </x:c>
      <x:c r="D20" s="157" t="str">
        <x:v>Management — à calibrer</x:v>
      </x:c>
      <x:c r="E20" s="408" t="n">
        <x:v>0.005</x:v>
      </x:c>
      <x:c r="F20" s="408" t="n">
        <x:v>0.002</x:v>
      </x:c>
      <x:c r="G20" s="408" t="n">
        <x:v>0.015</x:v>
      </x:c>
      <x:c r="H20" s="157" t="str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57" t="str">
        <x:v>Commission affiliation</x:v>
      </x:c>
      <x:c r="B21" s="407" t="n">
        <x:f>IF($B$3="Base",E21,IF($B$3="Upside",F21,G21))</x:f>
        <x:v>0</x:v>
      </x:c>
      <x:c r="C21" s="157" t="str">
        <x:v>% CA</x:v>
      </x:c>
      <x:c r="D21" s="157" t="str">
        <x:v>Affiliation différée V1</x:v>
      </x:c>
      <x:c r="E21" s="408" t="n">
        <x:v>0</x:v>
      </x:c>
      <x:c r="F21" s="408" t="n">
        <x:v>0</x:v>
      </x:c>
      <x:c r="G21" s="408" t="n">
        <x:v>0</x:v>
      </x:c>
      <x:c r="H21" s="157" t="str">
        <x:v>Mettre à jour uniquement après preuve opérationnelle.</x:v>
      </x:c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57" t="str">
        <x:v>Repurchase mensuel</x:v>
      </x:c>
      <x:c r="B22" s="407" t="n">
        <x:f>IF($B$3="Base",E22,IF($B$3="Upside",F22,G22))</x:f>
        <x:v>0.25</x:v>
      </x:c>
      <x:c r="C22" s="157" t="str">
        <x:v>% achats mois précédent échoués</x:v>
      </x:c>
      <x:c r="D22" s="157" t="str">
        <x:v>Management — à calibrer</x:v>
      </x:c>
      <x:c r="E22" s="408" t="n">
        <x:v>0.25</x:v>
      </x:c>
      <x:c r="F22" s="408" t="n">
        <x:v>0.15</x:v>
      </x:c>
      <x:c r="G22" s="408" t="n">
        <x:v>0.4</x:v>
      </x:c>
      <x:c r="H22" s="157" t="str">
        <x:v>Le modèle ne doit pas dépendre des échecs répétés.</x:v>
      </x:c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57" t="str">
        <x:v>Part des encaissements versée en réserve</x:v>
      </x:c>
      <x:c r="B23" s="407" t="n">
        <x:f>IF($B$3="Base",E23,IF($B$3="Upside",F23,G23))</x:f>
        <x:v>0.35</x:v>
      </x:c>
      <x:c r="C23" s="157" t="str">
        <x:v>% cash net</x:v>
      </x:c>
      <x:c r="D23" s="157" t="str">
        <x:v>Politique trésorerie</x:v>
      </x:c>
      <x:c r="E23" s="408" t="n">
        <x:v>0.35</x:v>
      </x:c>
      <x:c r="F23" s="408" t="n">
        <x:v>0.3</x:v>
      </x:c>
      <x:c r="G23" s="408" t="n">
        <x:v>0.45</x:v>
      </x:c>
      <x:c r="H23" s="157" t="str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57" t="str">
        <x:v>OPEX fixe mensuel</x:v>
      </x:c>
      <x:c r="B24" s="412" t="n">
        <x:f>IF($B$3="Base",E24,IF($B$3="Upside",F24,G24))</x:f>
        <x:v>900000</x:v>
      </x:c>
      <x:c r="C24" s="157" t="str">
        <x:v>FCFA / mois</x:v>
      </x:c>
      <x:c r="D24" s="157" t="str">
        <x:v>Infra + équipe + données + juridique</x:v>
      </x:c>
      <x:c r="E24" s="413" t="n">
        <x:v>900000</x:v>
      </x:c>
      <x:c r="F24" s="413" t="n">
        <x:v>700000</x:v>
      </x:c>
      <x:c r="G24" s="413" t="n">
        <x:v>1300000</x:v>
      </x:c>
      <x:c r="H24" s="157" t="str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409" t="str">
        <x:v>Provision fiscale</x:v>
      </x:c>
      <x:c r="B25" s="410" t="n">
        <x:f>IF($B$3="Base",E25,IF($B$3="Upside",F25,G25))</x:f>
        <x:v>0</x:v>
      </x:c>
      <x:c r="C25" s="409" t="str">
        <x:v>% CA</x:v>
      </x:c>
      <x:c r="D25" s="409" t="str">
        <x:v>À confirmer par conseil fiscal</x:v>
      </x:c>
      <x:c r="E25" s="411" t="n">
        <x:v>0</x:v>
      </x:c>
      <x:c r="F25" s="411" t="n">
        <x:v>0</x:v>
      </x:c>
      <x:c r="G25" s="411" t="n">
        <x:v>0.05</x:v>
      </x:c>
      <x:c r="H25" s="409" t="str">
        <x:v>Hypothèse critique — ne pas interpréter comme avis fiscal.</x:v>
      </x:c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57"/>
      <x:c r="B26" s="157"/>
      <x:c r="C26" s="157"/>
      <x:c r="D26" s="157"/>
      <x:c r="E26" s="157"/>
      <x:c r="F26" s="157"/>
      <x:c r="G26" s="157"/>
      <x:c r="H26" s="157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57"/>
      <x:c r="B27" s="157"/>
      <x:c r="C27" s="157"/>
      <x:c r="D27" s="157"/>
      <x:c r="E27" s="157"/>
      <x:c r="F27" s="157"/>
      <x:c r="G27" s="157"/>
      <x:c r="H27" s="157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403" t="str">
        <x:v>B. Produits, prix et caps</x:v>
      </x:c>
      <x:c r="B28" s="157"/>
      <x:c r="C28" s="157"/>
      <x:c r="D28" s="157"/>
      <x:c r="E28" s="157"/>
      <x:c r="F28" s="157"/>
      <x:c r="G28" s="157"/>
      <x:c r="H28" s="157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49" t="str">
        <x:v>Compte</x:v>
      </x:c>
      <x:c r="B29" s="149" t="str">
        <x:v>Prix (FCFA)</x:v>
      </x:c>
      <x:c r="C29" s="149" t="str">
        <x:v>Mix ventes</x:v>
      </x:c>
      <x:c r="D29" s="149" t="str">
        <x:v>Statut</x:v>
      </x:c>
      <x:c r="E29" s="149" t="str">
        <x:v>Cap P1–P2 (USD)</x:v>
      </x:c>
      <x:c r="F29" s="149" t="str">
        <x:v>Cap P3–P4 (USD)</x:v>
      </x:c>
      <x:c r="G29" s="149" t="str">
        <x:v>Cap P5 (USD)</x:v>
      </x:c>
      <x:c r="H29" s="149" t="str">
        <x:v>Nominal (USD)</x:v>
      </x:c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57" t="str">
        <x:v>5K</x:v>
      </x:c>
      <x:c r="B30" s="413" t="n">
        <x:v>14900</x:v>
      </x:c>
      <x:c r="C30" s="408" t="n">
        <x:v>0.45</x:v>
      </x:c>
      <x:c r="D30" s="157" t="str">
        <x:v>CANDIDATE</x:v>
      </x:c>
      <x:c r="E30" s="413" t="n">
        <x:v>100</x:v>
      </x:c>
      <x:c r="F30" s="413" t="n">
        <x:v>150</x:v>
      </x:c>
      <x:c r="G30" s="413" t="n">
        <x:v>250</x:v>
      </x:c>
      <x:c r="H30" s="413" t="n">
        <x:v>5000</x:v>
      </x:c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57" t="str">
        <x:v>10K</x:v>
      </x:c>
      <x:c r="B31" s="413" t="n">
        <x:v>27900</x:v>
      </x:c>
      <x:c r="C31" s="408" t="n">
        <x:v>0.45</x:v>
      </x:c>
      <x:c r="D31" s="157" t="str">
        <x:v>CANDIDATE — principal</x:v>
      </x:c>
      <x:c r="E31" s="413" t="n">
        <x:v>200</x:v>
      </x:c>
      <x:c r="F31" s="413" t="n">
        <x:v>300</x:v>
      </x:c>
      <x:c r="G31" s="413" t="n">
        <x:v>500</x:v>
      </x:c>
      <x:c r="H31" s="413" t="n">
        <x:v>10000</x:v>
      </x:c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57" t="str">
        <x:v>25K</x:v>
      </x:c>
      <x:c r="B32" s="413" t="n">
        <x:v>59900</x:v>
      </x:c>
      <x:c r="C32" s="408" t="n">
        <x:v>0.1</x:v>
      </x:c>
      <x:c r="D32" s="157" t="str">
        <x:v>EXPERIMENT</x:v>
      </x:c>
      <x:c r="E32" s="413" t="n">
        <x:v>400</x:v>
      </x:c>
      <x:c r="F32" s="413" t="n">
        <x:v>600</x:v>
      </x:c>
      <x:c r="G32" s="413" t="n">
        <x:v>1000</x:v>
      </x:c>
      <x:c r="H32" s="413" t="n">
        <x:v>25000</x:v>
      </x:c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57"/>
      <x:c r="B33" s="157"/>
      <x:c r="C33" s="157"/>
      <x:c r="D33" s="157"/>
      <x:c r="E33" s="157"/>
      <x:c r="F33" s="157"/>
      <x:c r="G33" s="157"/>
      <x:c r="H33" s="157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49" t="str">
        <x:v>Hypothèse</x:v>
      </x:c>
      <x:c r="B34" s="149" t="str">
        <x:v>Valeur</x:v>
      </x:c>
      <x:c r="C34" s="149" t="str">
        <x:v>Unité</x:v>
      </x:c>
      <x:c r="D34" s="149" t="str">
        <x:v>Source / statut</x:v>
      </x:c>
      <x:c r="E34" s="157"/>
      <x:c r="F34" s="157"/>
      <x:c r="G34" s="157"/>
      <x:c r="H34" s="157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409" t="str">
        <x:v>Taux de change FCFA / USD</x:v>
      </x:c>
      <x:c r="B35" s="414" t="n">
        <x:v>600</x:v>
      </x:c>
      <x:c r="C35" s="409" t="str">
        <x:v>FCFA par USD</x:v>
      </x:c>
      <x:c r="D35" s="409" t="str">
        <x:v>Hypothèse arrondie — mise à jour obligatoire</x:v>
      </x:c>
      <x:c r="E35" s="157"/>
      <x:c r="F35" s="157"/>
      <x:c r="G35" s="157"/>
      <x:c r="H35" s="157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57" t="str">
        <x:v>Trésorerie d’exploitation initiale</x:v>
      </x:c>
      <x:c r="B36" s="413" t="n">
        <x:v>1000000</x:v>
      </x:c>
      <x:c r="C36" s="157" t="str">
        <x:v>FCFA</x:v>
      </x:c>
      <x:c r="D36" s="157" t="str">
        <x:v>Management</x:v>
      </x:c>
      <x:c r="E36" s="157"/>
      <x:c r="F36" s="157"/>
      <x:c r="G36" s="157"/>
      <x:c r="H36" s="157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57" t="str">
        <x:v>Réserve payout initiale</x:v>
      </x:c>
      <x:c r="B37" s="413" t="n">
        <x:v>2000000</x:v>
      </x:c>
      <x:c r="C37" s="157" t="str">
        <x:v>FCFA</x:v>
      </x:c>
      <x:c r="D37" s="157" t="str">
        <x:v>Management</x:v>
      </x:c>
      <x:c r="E37" s="157"/>
      <x:c r="F37" s="157"/>
      <x:c r="G37" s="157"/>
      <x:c r="H37" s="157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57" t="str">
        <x:v>Couverture cible</x:v>
      </x:c>
      <x:c r="B38" s="415" t="n">
        <x:v>2</x:v>
      </x:c>
      <x:c r="C38" s="157" t="str">
        <x:v>x payouts 30j</x:v>
      </x:c>
      <x:c r="D38" s="157" t="str">
        <x:v>Rulebook v1.0</x:v>
      </x:c>
      <x:c r="E38" s="157"/>
      <x:c r="F38" s="157"/>
      <x:c r="G38" s="157"/>
      <x:c r="H38" s="157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57"/>
      <x:c r="B39" s="157"/>
      <x:c r="C39" s="157"/>
      <x:c r="D39" s="157"/>
      <x:c r="E39" s="157"/>
      <x:c r="F39" s="157"/>
      <x:c r="G39" s="157"/>
      <x:c r="H39" s="157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57"/>
      <x:c r="B40" s="157"/>
      <x:c r="C40" s="157"/>
      <x:c r="D40" s="157"/>
      <x:c r="E40" s="157"/>
      <x:c r="F40" s="157"/>
      <x:c r="G40" s="157"/>
      <x:c r="H40" s="157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403" t="str">
        <x:v>C. Nouveaux acheteurs mensuels — scénario de lancement</x:v>
      </x:c>
      <x:c r="B41" s="157"/>
      <x:c r="C41" s="157"/>
      <x:c r="D41" s="157"/>
      <x:c r="E41" s="157"/>
      <x:c r="F41" s="157"/>
      <x:c r="G41" s="157"/>
      <x:c r="H41" s="157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49" t="str">
        <x:v>Mois</x:v>
      </x:c>
      <x:c r="B42" s="149" t="str">
        <x:v>M1</x:v>
      </x:c>
      <x:c r="C42" s="149" t="str">
        <x:v>M2</x:v>
      </x:c>
      <x:c r="D42" s="149" t="str">
        <x:v>M3</x:v>
      </x:c>
      <x:c r="E42" s="149" t="str">
        <x:v>M4</x:v>
      </x:c>
      <x:c r="F42" s="149" t="str">
        <x:v>M5</x:v>
      </x:c>
      <x:c r="G42" s="149" t="str">
        <x:v>M6</x:v>
      </x:c>
      <x:c r="H42" s="149" t="str">
        <x:v>M7</x:v>
      </x:c>
      <x:c r="I42" s="164" t="str">
        <x:v>M8</x:v>
      </x:c>
      <x:c r="J42" s="164" t="str">
        <x:v>M9</x:v>
      </x:c>
      <x:c r="K42" s="164" t="str">
        <x:v>M10</x:v>
      </x:c>
      <x:c r="L42" s="164" t="str">
        <x:v>M11</x:v>
      </x:c>
      <x:c r="M42" s="164" t="str">
        <x:v>M12</x:v>
      </x:c>
      <x:c r="N42" s="164" t="str">
        <x:v>M13</x:v>
      </x:c>
      <x:c r="O42" s="164" t="str">
        <x:v>M14</x:v>
      </x:c>
      <x:c r="P42" s="164" t="str">
        <x:v>M15</x:v>
      </x:c>
      <x:c r="Q42" s="164" t="str">
        <x:v>M16</x:v>
      </x:c>
      <x:c r="R42" s="164" t="str">
        <x:v>M17</x:v>
      </x:c>
      <x:c r="S42" s="164" t="str">
        <x:v>M18</x:v>
      </x:c>
      <x:c r="T42" s="164" t="str">
        <x:v>M19</x:v>
      </x:c>
      <x:c r="U42" s="164" t="str">
        <x:v>M20</x:v>
      </x:c>
      <x:c r="V42" s="164" t="str">
        <x:v>M21</x:v>
      </x:c>
      <x:c r="W42" s="164" t="str">
        <x:v>M22</x:v>
      </x:c>
      <x:c r="X42" s="164" t="str">
        <x:v>M23</x:v>
      </x:c>
      <x:c r="Y42" s="164" t="str">
        <x:v>M24</x:v>
      </x:c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57" t="str">
        <x:v>Nouveaux acheteurs</x:v>
      </x:c>
      <x:c r="B43" s="413" t="n">
        <x:v>25</x:v>
      </x:c>
      <x:c r="C43" s="413" t="n">
        <x:v>40</x:v>
      </x:c>
      <x:c r="D43" s="413" t="n">
        <x:v>60</x:v>
      </x:c>
      <x:c r="E43" s="413" t="n">
        <x:v>80</x:v>
      </x:c>
      <x:c r="F43" s="413" t="n">
        <x:v>100</x:v>
      </x:c>
      <x:c r="G43" s="413" t="n">
        <x:v>130</x:v>
      </x:c>
      <x:c r="H43" s="413" t="n">
        <x:v>160</x:v>
      </x:c>
      <x:c r="I43" s="217" t="n">
        <x:v>200</x:v>
      </x:c>
      <x:c r="J43" s="217" t="n">
        <x:v>240</x:v>
      </x:c>
      <x:c r="K43" s="217" t="n">
        <x:v>280</x:v>
      </x:c>
      <x:c r="L43" s="217" t="n">
        <x:v>320</x:v>
      </x:c>
      <x:c r="M43" s="217" t="n">
        <x:v>360</x:v>
      </x:c>
      <x:c r="N43" s="217" t="n">
        <x:v>400</x:v>
      </x:c>
      <x:c r="O43" s="217" t="n">
        <x:v>450</x:v>
      </x:c>
      <x:c r="P43" s="217" t="n">
        <x:v>500</x:v>
      </x:c>
      <x:c r="Q43" s="217" t="n">
        <x:v>550</x:v>
      </x:c>
      <x:c r="R43" s="217" t="n">
        <x:v>600</x:v>
      </x:c>
      <x:c r="S43" s="217" t="n">
        <x:v>650</x:v>
      </x:c>
      <x:c r="T43" s="217" t="n">
        <x:v>700</x:v>
      </x:c>
      <x:c r="U43" s="217" t="n">
        <x:v>750</x:v>
      </x:c>
      <x:c r="V43" s="217" t="n">
        <x:v>800</x:v>
      </x:c>
      <x:c r="W43" s="217" t="n">
        <x:v>850</x:v>
      </x:c>
      <x:c r="X43" s="217" t="n">
        <x:v>900</x:v>
      </x:c>
      <x:c r="Y43" s="217" t="n">
        <x:v>1000</x:v>
      </x:c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H1"/>
    <x:mergeCell ref="A2:H2"/>
    <x:mergeCell ref="A5:H5"/>
    <x:mergeCell ref="A28:H28"/>
    <x:mergeCell ref="A41:Y41"/>
  </x:mergeCells>
  <x:dataValidations count="1">
    <x:dataValidation type="list" sqref="B3">
      <x:formula1>"Base,Upside,Stress"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42" hidden="0" customWidth="1"/>
  </x:cols>
  <x:sheetData>
    <x:row r="1" ht="15" hidden="0" customHeight="1">
      <x:c r="A1" s="402" t="str">
        <x:v>WARIBA — Règles commerciales et paramètres du programme</x:v>
      </x:c>
      <x:c r="B1" s="157"/>
      <x:c r="C1" s="157"/>
      <x:c r="D1" s="157"/>
      <x:c r="E1" s="157"/>
      <x:c r="F1" s="157"/>
      <x:c r="G1" s="157"/>
      <x:c r="H1" s="157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3" t="str">
        <x:v>Résumé financier du Rulebook. Le Rulebook Markdown reste la référence textuelle complète.</x:v>
      </x:c>
      <x:c r="B2" s="157"/>
      <x:c r="C2" s="157"/>
      <x:c r="D2" s="157"/>
      <x:c r="E2" s="157"/>
      <x:c r="F2" s="157"/>
      <x:c r="G2" s="157"/>
      <x:c r="H2" s="157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57"/>
      <x:c r="B3" s="157"/>
      <x:c r="C3" s="157"/>
      <x:c r="D3" s="157"/>
      <x:c r="E3" s="157"/>
      <x:c r="F3" s="157"/>
      <x:c r="G3" s="157"/>
      <x:c r="H3" s="157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403" t="str">
        <x:v>A. WARIBA ONE</x:v>
      </x:c>
      <x:c r="B4" s="157"/>
      <x:c r="C4" s="157"/>
      <x:c r="D4" s="157"/>
      <x:c r="E4" s="157"/>
      <x:c r="F4" s="157"/>
      <x:c r="G4" s="157"/>
      <x:c r="H4" s="157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49" t="str">
        <x:v>Paramètre</x:v>
      </x:c>
      <x:c r="B5" s="149" t="str">
        <x:v>Valeur</x:v>
      </x:c>
      <x:c r="C5" s="149" t="str">
        <x:v>Statut</x:v>
      </x:c>
      <x:c r="D5" s="149" t="str">
        <x:v>Effet économique</x:v>
      </x:c>
      <x:c r="E5" s="157"/>
      <x:c r="F5" s="157"/>
      <x:c r="G5" s="157"/>
      <x:c r="H5" s="157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57" t="str">
        <x:v>Phases</x:v>
      </x:c>
      <x:c r="B6" s="157" t="n">
        <x:v>1</x:v>
      </x:c>
      <x:c r="C6" s="157" t="str">
        <x:v>CANDIDATE</x:v>
      </x:c>
      <x:c r="D6" s="157" t="str">
        <x:v>Une seule vente et un seul passage</x:v>
      </x:c>
      <x:c r="E6" s="157"/>
      <x:c r="F6" s="157"/>
      <x:c r="G6" s="157"/>
      <x:c r="H6" s="157"/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57" t="str">
        <x:v>Target</x:v>
      </x:c>
      <x:c r="B7" s="426" t="n">
        <x:v>0.08</x:v>
      </x:c>
      <x:c r="C7" s="157" t="str">
        <x:v>CANDIDATE</x:v>
      </x:c>
      <x:c r="D7" s="157" t="str">
        <x:v>Influe sur le taux de réussite</x:v>
      </x:c>
      <x:c r="E7" s="157"/>
      <x:c r="F7" s="157"/>
      <x:c r="G7" s="157"/>
      <x:c r="H7" s="157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57" t="str">
        <x:v>DLL</x:v>
      </x:c>
      <x:c r="B8" s="426" t="n">
        <x:v>0.04</x:v>
      </x:c>
      <x:c r="C8" s="157" t="str">
        <x:v>CANDIDATE</x:v>
      </x:c>
      <x:c r="D8" s="157" t="str">
        <x:v>Soft lock</x:v>
      </x:c>
      <x:c r="E8" s="157"/>
      <x:c r="F8" s="157"/>
      <x:c r="G8" s="157"/>
      <x:c r="H8" s="157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57" t="str">
        <x:v>Maximum Loss</x:v>
      </x:c>
      <x:c r="B9" s="426" t="n">
        <x:v>0.08</x:v>
      </x:c>
      <x:c r="C9" s="157" t="str">
        <x:v>CANDIDATE</x:v>
      </x:c>
      <x:c r="D9" s="157" t="str">
        <x:v>Hard breach statique</x:v>
      </x:c>
      <x:c r="E9" s="157"/>
      <x:c r="F9" s="157"/>
      <x:c r="G9" s="157"/>
      <x:c r="H9" s="157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57" t="str">
        <x:v>Consistance</x:v>
      </x:c>
      <x:c r="B10" s="426" t="n">
        <x:v>0.4</x:v>
      </x:c>
      <x:c r="C10" s="157" t="str">
        <x:v>CANDIDATE</x:v>
      </x:c>
      <x:c r="D10" s="157" t="str">
        <x:v>Retarde le passage, ne breach pas</x:v>
      </x:c>
      <x:c r="E10" s="157"/>
      <x:c r="F10" s="157"/>
      <x:c r="G10" s="157"/>
      <x:c r="H10" s="157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57" t="str">
        <x:v>Jours minimums</x:v>
      </x:c>
      <x:c r="B11" s="157" t="n">
        <x:v>4</x:v>
      </x:c>
      <x:c r="C11" s="157" t="str">
        <x:v>CANDIDATE</x:v>
      </x:c>
      <x:c r="D11" s="157" t="str">
        <x:v>Réduit le passage instantané</x:v>
      </x:c>
      <x:c r="E11" s="157"/>
      <x:c r="F11" s="157"/>
      <x:c r="G11" s="157"/>
      <x:c r="H11" s="157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57" t="str">
        <x:v>Journées qualifiées</x:v>
      </x:c>
      <x:c r="B12" s="157" t="n">
        <x:v>3</x:v>
      </x:c>
      <x:c r="C12" s="157" t="str">
        <x:v>CANDIDATE</x:v>
      </x:c>
      <x:c r="D12" s="157" t="str">
        <x:v>0,20 % minimum</x:v>
      </x:c>
      <x:c r="E12" s="157"/>
      <x:c r="F12" s="157"/>
      <x:c r="G12" s="157"/>
      <x:c r="H12" s="157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57" t="str">
        <x:v>Minimum journée qualifiée</x:v>
      </x:c>
      <x:c r="B13" s="427" t="n">
        <x:v>0.002</x:v>
      </x:c>
      <x:c r="C13" s="157" t="str">
        <x:v>CANDIDATE</x:v>
      </x:c>
      <x:c r="D13" s="157" t="str">
        <x:v>Sur nominal</x:v>
      </x:c>
      <x:c r="E13" s="157"/>
      <x:c r="F13" s="157"/>
      <x:c r="G13" s="157"/>
      <x:c r="H13" s="157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57" t="str">
        <x:v>Durée</x:v>
      </x:c>
      <x:c r="B14" s="157" t="str">
        <x:v>Illimitée</x:v>
      </x:c>
      <x:c r="C14" s="157" t="str">
        <x:v>LOCKED</x:v>
      </x:c>
      <x:c r="D14" s="157" t="str">
        <x:v>Aucun abonnement mensuel</x:v>
      </x:c>
      <x:c r="E14" s="157"/>
      <x:c r="F14" s="157"/>
      <x:c r="G14" s="157"/>
      <x:c r="H14" s="157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57" t="str">
        <x:v>Frais d’activation</x:v>
      </x:c>
      <x:c r="B15" s="428" t="n">
        <x:v>0</x:v>
      </x:c>
      <x:c r="C15" s="157" t="str">
        <x:v>LOCKED</x:v>
      </x:c>
      <x:c r="D15" s="157" t="str">
        <x:v>Aucune recette secondaire</x:v>
      </x:c>
      <x:c r="E15" s="157"/>
      <x:c r="F15" s="157"/>
      <x:c r="G15" s="157"/>
      <x:c r="H15" s="157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57" t="str">
        <x:v>Trailing drawdown</x:v>
      </x:c>
      <x:c r="B16" s="157" t="str">
        <x:v>Non</x:v>
      </x:c>
      <x:c r="C16" s="157" t="str">
        <x:v>LOCKED</x:v>
      </x:c>
      <x:c r="D16" s="157" t="str">
        <x:v>Positionnement de confiance</x:v>
      </x:c>
      <x:c r="E16" s="157"/>
      <x:c r="F16" s="157"/>
      <x:c r="G16" s="157"/>
      <x:c r="H16" s="157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57"/>
      <x:c r="B17" s="157"/>
      <x:c r="C17" s="157"/>
      <x:c r="D17" s="157"/>
      <x:c r="E17" s="157"/>
      <x:c r="F17" s="157"/>
      <x:c r="G17" s="157"/>
      <x:c r="H17" s="157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403" t="str">
        <x:v>B. WARIBA Performance</x:v>
      </x:c>
      <x:c r="B18" s="157"/>
      <x:c r="C18" s="157"/>
      <x:c r="D18" s="157"/>
      <x:c r="E18" s="157"/>
      <x:c r="F18" s="157"/>
      <x:c r="G18" s="157"/>
      <x:c r="H18" s="157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49" t="str">
        <x:v>Paramètre</x:v>
      </x:c>
      <x:c r="B19" s="149" t="str">
        <x:v>Valeur</x:v>
      </x:c>
      <x:c r="C19" s="149" t="str">
        <x:v>Statut</x:v>
      </x:c>
      <x:c r="D19" s="149" t="str">
        <x:v>Effet économique</x:v>
      </x:c>
      <x:c r="E19" s="157"/>
      <x:c r="F19" s="157"/>
      <x:c r="G19" s="157"/>
      <x:c r="H19" s="157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57" t="str">
        <x:v>Nature</x:v>
      </x:c>
      <x:c r="B20" s="157" t="str">
        <x:v>Simulé</x:v>
      </x:c>
      <x:c r="C20" s="157" t="str">
        <x:v>LOCKED</x:v>
      </x:c>
      <x:c r="D20" s="157" t="str">
        <x:v>Aucun capital réel au lancement</x:v>
      </x:c>
      <x:c r="E20" s="157"/>
      <x:c r="F20" s="157"/>
      <x:c r="G20" s="157"/>
      <x:c r="H20" s="157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57" t="str">
        <x:v>DLL</x:v>
      </x:c>
      <x:c r="B21" s="426" t="n">
        <x:v>0.03</x:v>
      </x:c>
      <x:c r="C21" s="157" t="str">
        <x:v>CANDIDATE</x:v>
      </x:c>
      <x:c r="D21" s="157" t="str">
        <x:v>Soft lock</x:v>
      </x:c>
      <x:c r="E21" s="157"/>
      <x:c r="F21" s="157"/>
      <x:c r="G21" s="157"/>
      <x:c r="H21" s="157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57" t="str">
        <x:v>Maximum Loss</x:v>
      </x:c>
      <x:c r="B22" s="426" t="n">
        <x:v>0.06</x:v>
      </x:c>
      <x:c r="C22" s="157" t="str">
        <x:v>CANDIDATE</x:v>
      </x:c>
      <x:c r="D22" s="157" t="str">
        <x:v>Hard breach statique</x:v>
      </x:c>
      <x:c r="E22" s="157"/>
      <x:c r="F22" s="157"/>
      <x:c r="G22" s="157"/>
      <x:c r="H22" s="157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57" t="str">
        <x:v>Consistance</x:v>
      </x:c>
      <x:c r="B23" s="426" t="n">
        <x:v>0.4</x:v>
      </x:c>
      <x:c r="C23" s="157" t="str">
        <x:v>CANDIDATE</x:v>
      </x:c>
      <x:c r="D23" s="157" t="str">
        <x:v>Par cycle</x:v>
      </x:c>
      <x:c r="E23" s="157"/>
      <x:c r="F23" s="157"/>
      <x:c r="G23" s="157"/>
      <x:c r="H23" s="157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57" t="str">
        <x:v>Journées qualifiées</x:v>
      </x:c>
      <x:c r="B24" s="157" t="n">
        <x:v>5</x:v>
      </x:c>
      <x:c r="C24" s="157" t="str">
        <x:v>CANDIDATE</x:v>
      </x:c>
      <x:c r="D24" s="157" t="str">
        <x:v>Par cycle</x:v>
      </x:c>
      <x:c r="E24" s="157"/>
      <x:c r="F24" s="157"/>
      <x:c r="G24" s="157"/>
      <x:c r="H24" s="157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57" t="str">
        <x:v>Minimum journée qualifiée</x:v>
      </x:c>
      <x:c r="B25" s="426" t="n">
        <x:v>0.003</x:v>
      </x:c>
      <x:c r="C25" s="157" t="str">
        <x:v>CANDIDATE</x:v>
      </x:c>
      <x:c r="D25" s="157" t="str">
        <x:v>Sur nominal</x:v>
      </x:c>
      <x:c r="E25" s="157"/>
      <x:c r="F25" s="157"/>
      <x:c r="G25" s="157"/>
      <x:c r="H25" s="157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57" t="str">
        <x:v>Threshold payout #1</x:v>
      </x:c>
      <x:c r="B26" s="426" t="n">
        <x:v>0.04</x:v>
      </x:c>
      <x:c r="C26" s="157" t="str">
        <x:v>CANDIDATE</x:v>
      </x:c>
      <x:c r="D26" s="157" t="str">
        <x:v>Premier cycle plus exigeant</x:v>
      </x:c>
      <x:c r="E26" s="157"/>
      <x:c r="F26" s="157"/>
      <x:c r="G26" s="157"/>
      <x:c r="H26" s="157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57" t="str">
        <x:v>Threshold payout #2–#5</x:v>
      </x:c>
      <x:c r="B27" s="426" t="n">
        <x:v>0.03</x:v>
      </x:c>
      <x:c r="C27" s="157" t="str">
        <x:v>CANDIDATE</x:v>
      </x:c>
      <x:c r="D27" s="157" t="str">
        <x:v>Nouveau profit par cycle</x:v>
      </x:c>
      <x:c r="E27" s="157"/>
      <x:c r="F27" s="157"/>
      <x:c r="G27" s="157"/>
      <x:c r="H27" s="157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57" t="str">
        <x:v>Maximum distribuable</x:v>
      </x:c>
      <x:c r="B28" s="426" t="n">
        <x:v>0.5</x:v>
      </x:c>
      <x:c r="C28" s="157" t="str">
        <x:v>CANDIDATE</x:v>
      </x:c>
      <x:c r="D28" s="157" t="str">
        <x:v>Du profit net du cycle</x:v>
      </x:c>
      <x:c r="E28" s="157"/>
      <x:c r="F28" s="157"/>
      <x:c r="G28" s="157"/>
      <x:c r="H28" s="157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57" t="str">
        <x:v>Split #1–#4</x:v>
      </x:c>
      <x:c r="B29" s="426" t="n">
        <x:v>0.8</x:v>
      </x:c>
      <x:c r="C29" s="157" t="str">
        <x:v>CANDIDATE</x:v>
      </x:c>
      <x:c r="D29" s="157" t="str">
        <x:v>Trader cash</x:v>
      </x:c>
      <x:c r="E29" s="157"/>
      <x:c r="F29" s="157"/>
      <x:c r="G29" s="157"/>
      <x:c r="H29" s="157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57" t="str">
        <x:v>Split #5</x:v>
      </x:c>
      <x:c r="B30" s="426" t="n">
        <x:v>0.9</x:v>
      </x:c>
      <x:c r="C30" s="157" t="str">
        <x:v>CANDIDATE</x:v>
      </x:c>
      <x:c r="D30" s="157" t="str">
        <x:v>Trader cash</x:v>
      </x:c>
      <x:c r="E30" s="157"/>
      <x:c r="F30" s="157"/>
      <x:c r="G30" s="157"/>
      <x:c r="H30" s="157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57" t="str">
        <x:v>Cycles avant Review</x:v>
      </x:c>
      <x:c r="B31" s="157" t="n">
        <x:v>5</x:v>
      </x:c>
      <x:c r="C31" s="157" t="str">
        <x:v>CANDIDATE</x:v>
      </x:c>
      <x:c r="D31" s="157" t="str">
        <x:v>Aucun Live garanti</x:v>
      </x:c>
      <x:c r="E31" s="157"/>
      <x:c r="F31" s="157"/>
      <x:c r="G31" s="157"/>
      <x:c r="H31" s="157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57"/>
      <x:c r="B32" s="157"/>
      <x:c r="C32" s="157"/>
      <x:c r="D32" s="157"/>
      <x:c r="E32" s="157"/>
      <x:c r="F32" s="157"/>
      <x:c r="G32" s="157"/>
      <x:c r="H32" s="157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57"/>
      <x:c r="B33" s="157"/>
      <x:c r="C33" s="157"/>
      <x:c r="D33" s="157"/>
      <x:c r="E33" s="157"/>
      <x:c r="F33" s="157"/>
      <x:c r="G33" s="157"/>
      <x:c r="H33" s="157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57"/>
      <x:c r="B34" s="157"/>
      <x:c r="C34" s="157"/>
      <x:c r="D34" s="157"/>
      <x:c r="E34" s="157"/>
      <x:c r="F34" s="157"/>
      <x:c r="G34" s="157"/>
      <x:c r="H34" s="157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403" t="str">
        <x:v>C. Instruments V1</x:v>
      </x:c>
      <x:c r="B35" s="157"/>
      <x:c r="C35" s="157"/>
      <x:c r="D35" s="157"/>
      <x:c r="E35" s="157"/>
      <x:c r="F35" s="157"/>
      <x:c r="G35" s="157"/>
      <x:c r="H35" s="157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49" t="str">
        <x:v>Symbole</x:v>
      </x:c>
      <x:c r="B36" s="149" t="str">
        <x:v>Classe</x:v>
      </x:c>
      <x:c r="C36" s="149" t="str">
        <x:v>Levier ONE</x:v>
      </x:c>
      <x:c r="D36" s="149" t="str">
        <x:v>Levier Performance</x:v>
      </x:c>
      <x:c r="E36" s="157"/>
      <x:c r="F36" s="157"/>
      <x:c r="G36" s="157"/>
      <x:c r="H36" s="157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57" t="str">
        <x:v>EURUSD</x:v>
      </x:c>
      <x:c r="B37" s="157" t="str">
        <x:v>Forex majeur</x:v>
      </x:c>
      <x:c r="C37" s="157" t="str">
        <x:v>1:50</x:v>
      </x:c>
      <x:c r="D37" s="157" t="str">
        <x:v>1:30</x:v>
      </x:c>
      <x:c r="E37" s="157"/>
      <x:c r="F37" s="157"/>
      <x:c r="G37" s="157"/>
      <x:c r="H37" s="157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57" t="str">
        <x:v>GBPUSD</x:v>
      </x:c>
      <x:c r="B38" s="157" t="str">
        <x:v>Forex majeur</x:v>
      </x:c>
      <x:c r="C38" s="157" t="str">
        <x:v>1:50</x:v>
      </x:c>
      <x:c r="D38" s="157" t="str">
        <x:v>1:30</x:v>
      </x:c>
      <x:c r="E38" s="157"/>
      <x:c r="F38" s="157"/>
      <x:c r="G38" s="157"/>
      <x:c r="H38" s="157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57" t="str">
        <x:v>USDJPY</x:v>
      </x:c>
      <x:c r="B39" s="157" t="str">
        <x:v>Forex majeur</x:v>
      </x:c>
      <x:c r="C39" s="157" t="str">
        <x:v>1:50</x:v>
      </x:c>
      <x:c r="D39" s="157" t="str">
        <x:v>1:30</x:v>
      </x:c>
      <x:c r="E39" s="157"/>
      <x:c r="F39" s="157"/>
      <x:c r="G39" s="157"/>
      <x:c r="H39" s="157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57" t="str">
        <x:v>XAUUSD</x:v>
      </x:c>
      <x:c r="B40" s="157" t="str">
        <x:v>Or</x:v>
      </x:c>
      <x:c r="C40" s="157" t="str">
        <x:v>1:20</x:v>
      </x:c>
      <x:c r="D40" s="157" t="str">
        <x:v>1:10</x:v>
      </x:c>
      <x:c r="E40" s="157"/>
      <x:c r="F40" s="157"/>
      <x:c r="G40" s="157"/>
      <x:c r="H40" s="157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57" t="str">
        <x:v>NAS100</x:v>
      </x:c>
      <x:c r="B41" s="157" t="str">
        <x:v>Indice</x:v>
      </x:c>
      <x:c r="C41" s="157" t="str">
        <x:v>1:20</x:v>
      </x:c>
      <x:c r="D41" s="157" t="str">
        <x:v>1:10</x:v>
      </x:c>
      <x:c r="E41" s="157"/>
      <x:c r="F41" s="157"/>
      <x:c r="G41" s="157"/>
      <x:c r="H41" s="157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57"/>
      <x:c r="B42" s="157"/>
      <x:c r="C42" s="157"/>
      <x:c r="D42" s="157"/>
      <x:c r="E42" s="157"/>
      <x:c r="F42" s="157"/>
      <x:c r="G42" s="157"/>
      <x:c r="H42" s="157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57"/>
      <x:c r="B43" s="157"/>
      <x:c r="C43" s="157"/>
      <x:c r="D43" s="157"/>
      <x:c r="E43" s="157"/>
      <x:c r="F43" s="157"/>
      <x:c r="G43" s="157"/>
      <x:c r="H43" s="157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57"/>
      <x:c r="B44" s="157"/>
      <x:c r="C44" s="157"/>
      <x:c r="D44" s="157"/>
      <x:c r="E44" s="157"/>
      <x:c r="F44" s="157"/>
      <x:c r="G44" s="157"/>
      <x:c r="H44" s="157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57"/>
      <x:c r="B45" s="157"/>
      <x:c r="C45" s="157"/>
      <x:c r="D45" s="157"/>
      <x:c r="E45" s="157"/>
      <x:c r="F45" s="157"/>
      <x:c r="G45" s="157"/>
      <x:c r="H45" s="157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57"/>
      <x:c r="B46" s="157"/>
      <x:c r="C46" s="157"/>
      <x:c r="D46" s="157"/>
      <x:c r="E46" s="157"/>
      <x:c r="F46" s="157"/>
      <x:c r="G46" s="157"/>
      <x:c r="H46" s="157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57"/>
      <x:c r="B47" s="157"/>
      <x:c r="C47" s="157"/>
      <x:c r="D47" s="157"/>
      <x:c r="E47" s="157"/>
      <x:c r="F47" s="157"/>
      <x:c r="G47" s="157"/>
      <x:c r="H47" s="157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57"/>
      <x:c r="B48" s="157"/>
      <x:c r="C48" s="157"/>
      <x:c r="D48" s="157"/>
      <x:c r="E48" s="157"/>
      <x:c r="F48" s="157"/>
      <x:c r="G48" s="157"/>
      <x:c r="H48" s="157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57"/>
      <x:c r="B49" s="157"/>
      <x:c r="C49" s="157"/>
      <x:c r="D49" s="157"/>
      <x:c r="E49" s="157"/>
      <x:c r="F49" s="157"/>
      <x:c r="G49" s="157"/>
      <x:c r="H49" s="157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57"/>
      <x:c r="B50" s="157"/>
      <x:c r="C50" s="157"/>
      <x:c r="D50" s="157"/>
      <x:c r="E50" s="157"/>
      <x:c r="F50" s="157"/>
      <x:c r="G50" s="157"/>
      <x:c r="H50" s="157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H1"/>
    <x:mergeCell ref="A2:H2"/>
    <x:mergeCell ref="A4:H4"/>
    <x:mergeCell ref="A18:H18"/>
    <x:mergeCell ref="A35:H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</x:cols>
  <x:sheetData>
    <x:row r="1" ht="15" hidden="0" customHeight="1">
      <x:c r="A1" s="400" t="str">
        <x:v>WARIBA — Économie unitaire par achat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61"/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61" t="str">
        <x:v>Scénario actif</x:v>
      </x:c>
      <x:c r="B3" s="288" t="str">
        <x:f>'Hypothèses'!B3</x:f>
        <x:v>Base</x:v>
      </x:c>
      <x:c r="C3" s="161"/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63" t="str">
        <x:v>A. Revenu et coûts variables</x:v>
      </x:c>
      <x:c r="B5" s="161"/>
      <x:c r="C5" s="161"/>
      <x:c r="D5" s="161"/>
      <x:c r="E5" s="161"/>
      <x:c r="F5" s="161"/>
      <x:c r="G5" s="161"/>
      <x:c r="H5" s="161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64" t="str">
        <x:v>Métrique</x:v>
      </x:c>
      <x:c r="B6" s="164" t="str">
        <x:v>Montant (FCFA)</x:v>
      </x:c>
      <x:c r="C6" s="164" t="str">
        <x:v>% prix moyen</x:v>
      </x:c>
      <x:c r="D6" s="164" t="str">
        <x:v>Nature</x:v>
      </x:c>
      <x:c r="E6" s="164" t="str">
        <x:v>Source</x:v>
      </x:c>
      <x:c r="F6" s="164" t="str">
        <x:v>Lecture</x:v>
      </x:c>
      <x:c r="G6" s="164" t="str">
        <x:v>Statut</x:v>
      </x:c>
      <x:c r="H6" s="161"/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61" t="str">
        <x:v>Prix moyen pondéré</x:v>
      </x:c>
      <x:c r="B7" s="216" t="n">
        <x:f>SUMPRODUCT('Hypothèses'!B30:B32,'Hypothèses'!C30:C32)</x:f>
        <x:v>25250</x:v>
      </x:c>
      <x:c r="C7" s="211" t="n">
        <x:f>B7/B7</x:f>
        <x:v>1</x:v>
      </x:c>
      <x:c r="D7" s="161" t="str">
        <x:v>Revenu</x:v>
      </x:c>
      <x:c r="E7" s="161" t="str">
        <x:v>Offre</x:v>
      </x:c>
      <x:c r="F7" s="161" t="str">
        <x:v>Prix moyen par achat</x:v>
      </x:c>
      <x:c r="G7" s="161" t="str">
        <x:v>Calculé</x:v>
      </x:c>
      <x:c r="H7" s="161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61" t="str">
        <x:v>Remboursements / chargebacks</x:v>
      </x:c>
      <x:c r="B8" s="216" t="n">
        <x:f>-B7*'Hypothèses'!B14</x:f>
        <x:v>-378.75</x:v>
      </x:c>
      <x:c r="C8" s="211" t="n">
        <x:f>-B8/B7</x:f>
        <x:v>0.015</x:v>
      </x:c>
      <x:c r="D8" s="161" t="str">
        <x:v>Coût</x:v>
      </x:c>
      <x:c r="E8" s="161" t="str">
        <x:v>Hypothèses</x:v>
      </x:c>
      <x:c r="F8" s="161" t="str"/>
      <x:c r="G8" s="161" t="str">
        <x:v>Calculé</x:v>
      </x:c>
      <x:c r="H8" s="161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61" t="str">
        <x:v>Frais PSP</x:v>
      </x:c>
      <x:c r="B9" s="216" t="n">
        <x:f>-((B7+B8)*'Hypothèses'!B15)</x:f>
        <x:v>-870.4937500000001</x:v>
      </x:c>
      <x:c r="C9" s="211" t="n">
        <x:f>-B9/B7</x:f>
        <x:v>0.034475000000000006</x:v>
      </x:c>
      <x:c r="D9" s="161" t="str">
        <x:v>Coût</x:v>
      </x:c>
      <x:c r="E9" s="161" t="str">
        <x:v>Hypothèses</x:v>
      </x:c>
      <x:c r="F9" s="161" t="str"/>
      <x:c r="G9" s="161" t="str">
        <x:v>Calculé</x:v>
      </x:c>
      <x:c r="H9" s="161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61" t="str">
        <x:v>Provision fiscale</x:v>
      </x:c>
      <x:c r="B10" s="216" t="n">
        <x:f>-B7*'Hypothèses'!B25</x:f>
        <x:v>0</x:v>
      </x:c>
      <x:c r="C10" s="211" t="n">
        <x:f>-B10/B7</x:f>
        <x:v>0</x:v>
      </x:c>
      <x:c r="D10" s="161" t="str">
        <x:v>Provision</x:v>
      </x:c>
      <x:c r="E10" s="161" t="str">
        <x:v>Hypothèses</x:v>
      </x:c>
      <x:c r="F10" s="161" t="str">
        <x:v>À confirmer</x:v>
      </x:c>
      <x:c r="G10" s="161" t="str">
        <x:v>OPEN</x:v>
      </x:c>
      <x:c r="H10" s="161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61" t="str">
        <x:v>CAC</x:v>
      </x:c>
      <x:c r="B11" s="216" t="n">
        <x:f>-'Hypothèses'!B16</x:f>
        <x:v>-4500</x:v>
      </x:c>
      <x:c r="C11" s="211" t="n">
        <x:f>-B11/B7</x:f>
        <x:v>0.1782178217821782</x:v>
      </x:c>
      <x:c r="D11" s="161" t="str">
        <x:v>Coût</x:v>
      </x:c>
      <x:c r="E11" s="161" t="str">
        <x:v>Hypothèses</x:v>
      </x:c>
      <x:c r="F11" s="161" t="str"/>
      <x:c r="G11" s="161" t="str">
        <x:v>Calculé</x:v>
      </x:c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61" t="str">
        <x:v>Support variable</x:v>
      </x:c>
      <x:c r="B12" s="216" t="n">
        <x:f>-'Hypothèses'!B17</x:f>
        <x:v>-700</x:v>
      </x:c>
      <x:c r="C12" s="211" t="n">
        <x:f>-B12/B7</x:f>
        <x:v>0.027722772277227723</x:v>
      </x:c>
      <x:c r="D12" s="161" t="str">
        <x:v>Coût</x:v>
      </x:c>
      <x:c r="E12" s="161" t="str">
        <x:v>Hypothèses</x:v>
      </x:c>
      <x:c r="F12" s="161" t="str"/>
      <x:c r="G12" s="161" t="str">
        <x:v>Calculé</x:v>
      </x:c>
      <x:c r="H12" s="161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61" t="str">
        <x:v>KYC / contrôle attendu</x:v>
      </x:c>
      <x:c r="B13" s="216" t="n">
        <x:f>-'Hypothèses'!B7*'Hypothèses'!B18</x:f>
        <x:v>-160</x:v>
      </x:c>
      <x:c r="C13" s="211" t="n">
        <x:f>-B13/B7</x:f>
        <x:v>0.006336633663366337</x:v>
      </x:c>
      <x:c r="D13" s="161" t="str">
        <x:v>Coût</x:v>
      </x:c>
      <x:c r="E13" s="161" t="str">
        <x:v>Hypothèses</x:v>
      </x:c>
      <x:c r="F13" s="161" t="str">
        <x:v>Pass rate × coût KYC</x:v>
      </x:c>
      <x:c r="G13" s="161" t="str">
        <x:v>Calculé</x:v>
      </x:c>
      <x:c r="H13" s="161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61" t="str">
        <x:v>Fraude / paiement</x:v>
      </x:c>
      <x:c r="B14" s="216" t="n">
        <x:f>-B7*'Hypothèses'!B20</x:f>
        <x:v>-126.25</x:v>
      </x:c>
      <x:c r="C14" s="211" t="n">
        <x:f>-B14/B7</x:f>
        <x:v>0.005</x:v>
      </x:c>
      <x:c r="D14" s="161" t="str">
        <x:v>Coût</x:v>
      </x:c>
      <x:c r="E14" s="161" t="str">
        <x:v>Hypothèses</x:v>
      </x:c>
      <x:c r="F14" s="161" t="str"/>
      <x:c r="G14" s="161" t="str">
        <x:v>Calculé</x:v>
      </x:c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61" t="str">
        <x:v>Affiliation</x:v>
      </x:c>
      <x:c r="B15" s="216" t="n">
        <x:f>-B7*'Hypothèses'!B21</x:f>
        <x:v>0</x:v>
      </x:c>
      <x:c r="C15" s="211" t="n">
        <x:f>-B15/B7</x:f>
        <x:v>0</x:v>
      </x:c>
      <x:c r="D15" s="161" t="str">
        <x:v>Coût</x:v>
      </x:c>
      <x:c r="E15" s="161" t="str">
        <x:v>Hypothèses</x:v>
      </x:c>
      <x:c r="F15" s="161" t="str">
        <x:v>0 % en V1</x:v>
      </x:c>
      <x:c r="G15" s="161" t="str">
        <x:v>Calculé</x:v>
      </x:c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61"/>
      <x:c r="B16" s="161"/>
      <x:c r="C16" s="161"/>
      <x:c r="D16" s="161"/>
      <x:c r="E16" s="161"/>
      <x:c r="F16" s="161"/>
      <x:c r="G16" s="161"/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289" t="str">
        <x:v>Encaissement / contribution avant payouts</x:v>
      </x:c>
      <x:c r="B17" s="290" t="n">
        <x:f>SUM(B7:B15)</x:f>
        <x:v>18514.50625</x:v>
      </x:c>
      <x:c r="C17" s="291" t="n">
        <x:f>B17/B7</x:f>
        <x:v>0.7332477722772277</x:v>
      </x:c>
      <x:c r="D17" s="289" t="str"/>
      <x:c r="E17" s="289" t="str"/>
      <x:c r="F17" s="289" t="str"/>
      <x:c r="G17" s="289" t="str"/>
      <x:c r="H17" s="161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61"/>
      <x:c r="B18" s="161"/>
      <x:c r="C18" s="161"/>
      <x:c r="D18" s="161"/>
      <x:c r="E18" s="161"/>
      <x:c r="F18" s="161"/>
      <x:c r="G18" s="161"/>
      <x:c r="H18" s="161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61"/>
      <x:c r="B19" s="161"/>
      <x:c r="C19" s="161"/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63" t="str">
        <x:v>B. Probabilités et coût attendu des payouts</x:v>
      </x:c>
      <x:c r="B20" s="161"/>
      <x:c r="C20" s="161"/>
      <x:c r="D20" s="161"/>
      <x:c r="E20" s="161"/>
      <x:c r="F20" s="161"/>
      <x:c r="G20" s="161"/>
      <x:c r="H20" s="161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64" t="str">
        <x:v>Cycle</x:v>
      </x:c>
      <x:c r="B21" s="164" t="str">
        <x:v>Probabilité par achat</x:v>
      </x:c>
      <x:c r="C21" s="164" t="str">
        <x:v>Cap moyen (FCFA)</x:v>
      </x:c>
      <x:c r="D21" s="164" t="str">
        <x:v>Utilisation</x:v>
      </x:c>
      <x:c r="E21" s="164" t="str">
        <x:v>Split trader</x:v>
      </x:c>
      <x:c r="F21" s="164" t="str">
        <x:v>Cash payout / achat</x:v>
      </x:c>
      <x:c r="G21" s="164" t="str">
        <x:v>Lag</x:v>
      </x:c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61" t="str">
        <x:v>Payout #1</x:v>
      </x:c>
      <x:c r="B22" s="211" t="n">
        <x:f>'Hypothèses'!B7*'Hypothèses'!B8</x:f>
        <x:v>0.027999999999999997</x:v>
      </x:c>
      <x:c r="C22" s="216" t="n">
        <x:f>SUMPRODUCT('Hypothèses'!C30:C32,'Hypothèses'!E30:E32)*'Hypothèses'!B35</x:f>
        <x:v>105000</x:v>
      </x:c>
      <x:c r="D22" s="211" t="n">
        <x:f>'Hypothèses'!B13</x:f>
        <x:v>0.7</x:v>
      </x:c>
      <x:c r="E22" s="242" t="n">
        <x:v>0.8</x:v>
      </x:c>
      <x:c r="F22" s="292" t="n">
        <x:f>B22*C22*D22*E22*(1+'Hypothèses'!B19)</x:f>
        <x:v>1679.3279999999997</x:v>
      </x:c>
      <x:c r="G22" s="293" t="n">
        <x:v>2</x:v>
      </x:c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 t="str">
        <x:v>Payout #2</x:v>
      </x:c>
      <x:c r="B23" s="211" t="n">
        <x:f>B22*'Hypothèses'!B9</x:f>
        <x:v>0.0154</x:v>
      </x:c>
      <x:c r="C23" s="216" t="n">
        <x:f>SUMPRODUCT('Hypothèses'!C30:C32,'Hypothèses'!E30:E32)*'Hypothèses'!B35</x:f>
        <x:v>105000</x:v>
      </x:c>
      <x:c r="D23" s="211" t="n">
        <x:f>'Hypothèses'!B13</x:f>
        <x:v>0.7</x:v>
      </x:c>
      <x:c r="E23" s="242" t="n">
        <x:v>0.8</x:v>
      </x:c>
      <x:c r="F23" s="292" t="n">
        <x:f>B23*C23*D23*E23*(1+'Hypothèses'!B19)</x:f>
        <x:v>923.6304</x:v>
      </x:c>
      <x:c r="G23" s="293" t="n">
        <x:v>3</x:v>
      </x:c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 t="str">
        <x:v>Payout #3</x:v>
      </x:c>
      <x:c r="B24" s="211" t="n">
        <x:f>B23*'Hypothèses'!B10</x:f>
        <x:v>0.0077</x:v>
      </x:c>
      <x:c r="C24" s="216" t="n">
        <x:f>SUMPRODUCT('Hypothèses'!C30:C32,'Hypothèses'!F30:F32)*'Hypothèses'!B35</x:f>
        <x:v>157500</x:v>
      </x:c>
      <x:c r="D24" s="211" t="n">
        <x:f>'Hypothèses'!B13</x:f>
        <x:v>0.7</x:v>
      </x:c>
      <x:c r="E24" s="242" t="n">
        <x:v>0.8</x:v>
      </x:c>
      <x:c r="F24" s="292" t="n">
        <x:f>B24*C24*D24*E24*(1+'Hypothèses'!B19)</x:f>
        <x:v>692.7228</x:v>
      </x:c>
      <x:c r="G24" s="293" t="n">
        <x:v>4</x:v>
      </x:c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 t="str">
        <x:v>Payout #4</x:v>
      </x:c>
      <x:c r="B25" s="211" t="n">
        <x:f>B24*'Hypothèses'!B11</x:f>
        <x:v>0.003465</x:v>
      </x:c>
      <x:c r="C25" s="216" t="n">
        <x:f>SUMPRODUCT('Hypothèses'!C30:C32,'Hypothèses'!F30:F32)*'Hypothèses'!B35</x:f>
        <x:v>157500</x:v>
      </x:c>
      <x:c r="D25" s="211" t="n">
        <x:f>'Hypothèses'!B13</x:f>
        <x:v>0.7</x:v>
      </x:c>
      <x:c r="E25" s="242" t="n">
        <x:v>0.8</x:v>
      </x:c>
      <x:c r="F25" s="292" t="n">
        <x:f>B25*C25*D25*E25*(1+'Hypothèses'!B19)</x:f>
        <x:v>311.72526</x:v>
      </x:c>
      <x:c r="G25" s="293" t="n">
        <x:v>5</x:v>
      </x:c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61" t="str">
        <x:v>Payout #5</x:v>
      </x:c>
      <x:c r="B26" s="211" t="n">
        <x:f>B25*'Hypothèses'!B12</x:f>
        <x:v>0.001386</x:v>
      </x:c>
      <x:c r="C26" s="216" t="n">
        <x:f>SUMPRODUCT('Hypothèses'!C30:C32,'Hypothèses'!G30:G32)*'Hypothèses'!B35</x:f>
        <x:v>262500</x:v>
      </x:c>
      <x:c r="D26" s="211" t="n">
        <x:f>'Hypothèses'!B13</x:f>
        <x:v>0.7</x:v>
      </x:c>
      <x:c r="E26" s="242" t="n">
        <x:v>0.9</x:v>
      </x:c>
      <x:c r="F26" s="292" t="n">
        <x:f>B26*C26*D26*E26*(1+'Hypothèses'!B19)</x:f>
        <x:v>233.793945</x:v>
      </x:c>
      <x:c r="G26" s="293" t="n">
        <x:v>6</x:v>
      </x:c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61"/>
      <x:c r="B27" s="161"/>
      <x:c r="C27" s="161"/>
      <x:c r="D27" s="161"/>
      <x:c r="E27" s="161"/>
      <x:c r="F27" s="161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289" t="str">
        <x:v>Coût payout attendu par achat</x:v>
      </x:c>
      <x:c r="B28" s="290" t="n">
        <x:f>SUM(F22:F26)</x:f>
        <x:v>3841.2004049999996</x:v>
      </x:c>
      <x:c r="C28" s="291" t="n">
        <x:f>B28/B7</x:f>
        <x:v>0.15212674871287127</x:v>
      </x:c>
      <x:c r="D28" s="289" t="str"/>
      <x:c r="E28" s="289" t="str"/>
      <x:c r="F28" s="289" t="str"/>
      <x:c r="G28" s="289" t="str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61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1"/>
      <x:c r="B30" s="161"/>
      <x:c r="C30" s="161"/>
      <x:c r="D30" s="161"/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3" t="str">
        <x:v>C. Contribution et capacité</x:v>
      </x:c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294" t="str">
        <x:v>Contribution après payouts</x:v>
      </x:c>
      <x:c r="B32" s="295" t="n">
        <x:f>B17-B28</x:f>
        <x:v>14673.305844999999</x:v>
      </x:c>
      <x:c r="C32" s="294" t="str">
        <x:v>FCFA / achat</x:v>
      </x:c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294" t="str">
        <x:v>Marge de contribution</x:v>
      </x:c>
      <x:c r="B33" s="296" t="n">
        <x:f>B32/B7</x:f>
        <x:v>0.5811210235643564</x:v>
      </x:c>
      <x:c r="C33" s="294" t="str">
        <x:v>%</x:v>
      </x:c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294" t="str">
        <x:v>Seuil de rentabilité mensuel</x:v>
      </x:c>
      <x:c r="B34" s="297" t="n">
        <x:f>IF(B32&gt;0,'Hypothèses'!B24/B32,0)</x:f>
        <x:v>61.33587137806982</x:v>
      </x:c>
      <x:c r="C34" s="294" t="str">
        <x:v>achats / mois</x:v>
      </x:c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294" t="str">
        <x:v>Réserve recommandée / 1 000 achats</x:v>
      </x:c>
      <x:c r="B35" s="295" t="n">
        <x:f>B28*1000*'Hypothèses'!B38</x:f>
        <x:v>7682400.81</x:v>
      </x:c>
      <x:c r="C35" s="294" t="str">
        <x:v>FCFA</x:v>
      </x:c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294" t="str">
        <x:v>Contribution / 1 000 achats avant OPEX</x:v>
      </x:c>
      <x:c r="B36" s="295" t="n">
        <x:f>B32*1000</x:f>
        <x:v>14673305.844999999</x:v>
      </x:c>
      <x:c r="C36" s="294" t="str">
        <x:v>FCFA</x:v>
      </x:c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294" t="str">
        <x:v>Max safe sales — réserve initiale</x:v>
      </x:c>
      <x:c r="B37" s="297" t="n">
        <x:f>IF(B28&gt;0,'Hypothèses'!B37/(B28*'Hypothèses'!B38),0)</x:f>
        <x:v>260.33528443304436</x:v>
      </x:c>
      <x:c r="C37" s="294" t="str">
        <x:v>achats</x:v>
      </x:c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G1"/>
    <x:mergeCell ref="A5:G5"/>
    <x:mergeCell ref="A20:G20"/>
    <x:mergeCell ref="A31:G31"/>
  </x:mergeCells>
  <x:conditionalFormatting sqref="B32:B33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400" t="str">
        <x:v>WARIBA — Économie d’une cohorte de 1 000 achats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62" t="str">
        <x:v>La cohorte transforme les probabilités en nombres de comptes, recettes, coûts et besoins de réserve.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61"/>
      <x:c r="B3" s="161"/>
      <x:c r="C3" s="161"/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63" t="str">
        <x:v>A. Funnel Evaluation → Payout #5</x:v>
      </x:c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64" t="str">
        <x:v>Étape</x:v>
      </x:c>
      <x:c r="B5" s="164" t="str">
        <x:v>Probabilité / achat</x:v>
      </x:c>
      <x:c r="C5" s="164" t="str">
        <x:v>Comptes attendus</x:v>
      </x:c>
      <x:c r="D5" s="164" t="str">
        <x:v>Cap moyen</x:v>
      </x:c>
      <x:c r="E5" s="164" t="str">
        <x:v>Utilisation</x:v>
      </x:c>
      <x:c r="F5" s="164" t="str">
        <x:v>Payout Base</x:v>
      </x:c>
      <x:c r="G5" s="164" t="str">
        <x:v>Split trader</x:v>
      </x:c>
      <x:c r="H5" s="164" t="str">
        <x:v>Trader Cash</x:v>
      </x:c>
      <x:c r="I5" s="164" t="str">
        <x:v>Frais payout</x:v>
      </x:c>
      <x:c r="J5" s="164" t="str">
        <x:v>Cash total</x:v>
      </x:c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61" t="str">
        <x:v>Payout #1</x:v>
      </x:c>
      <x:c r="B6" s="211" t="n">
        <x:f>'Économie Unitaire'!B22</x:f>
        <x:v>0.027999999999999997</x:v>
      </x:c>
      <x:c r="C6" s="316" t="n">
        <x:f>B6*1000</x:f>
        <x:v>27.999999999999996</x:v>
      </x:c>
      <x:c r="D6" s="216" t="n">
        <x:f>'Économie Unitaire'!C22</x:f>
        <x:v>105000</x:v>
      </x:c>
      <x:c r="E6" s="211" t="n">
        <x:f>'Hypothèses'!B13</x:f>
        <x:v>0.7</x:v>
      </x:c>
      <x:c r="F6" s="216" t="n">
        <x:f>C6*D6*E6</x:f>
        <x:v>2057999.9999999995</x:v>
      </x:c>
      <x:c r="G6" s="211" t="n">
        <x:f>'Économie Unitaire'!E22</x:f>
        <x:v>0.8</x:v>
      </x:c>
      <x:c r="H6" s="216" t="n">
        <x:f>F6*G6</x:f>
        <x:v>1646399.9999999998</x:v>
      </x:c>
      <x:c r="I6" s="216" t="n">
        <x:f>H6*'Hypothèses'!B19</x:f>
        <x:v>32927.99999999999</x:v>
      </x:c>
      <x:c r="J6" s="216" t="n">
        <x:f>H6+I6</x:f>
        <x:v>1679327.9999999998</x:v>
      </x:c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61" t="str">
        <x:v>Payout #2</x:v>
      </x:c>
      <x:c r="B7" s="211" t="n">
        <x:f>'Économie Unitaire'!B23</x:f>
        <x:v>0.0154</x:v>
      </x:c>
      <x:c r="C7" s="316" t="n">
        <x:f>B7*1000</x:f>
        <x:v>15.4</x:v>
      </x:c>
      <x:c r="D7" s="216" t="n">
        <x:f>'Économie Unitaire'!C23</x:f>
        <x:v>105000</x:v>
      </x:c>
      <x:c r="E7" s="211" t="n">
        <x:f>'Hypothèses'!B13</x:f>
        <x:v>0.7</x:v>
      </x:c>
      <x:c r="F7" s="216" t="n">
        <x:f>C7*D7*E7</x:f>
        <x:v>1131900</x:v>
      </x:c>
      <x:c r="G7" s="211" t="n">
        <x:f>'Économie Unitaire'!E23</x:f>
        <x:v>0.8</x:v>
      </x:c>
      <x:c r="H7" s="216" t="n">
        <x:f>F7*G7</x:f>
        <x:v>905520</x:v>
      </x:c>
      <x:c r="I7" s="216" t="n">
        <x:f>H7*'Hypothèses'!B19</x:f>
        <x:v>18110.4</x:v>
      </x:c>
      <x:c r="J7" s="216" t="n">
        <x:f>H7+I7</x:f>
        <x:v>923630.4</x:v>
      </x:c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61" t="str">
        <x:v>Payout #3</x:v>
      </x:c>
      <x:c r="B8" s="211" t="n">
        <x:f>'Économie Unitaire'!B24</x:f>
        <x:v>0.0077</x:v>
      </x:c>
      <x:c r="C8" s="316" t="n">
        <x:f>B8*1000</x:f>
        <x:v>7.7</x:v>
      </x:c>
      <x:c r="D8" s="216" t="n">
        <x:f>'Économie Unitaire'!C24</x:f>
        <x:v>157500</x:v>
      </x:c>
      <x:c r="E8" s="211" t="n">
        <x:f>'Hypothèses'!B13</x:f>
        <x:v>0.7</x:v>
      </x:c>
      <x:c r="F8" s="216" t="n">
        <x:f>C8*D8*E8</x:f>
        <x:v>848925</x:v>
      </x:c>
      <x:c r="G8" s="211" t="n">
        <x:f>'Économie Unitaire'!E24</x:f>
        <x:v>0.8</x:v>
      </x:c>
      <x:c r="H8" s="216" t="n">
        <x:f>F8*G8</x:f>
        <x:v>679140</x:v>
      </x:c>
      <x:c r="I8" s="216" t="n">
        <x:f>H8*'Hypothèses'!B19</x:f>
        <x:v>13582.800000000001</x:v>
      </x:c>
      <x:c r="J8" s="216" t="n">
        <x:f>H8+I8</x:f>
        <x:v>692722.8</x:v>
      </x:c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61" t="str">
        <x:v>Payout #4</x:v>
      </x:c>
      <x:c r="B9" s="211" t="n">
        <x:f>'Économie Unitaire'!B25</x:f>
        <x:v>0.003465</x:v>
      </x:c>
      <x:c r="C9" s="316" t="n">
        <x:f>B9*1000</x:f>
        <x:v>3.4650000000000003</x:v>
      </x:c>
      <x:c r="D9" s="216" t="n">
        <x:f>'Économie Unitaire'!C25</x:f>
        <x:v>157500</x:v>
      </x:c>
      <x:c r="E9" s="211" t="n">
        <x:f>'Hypothèses'!B13</x:f>
        <x:v>0.7</x:v>
      </x:c>
      <x:c r="F9" s="216" t="n">
        <x:f>C9*D9*E9</x:f>
        <x:v>382016.25</x:v>
      </x:c>
      <x:c r="G9" s="211" t="n">
        <x:f>'Économie Unitaire'!E25</x:f>
        <x:v>0.8</x:v>
      </x:c>
      <x:c r="H9" s="216" t="n">
        <x:f>F9*G9</x:f>
        <x:v>305613</x:v>
      </x:c>
      <x:c r="I9" s="216" t="n">
        <x:f>H9*'Hypothèses'!B19</x:f>
        <x:v>6112.26</x:v>
      </x:c>
      <x:c r="J9" s="216" t="n">
        <x:f>H9+I9</x:f>
        <x:v>311725.26</x:v>
      </x:c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61" t="str">
        <x:v>Payout #5</x:v>
      </x:c>
      <x:c r="B10" s="211" t="n">
        <x:f>'Économie Unitaire'!B26</x:f>
        <x:v>0.001386</x:v>
      </x:c>
      <x:c r="C10" s="316" t="n">
        <x:f>B10*1000</x:f>
        <x:v>1.3860000000000001</x:v>
      </x:c>
      <x:c r="D10" s="216" t="n">
        <x:f>'Économie Unitaire'!C26</x:f>
        <x:v>262500</x:v>
      </x:c>
      <x:c r="E10" s="211" t="n">
        <x:f>'Hypothèses'!B13</x:f>
        <x:v>0.7</x:v>
      </x:c>
      <x:c r="F10" s="216" t="n">
        <x:f>C10*D10*E10</x:f>
        <x:v>254677.50000000003</x:v>
      </x:c>
      <x:c r="G10" s="211" t="n">
        <x:f>'Économie Unitaire'!E26</x:f>
        <x:v>0.9</x:v>
      </x:c>
      <x:c r="H10" s="216" t="n">
        <x:f>F10*G10</x:f>
        <x:v>229209.75000000003</x:v>
      </x:c>
      <x:c r="I10" s="216" t="n">
        <x:f>H10*'Hypothèses'!B19</x:f>
        <x:v>4584.195000000001</x:v>
      </x:c>
      <x:c r="J10" s="216" t="n">
        <x:f>H10+I10</x:f>
        <x:v>233793.94500000004</x:v>
      </x:c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61"/>
      <x:c r="B11" s="161"/>
      <x:c r="C11" s="161"/>
      <x:c r="D11" s="161"/>
      <x:c r="E11" s="161"/>
      <x:c r="F11" s="161"/>
      <x:c r="G11" s="161"/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289" t="str">
        <x:v>Total cash payouts</x:v>
      </x:c>
      <x:c r="B12" s="289" t="str"/>
      <x:c r="C12" s="289" t="str"/>
      <x:c r="D12" s="289" t="str"/>
      <x:c r="E12" s="289" t="str"/>
      <x:c r="F12" s="289" t="str"/>
      <x:c r="G12" s="289" t="str"/>
      <x:c r="H12" s="289" t="str"/>
      <x:c r="I12" s="289" t="str"/>
      <x:c r="J12" s="290" t="n">
        <x:f>SUM(J6:J10)</x:f>
        <x:v>3841200.405</x:v>
      </x:c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61"/>
      <x:c r="B13" s="161"/>
      <x:c r="C13" s="161"/>
      <x:c r="D13" s="161"/>
      <x:c r="E13" s="161"/>
      <x:c r="F13" s="161"/>
      <x:c r="G13" s="161"/>
      <x:c r="H13" s="161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61"/>
      <x:c r="B14" s="161"/>
      <x:c r="C14" s="161"/>
      <x:c r="D14" s="161"/>
      <x:c r="E14" s="161"/>
      <x:c r="F14" s="161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63" t="str">
        <x:v>B. P&amp;L de la cohorte</x:v>
      </x:c>
      <x:c r="B15" s="161"/>
      <x:c r="C15" s="161"/>
      <x:c r="D15" s="161"/>
      <x:c r="E15" s="161"/>
      <x:c r="F15" s="161"/>
      <x:c r="G15" s="161"/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64" t="str">
        <x:v>Métrique</x:v>
      </x:c>
      <x:c r="B16" s="164" t="str">
        <x:v>Montant (FCFA)</x:v>
      </x:c>
      <x:c r="C16" s="164" t="str">
        <x:v>Par achat</x:v>
      </x:c>
      <x:c r="D16" s="164" t="str">
        <x:v>Commentaire</x:v>
      </x:c>
      <x:c r="E16" s="161"/>
      <x:c r="F16" s="161"/>
      <x:c r="G16" s="161"/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61" t="str">
        <x:v>Chiffre d’affaires</x:v>
      </x:c>
      <x:c r="B17" s="216" t="n">
        <x:f>'Économie Unitaire'!B7*1000</x:f>
        <x:v>25250000</x:v>
      </x:c>
      <x:c r="C17" s="216" t="n">
        <x:f>B17/1000</x:f>
        <x:v>25250</x:v>
      </x:c>
      <x:c r="D17" s="161" t="str"/>
      <x:c r="E17" s="161"/>
      <x:c r="F17" s="161"/>
      <x:c r="G17" s="161"/>
      <x:c r="H17" s="161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61" t="str">
        <x:v>Remboursements / chargebacks</x:v>
      </x:c>
      <x:c r="B18" s="216" t="n">
        <x:f>'Économie Unitaire'!B8*1000</x:f>
        <x:v>-378750</x:v>
      </x:c>
      <x:c r="C18" s="216" t="n">
        <x:f>B18/1000</x:f>
        <x:v>-378.75</x:v>
      </x:c>
      <x:c r="D18" s="161" t="str"/>
      <x:c r="E18" s="161"/>
      <x:c r="F18" s="161"/>
      <x:c r="G18" s="161"/>
      <x:c r="H18" s="161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61" t="str">
        <x:v>Frais PSP</x:v>
      </x:c>
      <x:c r="B19" s="216" t="n">
        <x:f>'Économie Unitaire'!B9*1000</x:f>
        <x:v>-870493.7500000001</x:v>
      </x:c>
      <x:c r="C19" s="216" t="n">
        <x:f>B19/1000</x:f>
        <x:v>-870.4937500000001</x:v>
      </x:c>
      <x:c r="D19" s="161" t="str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61" t="str">
        <x:v>Provision fiscale</x:v>
      </x:c>
      <x:c r="B20" s="216" t="n">
        <x:f>'Économie Unitaire'!B10*1000</x:f>
        <x:v>0</x:v>
      </x:c>
      <x:c r="C20" s="216" t="n">
        <x:f>B20/1000</x:f>
        <x:v>0</x:v>
      </x:c>
      <x:c r="D20" s="161" t="str"/>
      <x:c r="E20" s="161"/>
      <x:c r="F20" s="161"/>
      <x:c r="G20" s="161"/>
      <x:c r="H20" s="161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61" t="str">
        <x:v>CAC</x:v>
      </x:c>
      <x:c r="B21" s="216" t="n">
        <x:f>'Économie Unitaire'!B11*1000</x:f>
        <x:v>-4500000</x:v>
      </x:c>
      <x:c r="C21" s="216" t="n">
        <x:f>B21/1000</x:f>
        <x:v>-4500</x:v>
      </x:c>
      <x:c r="D21" s="161" t="str"/>
      <x:c r="E21" s="161"/>
      <x:c r="F21" s="161"/>
      <x:c r="G21" s="161"/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61" t="str">
        <x:v>Support variable</x:v>
      </x:c>
      <x:c r="B22" s="216" t="n">
        <x:f>'Économie Unitaire'!B12*1000</x:f>
        <x:v>-700000</x:v>
      </x:c>
      <x:c r="C22" s="216" t="n">
        <x:f>B22/1000</x:f>
        <x:v>-700</x:v>
      </x:c>
      <x:c r="D22" s="161" t="str"/>
      <x:c r="E22" s="161"/>
      <x:c r="F22" s="161"/>
      <x:c r="G22" s="161"/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 t="str">
        <x:v>KYC / contrôle</x:v>
      </x:c>
      <x:c r="B23" s="216" t="n">
        <x:f>'Économie Unitaire'!B13*1000</x:f>
        <x:v>-160000</x:v>
      </x:c>
      <x:c r="C23" s="216" t="n">
        <x:f>B23/1000</x:f>
        <x:v>-160</x:v>
      </x:c>
      <x:c r="D23" s="161" t="str"/>
      <x:c r="E23" s="161"/>
      <x:c r="F23" s="161"/>
      <x:c r="G23" s="161"/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 t="str">
        <x:v>Fraude / paiement</x:v>
      </x:c>
      <x:c r="B24" s="216" t="n">
        <x:f>'Économie Unitaire'!B14*1000</x:f>
        <x:v>-126250</x:v>
      </x:c>
      <x:c r="C24" s="216" t="n">
        <x:f>B24/1000</x:f>
        <x:v>-126.25</x:v>
      </x:c>
      <x:c r="D24" s="161" t="str"/>
      <x:c r="E24" s="161"/>
      <x:c r="F24" s="161"/>
      <x:c r="G24" s="161"/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 t="str">
        <x:v>Affiliation</x:v>
      </x:c>
      <x:c r="B25" s="216" t="n">
        <x:f>'Économie Unitaire'!B15*1000</x:f>
        <x:v>0</x:v>
      </x:c>
      <x:c r="C25" s="216" t="n">
        <x:f>B25/1000</x:f>
        <x:v>0</x:v>
      </x:c>
      <x:c r="D25" s="161" t="str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61" t="str">
        <x:v>Cash payouts</x:v>
      </x:c>
      <x:c r="B26" s="216" t="n">
        <x:f>-J12</x:f>
        <x:v>-3841200.405</x:v>
      </x:c>
      <x:c r="C26" s="216" t="n">
        <x:f>B26/1000</x:f>
        <x:v>-3841.2004049999996</x:v>
      </x:c>
      <x:c r="D26" s="161" t="str"/>
      <x:c r="E26" s="161"/>
      <x:c r="F26" s="161"/>
      <x:c r="G26" s="161"/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61"/>
      <x:c r="B27" s="161"/>
      <x:c r="C27" s="161"/>
      <x:c r="D27" s="161"/>
      <x:c r="E27" s="161"/>
      <x:c r="F27" s="161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289" t="str">
        <x:v>Contribution avant OPEX fixe</x:v>
      </x:c>
      <x:c r="B28" s="290" t="n">
        <x:f>SUM(B17:B26)</x:f>
        <x:v>14673305.845</x:v>
      </x:c>
      <x:c r="C28" s="290" t="n">
        <x:f>B28/1000</x:f>
        <x:v>14673.305845</x:v>
      </x:c>
      <x:c r="D28" s="289" t="str"/>
      <x:c r="E28" s="161"/>
      <x:c r="F28" s="161"/>
      <x:c r="G28" s="161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61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4" t="str">
        <x:v>Indicateur</x:v>
      </x:c>
      <x:c r="B30" s="164" t="str">
        <x:v>Valeur</x:v>
      </x:c>
      <x:c r="C30" s="164" t="str">
        <x:v>Unité</x:v>
      </x:c>
      <x:c r="D30" s="164" t="str">
        <x:v>Lecture</x:v>
      </x:c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1" t="str">
        <x:v>Réserve à 2,0x</x:v>
      </x:c>
      <x:c r="B31" s="292" t="n">
        <x:f>J12*'Hypothèses'!B38</x:f>
        <x:v>7682400.81</x:v>
      </x:c>
      <x:c r="C31" s="161" t="str">
        <x:v>FCFA</x:v>
      </x:c>
      <x:c r="D31" s="161" t="str">
        <x:v>Cash payout attendu × couverture cible</x:v>
      </x:c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61" t="str">
        <x:v>Comptes passés</x:v>
      </x:c>
      <x:c r="B32" s="317" t="n">
        <x:f>1000*'Hypothèses'!B7</x:f>
        <x:v>80</x:v>
      </x:c>
      <x:c r="C32" s="161" t="str">
        <x:v>comptes</x:v>
      </x:c>
      <x:c r="D32" s="161" t="str">
        <x:v>1 000 × taux de réussite</x:v>
      </x:c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61" t="str">
        <x:v>Comptes atteignant payout #1</x:v>
      </x:c>
      <x:c r="B33" s="317" t="n">
        <x:f>C6</x:f>
        <x:v>27.999999999999996</x:v>
      </x:c>
      <x:c r="C33" s="161" t="str">
        <x:v>comptes</x:v>
      </x:c>
      <x:c r="D33" s="161" t="str">
        <x:v>Probabilité cumulée</x:v>
      </x:c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J1"/>
    <x:mergeCell ref="A2:J2"/>
    <x:mergeCell ref="A4:J4"/>
    <x:mergeCell ref="A15:J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15" hidden="0" customHeight="1">
      <x:c r="A1" s="400" t="str">
        <x:v>WARIBA — Prévision de trésorerie sur 24 mois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62" t="str">
        <x:v>Les repurchases sont calculés sur les achats échoués du mois précédent. Les payouts sont projetés par cohorte avec des lags de 2 à 6 mois.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61"/>
      <x:c r="B3" s="161"/>
      <x:c r="C3" s="161"/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64" t="str">
        <x:v>Mois</x:v>
      </x:c>
      <x:c r="B4" s="164" t="str">
        <x:v>M1</x:v>
      </x:c>
      <x:c r="C4" s="164" t="str">
        <x:v>M2</x:v>
      </x:c>
      <x:c r="D4" s="164" t="str">
        <x:v>M3</x:v>
      </x:c>
      <x:c r="E4" s="164" t="str">
        <x:v>M4</x:v>
      </x:c>
      <x:c r="F4" s="164" t="str">
        <x:v>M5</x:v>
      </x:c>
      <x:c r="G4" s="164" t="str">
        <x:v>M6</x:v>
      </x:c>
      <x:c r="H4" s="164" t="str">
        <x:v>M7</x:v>
      </x:c>
      <x:c r="I4" s="164" t="str">
        <x:v>M8</x:v>
      </x:c>
      <x:c r="J4" s="164" t="str">
        <x:v>M9</x:v>
      </x:c>
      <x:c r="K4" s="164" t="str">
        <x:v>M10</x:v>
      </x:c>
      <x:c r="L4" s="164" t="str">
        <x:v>M11</x:v>
      </x:c>
      <x:c r="M4" s="164" t="str">
        <x:v>M12</x:v>
      </x:c>
      <x:c r="N4" s="164" t="str">
        <x:v>M13</x:v>
      </x:c>
      <x:c r="O4" s="164" t="str">
        <x:v>M14</x:v>
      </x:c>
      <x:c r="P4" s="164" t="str">
        <x:v>M15</x:v>
      </x:c>
      <x:c r="Q4" s="164" t="str">
        <x:v>M16</x:v>
      </x:c>
      <x:c r="R4" s="164" t="str">
        <x:v>M17</x:v>
      </x:c>
      <x:c r="S4" s="164" t="str">
        <x:v>M18</x:v>
      </x:c>
      <x:c r="T4" s="164" t="str">
        <x:v>M19</x:v>
      </x:c>
      <x:c r="U4" s="164" t="str">
        <x:v>M20</x:v>
      </x:c>
      <x:c r="V4" s="164" t="str">
        <x:v>M21</x:v>
      </x:c>
      <x:c r="W4" s="164" t="str">
        <x:v>M22</x:v>
      </x:c>
      <x:c r="X4" s="164" t="str">
        <x:v>M23</x:v>
      </x:c>
      <x:c r="Y4" s="164" t="str">
        <x:v>M24</x:v>
      </x:c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61" t="str">
        <x:v>Nouveaux acheteurs</x:v>
      </x:c>
      <x:c r="B5" s="316" t="n">
        <x:f>'Hypothèses'!B43</x:f>
        <x:v>25</x:v>
      </x:c>
      <x:c r="C5" s="316" t="n">
        <x:f>'Hypothèses'!C43</x:f>
        <x:v>40</x:v>
      </x:c>
      <x:c r="D5" s="316" t="n">
        <x:f>'Hypothèses'!D43</x:f>
        <x:v>60</x:v>
      </x:c>
      <x:c r="E5" s="316" t="n">
        <x:f>'Hypothèses'!E43</x:f>
        <x:v>80</x:v>
      </x:c>
      <x:c r="F5" s="316" t="n">
        <x:f>'Hypothèses'!F43</x:f>
        <x:v>100</x:v>
      </x:c>
      <x:c r="G5" s="316" t="n">
        <x:f>'Hypothèses'!G43</x:f>
        <x:v>130</x:v>
      </x:c>
      <x:c r="H5" s="316" t="n">
        <x:f>'Hypothèses'!H43</x:f>
        <x:v>160</x:v>
      </x:c>
      <x:c r="I5" s="316" t="n">
        <x:f>'Hypothèses'!I43</x:f>
        <x:v>200</x:v>
      </x:c>
      <x:c r="J5" s="316" t="n">
        <x:f>'Hypothèses'!J43</x:f>
        <x:v>240</x:v>
      </x:c>
      <x:c r="K5" s="316" t="n">
        <x:f>'Hypothèses'!K43</x:f>
        <x:v>280</x:v>
      </x:c>
      <x:c r="L5" s="316" t="n">
        <x:f>'Hypothèses'!L43</x:f>
        <x:v>320</x:v>
      </x:c>
      <x:c r="M5" s="316" t="n">
        <x:f>'Hypothèses'!M43</x:f>
        <x:v>360</x:v>
      </x:c>
      <x:c r="N5" s="316" t="n">
        <x:f>'Hypothèses'!N43</x:f>
        <x:v>400</x:v>
      </x:c>
      <x:c r="O5" s="316" t="n">
        <x:f>'Hypothèses'!O43</x:f>
        <x:v>450</x:v>
      </x:c>
      <x:c r="P5" s="316" t="n">
        <x:f>'Hypothèses'!P43</x:f>
        <x:v>500</x:v>
      </x:c>
      <x:c r="Q5" s="316" t="n">
        <x:f>'Hypothèses'!Q43</x:f>
        <x:v>550</x:v>
      </x:c>
      <x:c r="R5" s="316" t="n">
        <x:f>'Hypothèses'!R43</x:f>
        <x:v>600</x:v>
      </x:c>
      <x:c r="S5" s="316" t="n">
        <x:f>'Hypothèses'!S43</x:f>
        <x:v>650</x:v>
      </x:c>
      <x:c r="T5" s="316" t="n">
        <x:f>'Hypothèses'!T43</x:f>
        <x:v>700</x:v>
      </x:c>
      <x:c r="U5" s="316" t="n">
        <x:f>'Hypothèses'!U43</x:f>
        <x:v>750</x:v>
      </x:c>
      <x:c r="V5" s="316" t="n">
        <x:f>'Hypothèses'!V43</x:f>
        <x:v>800</x:v>
      </x:c>
      <x:c r="W5" s="316" t="n">
        <x:f>'Hypothèses'!W43</x:f>
        <x:v>850</x:v>
      </x:c>
      <x:c r="X5" s="316" t="n">
        <x:f>'Hypothèses'!X43</x:f>
        <x:v>900</x:v>
      </x:c>
      <x:c r="Y5" s="316" t="n">
        <x:f>'Hypothèses'!Y43</x:f>
        <x:v>1000</x:v>
      </x:c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61" t="str">
        <x:v>Repurchases</x:v>
      </x:c>
      <x:c r="B6" s="316" t="n">
        <x:v>0</x:v>
      </x:c>
      <x:c r="C6" s="316" t="n">
        <x:f>B7*(1-'Hypothèses'!B7)*'Hypothèses'!B22</x:f>
        <x:v>5.75</x:v>
      </x:c>
      <x:c r="D6" s="316" t="n">
        <x:f>C7*(1-'Hypothèses'!B7)*'Hypothèses'!B22</x:f>
        <x:v>10.5225</x:v>
      </x:c>
      <x:c r="E6" s="316" t="n">
        <x:f>D7*(1-'Hypothèses'!B7)*'Hypothèses'!B22</x:f>
        <x:v>16.220175</x:v>
      </x:c>
      <x:c r="F6" s="316" t="n">
        <x:f>E7*(1-'Hypothèses'!B7)*'Hypothèses'!B22</x:f>
        <x:v>22.13064025</x:v>
      </x:c>
      <x:c r="G6" s="316" t="n">
        <x:f>F7*(1-'Hypothèses'!B7)*'Hypothèses'!B22</x:f>
        <x:v>28.0900472575</x:v>
      </x:c>
      <x:c r="H6" s="316" t="n">
        <x:f>G7*(1-'Hypothèses'!B7)*'Hypothèses'!B22</x:f>
        <x:v>36.360710869225</x:v>
      </x:c>
      <x:c r="I6" s="316" t="n">
        <x:f>H7*(1-'Hypothèses'!B7)*'Hypothèses'!B22</x:f>
        <x:v>45.16296349992175</x:v>
      </x:c>
      <x:c r="J6" s="316" t="n">
        <x:f>I7*(1-'Hypothèses'!B7)*'Hypothèses'!B22</x:f>
        <x:v>56.38748160498201</x:v>
      </x:c>
      <x:c r="K6" s="316" t="n">
        <x:f>J7*(1-'Hypothèses'!B7)*'Hypothèses'!B22</x:f>
        <x:v>68.16912076914586</x:v>
      </x:c>
      <x:c r="L6" s="316" t="n">
        <x:f>K7*(1-'Hypothèses'!B7)*'Hypothèses'!B22</x:f>
        <x:v>80.07889777690356</x:v>
      </x:c>
      <x:c r="M6" s="316" t="n">
        <x:f>L7*(1-'Hypothèses'!B7)*'Hypothèses'!B22</x:f>
        <x:v>92.01814648868782</x:v>
      </x:c>
      <x:c r="N6" s="316" t="n">
        <x:f>M7*(1-'Hypothèses'!B7)*'Hypothèses'!B22</x:f>
        <x:v>103.9641736923982</x:v>
      </x:c>
      <x:c r="O6" s="316" t="n">
        <x:f>N7*(1-'Hypothèses'!B7)*'Hypothèses'!B22</x:f>
        <x:v>115.91175994925159</x:v>
      </x:c>
      <x:c r="P6" s="316" t="n">
        <x:f>O7*(1-'Hypothèses'!B7)*'Hypothèses'!B22</x:f>
        <x:v>130.15970478832787</x:v>
      </x:c>
      <x:c r="Q6" s="316" t="n">
        <x:f>P7*(1-'Hypothèses'!B7)*'Hypothèses'!B22</x:f>
        <x:v>144.9367321013154</x:v>
      </x:c>
      <x:c r="R6" s="316" t="n">
        <x:f>Q7*(1-'Hypothèses'!B7)*'Hypothèses'!B22</x:f>
        <x:v>159.83544838330255</x:v>
      </x:c>
      <x:c r="S6" s="316" t="n">
        <x:f>R7*(1-'Hypothèses'!B7)*'Hypothèses'!B22</x:f>
        <x:v>174.76215312815958</x:v>
      </x:c>
      <x:c r="T6" s="316" t="n">
        <x:f>S7*(1-'Hypothèses'!B7)*'Hypothèses'!B22</x:f>
        <x:v>189.6952952194767</x:v>
      </x:c>
      <x:c r="U6" s="316" t="n">
        <x:f>T7*(1-'Hypothèses'!B7)*'Hypothèses'!B22</x:f>
        <x:v>204.62991790047965</x:v>
      </x:c>
      <x:c r="V6" s="316" t="n">
        <x:f>U7*(1-'Hypothèses'!B7)*'Hypothèses'!B22</x:f>
        <x:v>219.56488111711033</x:v>
      </x:c>
      <x:c r="W6" s="316" t="n">
        <x:f>V7*(1-'Hypothèses'!B7)*'Hypothèses'!B22</x:f>
        <x:v>234.49992265693538</x:v>
      </x:c>
      <x:c r="X6" s="316" t="n">
        <x:f>W7*(1-'Hypothèses'!B7)*'Hypothèses'!B22</x:f>
        <x:v>249.43498221109513</x:v>
      </x:c>
      <x:c r="Y6" s="316" t="n">
        <x:f>X7*(1-'Hypothèses'!B7)*'Hypothèses'!B22</x:f>
        <x:v>264.3700459085519</x:v>
      </x:c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61" t="str">
        <x:v>Achats totaux</x:v>
      </x:c>
      <x:c r="B7" s="316" t="n">
        <x:f>B5+B6</x:f>
        <x:v>25</x:v>
      </x:c>
      <x:c r="C7" s="316" t="n">
        <x:f>C5+C6</x:f>
        <x:v>45.75</x:v>
      </x:c>
      <x:c r="D7" s="316" t="n">
        <x:f>D5+D6</x:f>
        <x:v>70.52250000000001</x:v>
      </x:c>
      <x:c r="E7" s="316" t="n">
        <x:f>E5+E6</x:f>
        <x:v>96.220175</x:v>
      </x:c>
      <x:c r="F7" s="316" t="n">
        <x:f>F5+F6</x:f>
        <x:v>122.13064025</x:v>
      </x:c>
      <x:c r="G7" s="316" t="n">
        <x:f>G5+G6</x:f>
        <x:v>158.0900472575</x:v>
      </x:c>
      <x:c r="H7" s="316" t="n">
        <x:f>H5+H6</x:f>
        <x:v>196.360710869225</x:v>
      </x:c>
      <x:c r="I7" s="316" t="n">
        <x:f>I5+I6</x:f>
        <x:v>245.16296349992174</x:v>
      </x:c>
      <x:c r="J7" s="316" t="n">
        <x:f>J5+J6</x:f>
        <x:v>296.387481604982</x:v>
      </x:c>
      <x:c r="K7" s="316" t="n">
        <x:f>K5+K6</x:f>
        <x:v>348.1691207691459</x:v>
      </x:c>
      <x:c r="L7" s="316" t="n">
        <x:f>L5+L6</x:f>
        <x:v>400.07889777690355</x:v>
      </x:c>
      <x:c r="M7" s="316" t="n">
        <x:f>M5+M6</x:f>
        <x:v>452.0181464886878</x:v>
      </x:c>
      <x:c r="N7" s="316" t="n">
        <x:f>N5+N6</x:f>
        <x:v>503.9641736923982</x:v>
      </x:c>
      <x:c r="O7" s="316" t="n">
        <x:f>O5+O6</x:f>
        <x:v>565.9117599492516</x:v>
      </x:c>
      <x:c r="P7" s="316" t="n">
        <x:f>P5+P6</x:f>
        <x:v>630.1597047883279</x:v>
      </x:c>
      <x:c r="Q7" s="316" t="n">
        <x:f>Q5+Q6</x:f>
        <x:v>694.9367321013154</x:v>
      </x:c>
      <x:c r="R7" s="316" t="n">
        <x:f>R5+R6</x:f>
        <x:v>759.8354483833025</x:v>
      </x:c>
      <x:c r="S7" s="316" t="n">
        <x:f>S5+S6</x:f>
        <x:v>824.7621531281595</x:v>
      </x:c>
      <x:c r="T7" s="316" t="n">
        <x:f>T5+T6</x:f>
        <x:v>889.6952952194767</x:v>
      </x:c>
      <x:c r="U7" s="316" t="n">
        <x:f>U5+U6</x:f>
        <x:v>954.6299179004797</x:v>
      </x:c>
      <x:c r="V7" s="316" t="n">
        <x:f>V5+V6</x:f>
        <x:v>1019.5648811171103</x:v>
      </x:c>
      <x:c r="W7" s="316" t="n">
        <x:f>W5+W6</x:f>
        <x:v>1084.4999226569353</x:v>
      </x:c>
      <x:c r="X7" s="316" t="n">
        <x:f>X5+X6</x:f>
        <x:v>1149.434982211095</x:v>
      </x:c>
      <x:c r="Y7" s="316" t="n">
        <x:f>Y5+Y6</x:f>
        <x:v>1264.370045908552</x:v>
      </x:c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61" t="str">
        <x:v>Chiffre d’affaires</x:v>
      </x:c>
      <x:c r="B8" s="216" t="n">
        <x:f>B7*'Économie Unitaire'!B7</x:f>
        <x:v>631250</x:v>
      </x:c>
      <x:c r="C8" s="216" t="n">
        <x:f>C7*'Économie Unitaire'!B7</x:f>
        <x:v>1155187.5</x:v>
      </x:c>
      <x:c r="D8" s="216" t="n">
        <x:f>D7*'Économie Unitaire'!B7</x:f>
        <x:v>1780693.1250000002</x:v>
      </x:c>
      <x:c r="E8" s="216" t="n">
        <x:f>E7*'Économie Unitaire'!B7</x:f>
        <x:v>2429559.4187499997</x:v>
      </x:c>
      <x:c r="F8" s="216" t="n">
        <x:f>F7*'Économie Unitaire'!B7</x:f>
        <x:v>3083798.6663125</x:v>
      </x:c>
      <x:c r="G8" s="216" t="n">
        <x:f>G7*'Économie Unitaire'!B7</x:f>
        <x:v>3991773.693251875</x:v>
      </x:c>
      <x:c r="H8" s="216" t="n">
        <x:f>H7*'Économie Unitaire'!B7</x:f>
        <x:v>4958107.949447931</x:v>
      </x:c>
      <x:c r="I8" s="216" t="n">
        <x:f>I7*'Économie Unitaire'!B7</x:f>
        <x:v>6190364.828373024</x:v>
      </x:c>
      <x:c r="J8" s="216" t="n">
        <x:f>J7*'Économie Unitaire'!B7</x:f>
        <x:v>7483783.910525795</x:v>
      </x:c>
      <x:c r="K8" s="216" t="n">
        <x:f>K7*'Économie Unitaire'!B7</x:f>
        <x:v>8791270.299420934</x:v>
      </x:c>
      <x:c r="L8" s="216" t="n">
        <x:f>L7*'Économie Unitaire'!B7</x:f>
        <x:v>10101992.168866815</x:v>
      </x:c>
      <x:c r="M8" s="216" t="n">
        <x:f>M7*'Économie Unitaire'!B7</x:f>
        <x:v>11413458.198839368</x:v>
      </x:c>
      <x:c r="N8" s="216" t="n">
        <x:f>N7*'Économie Unitaire'!B7</x:f>
        <x:v>12725095.385733055</x:v>
      </x:c>
      <x:c r="O8" s="216" t="n">
        <x:f>O7*'Économie Unitaire'!B7</x:f>
        <x:v>14289271.938718604</x:v>
      </x:c>
      <x:c r="P8" s="216" t="n">
        <x:f>P7*'Économie Unitaire'!B7</x:f>
        <x:v>15911532.545905279</x:v>
      </x:c>
      <x:c r="Q8" s="216" t="n">
        <x:f>Q7*'Économie Unitaire'!B7</x:f>
        <x:v>17547152.485558216</x:v>
      </x:c>
      <x:c r="R8" s="216" t="n">
        <x:f>R7*'Économie Unitaire'!B7</x:f>
        <x:v>19185845.07167839</x:v>
      </x:c>
      <x:c r="S8" s="216" t="n">
        <x:f>S7*'Économie Unitaire'!B7</x:f>
        <x:v>20825244.366486028</x:v>
      </x:c>
      <x:c r="T8" s="216" t="n">
        <x:f>T7*'Économie Unitaire'!B7</x:f>
        <x:v>22464806.204291787</x:v>
      </x:c>
      <x:c r="U8" s="216" t="n">
        <x:f>U7*'Économie Unitaire'!B7</x:f>
        <x:v>24104405.42698711</x:v>
      </x:c>
      <x:c r="V8" s="216" t="n">
        <x:f>V7*'Économie Unitaire'!B7</x:f>
        <x:v>25744013.248207036</x:v>
      </x:c>
      <x:c r="W8" s="216" t="n">
        <x:f>W7*'Économie Unitaire'!B7</x:f>
        <x:v>27383623.047087617</x:v>
      </x:c>
      <x:c r="X8" s="216" t="n">
        <x:f>X7*'Économie Unitaire'!B7</x:f>
        <x:v>29023233.300830152</x:v>
      </x:c>
      <x:c r="Y8" s="216" t="n">
        <x:f>Y7*'Économie Unitaire'!B7</x:f>
        <x:v>31925343.659190934</x:v>
      </x:c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61" t="str">
        <x:v>Remboursements</x:v>
      </x:c>
      <x:c r="B9" s="216" t="n">
        <x:f>-B8*'Hypothèses'!B14</x:f>
        <x:v>-9468.75</x:v>
      </x:c>
      <x:c r="C9" s="216" t="n">
        <x:f>-C8*'Hypothèses'!B14</x:f>
        <x:v>-17327.8125</x:v>
      </x:c>
      <x:c r="D9" s="216" t="n">
        <x:f>-D8*'Hypothèses'!B14</x:f>
        <x:v>-26710.396875000002</x:v>
      </x:c>
      <x:c r="E9" s="216" t="n">
        <x:f>-E8*'Hypothèses'!B14</x:f>
        <x:v>-36443.39128124999</x:v>
      </x:c>
      <x:c r="F9" s="216" t="n">
        <x:f>-F8*'Hypothèses'!B14</x:f>
        <x:v>-46256.9799946875</x:v>
      </x:c>
      <x:c r="G9" s="216" t="n">
        <x:f>-G8*'Hypothèses'!B14</x:f>
        <x:v>-59876.60539877813</x:v>
      </x:c>
      <x:c r="H9" s="216" t="n">
        <x:f>-H8*'Hypothèses'!B14</x:f>
        <x:v>-74371.61924171896</x:v>
      </x:c>
      <x:c r="I9" s="216" t="n">
        <x:f>-I8*'Hypothèses'!B14</x:f>
        <x:v>-92855.47242559536</x:v>
      </x:c>
      <x:c r="J9" s="216" t="n">
        <x:f>-J8*'Hypothèses'!B14</x:f>
        <x:v>-112256.75865788692</x:v>
      </x:c>
      <x:c r="K9" s="216" t="n">
        <x:f>-K8*'Hypothèses'!B14</x:f>
        <x:v>-131869.05449131402</x:v>
      </x:c>
      <x:c r="L9" s="216" t="n">
        <x:f>-L8*'Hypothèses'!B14</x:f>
        <x:v>-151529.8825330022</x:v>
      </x:c>
      <x:c r="M9" s="216" t="n">
        <x:f>-M8*'Hypothèses'!B14</x:f>
        <x:v>-171201.87298259052</x:v>
      </x:c>
      <x:c r="N9" s="216" t="n">
        <x:f>-N8*'Hypothèses'!B14</x:f>
        <x:v>-190876.43078599582</x:v>
      </x:c>
      <x:c r="O9" s="216" t="n">
        <x:f>-O8*'Hypothèses'!B14</x:f>
        <x:v>-214339.07908077905</x:v>
      </x:c>
      <x:c r="P9" s="216" t="n">
        <x:f>-P8*'Hypothèses'!B14</x:f>
        <x:v>-238672.98818857918</x:v>
      </x:c>
      <x:c r="Q9" s="216" t="n">
        <x:f>-Q8*'Hypothèses'!B14</x:f>
        <x:v>-263207.28728337324</x:v>
      </x:c>
      <x:c r="R9" s="216" t="n">
        <x:f>-R8*'Hypothèses'!B14</x:f>
        <x:v>-287787.6760751758</x:v>
      </x:c>
      <x:c r="S9" s="216" t="n">
        <x:f>-S8*'Hypothèses'!B14</x:f>
        <x:v>-312378.6654972904</x:v>
      </x:c>
      <x:c r="T9" s="216" t="n">
        <x:f>-T8*'Hypothèses'!B14</x:f>
        <x:v>-336972.0930643768</x:v>
      </x:c>
      <x:c r="U9" s="216" t="n">
        <x:f>-U8*'Hypothèses'!B14</x:f>
        <x:v>-361566.08140480664</x:v>
      </x:c>
      <x:c r="V9" s="216" t="n">
        <x:f>-V8*'Hypothèses'!B14</x:f>
        <x:v>-386160.19872310554</x:v>
      </x:c>
      <x:c r="W9" s="216" t="n">
        <x:f>-W8*'Hypothèses'!B14</x:f>
        <x:v>-410754.34570631426</x:v>
      </x:c>
      <x:c r="X9" s="216" t="n">
        <x:f>-X8*'Hypothèses'!B14</x:f>
        <x:v>-435348.4995124523</x:v>
      </x:c>
      <x:c r="Y9" s="216" t="n">
        <x:f>-Y8*'Hypothèses'!B14</x:f>
        <x:v>-478880.154887864</x:v>
      </x:c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61" t="str">
        <x:v>Frais PSP</x:v>
      </x:c>
      <x:c r="B10" s="216" t="n">
        <x:f>-(B8+B9)*'Hypothèses'!B15</x:f>
        <x:v>-21762.343750000004</x:v>
      </x:c>
      <x:c r="C10" s="216" t="n">
        <x:f>-(C8+C9)*'Hypothèses'!B15</x:f>
        <x:v>-39825.0890625</x:v>
      </x:c>
      <x:c r="D10" s="216" t="n">
        <x:f>-(D8+D9)*'Hypothèses'!B15</x:f>
        <x:v>-61389.39548437501</x:v>
      </x:c>
      <x:c r="E10" s="216" t="n">
        <x:f>-(E8+E9)*'Hypothèses'!B15</x:f>
        <x:v>-83759.06096140626</x:v>
      </x:c>
      <x:c r="F10" s="216" t="n">
        <x:f>-(F8+F9)*'Hypothèses'!B15</x:f>
        <x:v>-106313.95902112343</x:v>
      </x:c>
      <x:c r="G10" s="216" t="n">
        <x:f>-(G8+G9)*'Hypothèses'!B15</x:f>
        <x:v>-137616.3980748584</x:v>
      </x:c>
      <x:c r="H10" s="216" t="n">
        <x:f>-(H8+H9)*'Hypothèses'!B15</x:f>
        <x:v>-170930.77155721743</x:v>
      </x:c>
      <x:c r="I10" s="216" t="n">
        <x:f>-(I8+I9)*'Hypothèses'!B15</x:f>
        <x:v>-213412.82745816006</x:v>
      </x:c>
      <x:c r="J10" s="216" t="n">
        <x:f>-(J8+J9)*'Hypothèses'!B15</x:f>
        <x:v>-258003.45031537683</x:v>
      </x:c>
      <x:c r="K10" s="216" t="n">
        <x:f>-(K8+K9)*'Hypothèses'!B15</x:f>
        <x:v>-303079.0435725368</x:v>
      </x:c>
      <x:c r="L10" s="216" t="n">
        <x:f>-(L8+L9)*'Hypothèses'!B15</x:f>
        <x:v>-348266.18002168345</x:v>
      </x:c>
      <x:c r="M10" s="216" t="n">
        <x:f>-(M8+M9)*'Hypothèses'!B15</x:f>
        <x:v>-393478.9714049872</x:v>
      </x:c>
      <x:c r="N10" s="216" t="n">
        <x:f>-(N8+N9)*'Hypothèses'!B15</x:f>
        <x:v>-438697.66342314717</x:v>
      </x:c>
      <x:c r="O10" s="216" t="n">
        <x:f>-(O8+O9)*'Hypothèses'!B15</x:f>
        <x:v>-492622.6500873239</x:v>
      </x:c>
      <x:c r="P10" s="216" t="n">
        <x:f>-(P8+P9)*'Hypothèses'!B15</x:f>
        <x:v>-548550.0845200846</x:v>
      </x:c>
      <x:c r="Q10" s="216" t="n">
        <x:f>-(Q8+Q9)*'Hypothèses'!B15</x:f>
        <x:v>-604938.0819396196</x:v>
      </x:c>
      <x:c r="R10" s="216" t="n">
        <x:f>-(R8+R9)*'Hypothèses'!B15</x:f>
        <x:v>-661432.0088461125</x:v>
      </x:c>
      <x:c r="S10" s="216" t="n">
        <x:f>-(S8+S9)*'Hypothèses'!B15</x:f>
        <x:v>-717950.2995346058</x:v>
      </x:c>
      <x:c r="T10" s="216" t="n">
        <x:f>-(T8+T9)*'Hypothèses'!B15</x:f>
        <x:v>-774474.1938929595</x:v>
      </x:c>
      <x:c r="U10" s="216" t="n">
        <x:f>-(U8+U9)*'Hypothèses'!B15</x:f>
        <x:v>-830999.3770953808</x:v>
      </x:c>
      <x:c r="V10" s="216" t="n">
        <x:f>-(V8+V9)*'Hypothèses'!B15</x:f>
        <x:v>-887524.8567319377</x:v>
      </x:c>
      <x:c r="W10" s="216" t="n">
        <x:f>-(W8+W9)*'Hypothèses'!B15</x:f>
        <x:v>-944050.4045483457</x:v>
      </x:c>
      <x:c r="X10" s="216" t="n">
        <x:f>-(X8+X9)*'Hypothèses'!B15</x:f>
        <x:v>-1000575.9680461196</x:v>
      </x:c>
      <x:c r="Y10" s="216" t="n">
        <x:f>-(Y8+Y9)*'Hypothèses'!B15</x:f>
        <x:v>-1100626.2226506076</x:v>
      </x:c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61" t="str">
        <x:v>Provision fiscale</x:v>
      </x:c>
      <x:c r="B11" s="216" t="n">
        <x:f>-B8*'Hypothèses'!B25</x:f>
        <x:v>0</x:v>
      </x:c>
      <x:c r="C11" s="216" t="n">
        <x:f>-C8*'Hypothèses'!B25</x:f>
        <x:v>0</x:v>
      </x:c>
      <x:c r="D11" s="216" t="n">
        <x:f>-D8*'Hypothèses'!B25</x:f>
        <x:v>0</x:v>
      </x:c>
      <x:c r="E11" s="216" t="n">
        <x:f>-E8*'Hypothèses'!B25</x:f>
        <x:v>0</x:v>
      </x:c>
      <x:c r="F11" s="216" t="n">
        <x:f>-F8*'Hypothèses'!B25</x:f>
        <x:v>0</x:v>
      </x:c>
      <x:c r="G11" s="216" t="n">
        <x:f>-G8*'Hypothèses'!B25</x:f>
        <x:v>0</x:v>
      </x:c>
      <x:c r="H11" s="216" t="n">
        <x:f>-H8*'Hypothèses'!B25</x:f>
        <x:v>0</x:v>
      </x:c>
      <x:c r="I11" s="216" t="n">
        <x:f>-I8*'Hypothèses'!B25</x:f>
        <x:v>0</x:v>
      </x:c>
      <x:c r="J11" s="216" t="n">
        <x:f>-J8*'Hypothèses'!B25</x:f>
        <x:v>0</x:v>
      </x:c>
      <x:c r="K11" s="216" t="n">
        <x:f>-K8*'Hypothèses'!B25</x:f>
        <x:v>0</x:v>
      </x:c>
      <x:c r="L11" s="216" t="n">
        <x:f>-L8*'Hypothèses'!B25</x:f>
        <x:v>0</x:v>
      </x:c>
      <x:c r="M11" s="216" t="n">
        <x:f>-M8*'Hypothèses'!B25</x:f>
        <x:v>0</x:v>
      </x:c>
      <x:c r="N11" s="216" t="n">
        <x:f>-N8*'Hypothèses'!B25</x:f>
        <x:v>0</x:v>
      </x:c>
      <x:c r="O11" s="216" t="n">
        <x:f>-O8*'Hypothèses'!B25</x:f>
        <x:v>0</x:v>
      </x:c>
      <x:c r="P11" s="216" t="n">
        <x:f>-P8*'Hypothèses'!B25</x:f>
        <x:v>0</x:v>
      </x:c>
      <x:c r="Q11" s="216" t="n">
        <x:f>-Q8*'Hypothèses'!B25</x:f>
        <x:v>0</x:v>
      </x:c>
      <x:c r="R11" s="216" t="n">
        <x:f>-R8*'Hypothèses'!B25</x:f>
        <x:v>0</x:v>
      </x:c>
      <x:c r="S11" s="216" t="n">
        <x:f>-S8*'Hypothèses'!B25</x:f>
        <x:v>0</x:v>
      </x:c>
      <x:c r="T11" s="216" t="n">
        <x:f>-T8*'Hypothèses'!B25</x:f>
        <x:v>0</x:v>
      </x:c>
      <x:c r="U11" s="216" t="n">
        <x:f>-U8*'Hypothèses'!B25</x:f>
        <x:v>0</x:v>
      </x:c>
      <x:c r="V11" s="216" t="n">
        <x:f>-V8*'Hypothèses'!B25</x:f>
        <x:v>0</x:v>
      </x:c>
      <x:c r="W11" s="216" t="n">
        <x:f>-W8*'Hypothèses'!B25</x:f>
        <x:v>0</x:v>
      </x:c>
      <x:c r="X11" s="216" t="n">
        <x:f>-X8*'Hypothèses'!B25</x:f>
        <x:v>0</x:v>
      </x:c>
      <x:c r="Y11" s="216" t="n">
        <x:f>-Y8*'Hypothèses'!B25</x:f>
        <x:v>0</x:v>
      </x:c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61" t="str">
        <x:v>CAC nouveaux acheteurs</x:v>
      </x:c>
      <x:c r="B12" s="216" t="n">
        <x:f>-B5*'Hypothèses'!B16</x:f>
        <x:v>-112500</x:v>
      </x:c>
      <x:c r="C12" s="216" t="n">
        <x:f>-C5*'Hypothèses'!B16</x:f>
        <x:v>-180000</x:v>
      </x:c>
      <x:c r="D12" s="216" t="n">
        <x:f>-D5*'Hypothèses'!B16</x:f>
        <x:v>-270000</x:v>
      </x:c>
      <x:c r="E12" s="216" t="n">
        <x:f>-E5*'Hypothèses'!B16</x:f>
        <x:v>-360000</x:v>
      </x:c>
      <x:c r="F12" s="216" t="n">
        <x:f>-F5*'Hypothèses'!B16</x:f>
        <x:v>-450000</x:v>
      </x:c>
      <x:c r="G12" s="216" t="n">
        <x:f>-G5*'Hypothèses'!B16</x:f>
        <x:v>-585000</x:v>
      </x:c>
      <x:c r="H12" s="216" t="n">
        <x:f>-H5*'Hypothèses'!B16</x:f>
        <x:v>-720000</x:v>
      </x:c>
      <x:c r="I12" s="216" t="n">
        <x:f>-I5*'Hypothèses'!B16</x:f>
        <x:v>-900000</x:v>
      </x:c>
      <x:c r="J12" s="216" t="n">
        <x:f>-J5*'Hypothèses'!B16</x:f>
        <x:v>-1080000</x:v>
      </x:c>
      <x:c r="K12" s="216" t="n">
        <x:f>-K5*'Hypothèses'!B16</x:f>
        <x:v>-1260000</x:v>
      </x:c>
      <x:c r="L12" s="216" t="n">
        <x:f>-L5*'Hypothèses'!B16</x:f>
        <x:v>-1440000</x:v>
      </x:c>
      <x:c r="M12" s="216" t="n">
        <x:f>-M5*'Hypothèses'!B16</x:f>
        <x:v>-1620000</x:v>
      </x:c>
      <x:c r="N12" s="216" t="n">
        <x:f>-N5*'Hypothèses'!B16</x:f>
        <x:v>-1800000</x:v>
      </x:c>
      <x:c r="O12" s="216" t="n">
        <x:f>-O5*'Hypothèses'!B16</x:f>
        <x:v>-2025000</x:v>
      </x:c>
      <x:c r="P12" s="216" t="n">
        <x:f>-P5*'Hypothèses'!B16</x:f>
        <x:v>-2250000</x:v>
      </x:c>
      <x:c r="Q12" s="216" t="n">
        <x:f>-Q5*'Hypothèses'!B16</x:f>
        <x:v>-2475000</x:v>
      </x:c>
      <x:c r="R12" s="216" t="n">
        <x:f>-R5*'Hypothèses'!B16</x:f>
        <x:v>-2700000</x:v>
      </x:c>
      <x:c r="S12" s="216" t="n">
        <x:f>-S5*'Hypothèses'!B16</x:f>
        <x:v>-2925000</x:v>
      </x:c>
      <x:c r="T12" s="216" t="n">
        <x:f>-T5*'Hypothèses'!B16</x:f>
        <x:v>-3150000</x:v>
      </x:c>
      <x:c r="U12" s="216" t="n">
        <x:f>-U5*'Hypothèses'!B16</x:f>
        <x:v>-3375000</x:v>
      </x:c>
      <x:c r="V12" s="216" t="n">
        <x:f>-V5*'Hypothèses'!B16</x:f>
        <x:v>-3600000</x:v>
      </x:c>
      <x:c r="W12" s="216" t="n">
        <x:f>-W5*'Hypothèses'!B16</x:f>
        <x:v>-3825000</x:v>
      </x:c>
      <x:c r="X12" s="216" t="n">
        <x:f>-X5*'Hypothèses'!B16</x:f>
        <x:v>-4050000</x:v>
      </x:c>
      <x:c r="Y12" s="216" t="n">
        <x:f>-Y5*'Hypothèses'!B16</x:f>
        <x:v>-4500000</x:v>
      </x:c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61" t="str">
        <x:v>Support variable</x:v>
      </x:c>
      <x:c r="B13" s="216" t="n">
        <x:f>-B7*'Hypothèses'!B17</x:f>
        <x:v>-17500</x:v>
      </x:c>
      <x:c r="C13" s="216" t="n">
        <x:f>-C7*'Hypothèses'!B17</x:f>
        <x:v>-32025</x:v>
      </x:c>
      <x:c r="D13" s="216" t="n">
        <x:f>-D7*'Hypothèses'!B17</x:f>
        <x:v>-49365.75000000001</x:v>
      </x:c>
      <x:c r="E13" s="216" t="n">
        <x:f>-E7*'Hypothèses'!B17</x:f>
        <x:v>-67354.1225</x:v>
      </x:c>
      <x:c r="F13" s="216" t="n">
        <x:f>-F7*'Hypothèses'!B17</x:f>
        <x:v>-85491.448175</x:v>
      </x:c>
      <x:c r="G13" s="216" t="n">
        <x:f>-G7*'Hypothèses'!B17</x:f>
        <x:v>-110663.03308025</x:v>
      </x:c>
      <x:c r="H13" s="216" t="n">
        <x:f>-H7*'Hypothèses'!B17</x:f>
        <x:v>-137452.4976084575</x:v>
      </x:c>
      <x:c r="I13" s="216" t="n">
        <x:f>-I7*'Hypothèses'!B17</x:f>
        <x:v>-171614.0744499452</x:v>
      </x:c>
      <x:c r="J13" s="216" t="n">
        <x:f>-J7*'Hypothèses'!B17</x:f>
        <x:v>-207471.2371234874</x:v>
      </x:c>
      <x:c r="K13" s="216" t="n">
        <x:f>-K7*'Hypothèses'!B17</x:f>
        <x:v>-243718.3845384021</x:v>
      </x:c>
      <x:c r="L13" s="216" t="n">
        <x:f>-L7*'Hypothèses'!B17</x:f>
        <x:v>-280055.2284438325</x:v>
      </x:c>
      <x:c r="M13" s="216" t="n">
        <x:f>-M7*'Hypothèses'!B17</x:f>
        <x:v>-316412.7025420815</x:v>
      </x:c>
      <x:c r="N13" s="216" t="n">
        <x:f>-N7*'Hypothèses'!B17</x:f>
        <x:v>-352774.92158467876</x:v>
      </x:c>
      <x:c r="O13" s="216" t="n">
        <x:f>-O7*'Hypothèses'!B17</x:f>
        <x:v>-396138.2319644761</x:v>
      </x:c>
      <x:c r="P13" s="216" t="n">
        <x:f>-P7*'Hypothèses'!B17</x:f>
        <x:v>-441111.7933518295</x:v>
      </x:c>
      <x:c r="Q13" s="216" t="n">
        <x:f>-Q7*'Hypothèses'!B17</x:f>
        <x:v>-486455.7124709208</x:v>
      </x:c>
      <x:c r="R13" s="216" t="n">
        <x:f>-R7*'Hypothèses'!B17</x:f>
        <x:v>-531884.8138683117</x:v>
      </x:c>
      <x:c r="S13" s="216" t="n">
        <x:f>-S7*'Hypothèses'!B17</x:f>
        <x:v>-577333.5071897117</x:v>
      </x:c>
      <x:c r="T13" s="216" t="n">
        <x:f>-T7*'Hypothèses'!B17</x:f>
        <x:v>-622786.7066536337</x:v>
      </x:c>
      <x:c r="U13" s="216" t="n">
        <x:f>-U7*'Hypothèses'!B17</x:f>
        <x:v>-668240.9425303357</x:v>
      </x:c>
      <x:c r="V13" s="216" t="n">
        <x:f>-V7*'Hypothèses'!B17</x:f>
        <x:v>-713695.4167819772</x:v>
      </x:c>
      <x:c r="W13" s="216" t="n">
        <x:f>-W7*'Hypothèses'!B17</x:f>
        <x:v>-759149.9458598547</x:v>
      </x:c>
      <x:c r="X13" s="216" t="n">
        <x:f>-X7*'Hypothèses'!B17</x:f>
        <x:v>-804604.4875477665</x:v>
      </x:c>
      <x:c r="Y13" s="216" t="n">
        <x:f>-Y7*'Hypothèses'!B17</x:f>
        <x:v>-885059.0321359864</x:v>
      </x:c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61" t="str">
        <x:v>KYC / contrôle</x:v>
      </x:c>
      <x:c r="B14" s="216" t="n">
        <x:f>-B7*'Hypothèses'!B7*'Hypothèses'!B18</x:f>
        <x:v>-4000</x:v>
      </x:c>
      <x:c r="C14" s="216" t="n">
        <x:f>-C7*'Hypothèses'!B7*'Hypothèses'!B18</x:f>
        <x:v>-7320</x:v>
      </x:c>
      <x:c r="D14" s="216" t="n">
        <x:f>-D7*'Hypothèses'!B7*'Hypothèses'!B18</x:f>
        <x:v>-11283.600000000002</x:v>
      </x:c>
      <x:c r="E14" s="216" t="n">
        <x:f>-E7*'Hypothèses'!B7*'Hypothèses'!B18</x:f>
        <x:v>-15395.228</x:v>
      </x:c>
      <x:c r="F14" s="216" t="n">
        <x:f>-F7*'Hypothèses'!B7*'Hypothèses'!B18</x:f>
        <x:v>-19540.90244</x:v>
      </x:c>
      <x:c r="G14" s="216" t="n">
        <x:f>-G7*'Hypothèses'!B7*'Hypothèses'!B18</x:f>
        <x:v>-25294.4075612</x:v>
      </x:c>
      <x:c r="H14" s="216" t="n">
        <x:f>-H7*'Hypothèses'!B7*'Hypothèses'!B18</x:f>
        <x:v>-31417.713739076</x:v>
      </x:c>
      <x:c r="I14" s="216" t="n">
        <x:f>-I7*'Hypothèses'!B7*'Hypothèses'!B18</x:f>
        <x:v>-39226.07415998748</x:v>
      </x:c>
      <x:c r="J14" s="216" t="n">
        <x:f>-J7*'Hypothèses'!B7*'Hypothèses'!B18</x:f>
        <x:v>-47421.99705679712</x:v>
      </x:c>
      <x:c r="K14" s="216" t="n">
        <x:f>-K7*'Hypothèses'!B7*'Hypothèses'!B18</x:f>
        <x:v>-55707.05932306334</x:v>
      </x:c>
      <x:c r="L14" s="216" t="n">
        <x:f>-L7*'Hypothèses'!B7*'Hypothèses'!B18</x:f>
        <x:v>-64012.62364430457</x:v>
      </x:c>
      <x:c r="M14" s="216" t="n">
        <x:f>-M7*'Hypothèses'!B7*'Hypothèses'!B18</x:f>
        <x:v>-72322.90343819006</x:v>
      </x:c>
      <x:c r="N14" s="216" t="n">
        <x:f>-N7*'Hypothèses'!B7*'Hypothèses'!B18</x:f>
        <x:v>-80634.2677907837</x:v>
      </x:c>
      <x:c r="O14" s="216" t="n">
        <x:f>-O7*'Hypothèses'!B7*'Hypothèses'!B18</x:f>
        <x:v>-90545.88159188026</x:v>
      </x:c>
      <x:c r="P14" s="216" t="n">
        <x:f>-P7*'Hypothèses'!B7*'Hypothèses'!B18</x:f>
        <x:v>-100825.55276613246</x:v>
      </x:c>
      <x:c r="Q14" s="216" t="n">
        <x:f>-Q7*'Hypothèses'!B7*'Hypothèses'!B18</x:f>
        <x:v>-111189.87713621047</x:v>
      </x:c>
      <x:c r="R14" s="216" t="n">
        <x:f>-R7*'Hypothèses'!B7*'Hypothèses'!B18</x:f>
        <x:v>-121573.67174132839</x:v>
      </x:c>
      <x:c r="S14" s="216" t="n">
        <x:f>-S7*'Hypothèses'!B7*'Hypothèses'!B18</x:f>
        <x:v>-131961.94450050552</x:v>
      </x:c>
      <x:c r="T14" s="216" t="n">
        <x:f>-T7*'Hypothèses'!B7*'Hypothèses'!B18</x:f>
        <x:v>-142351.2472351163</x:v>
      </x:c>
      <x:c r="U14" s="216" t="n">
        <x:f>-U7*'Hypothèses'!B7*'Hypothèses'!B18</x:f>
        <x:v>-152740.78686407674</x:v>
      </x:c>
      <x:c r="V14" s="216" t="n">
        <x:f>-V7*'Hypothèses'!B7*'Hypothèses'!B18</x:f>
        <x:v>-163130.38097873767</x:v>
      </x:c>
      <x:c r="W14" s="216" t="n">
        <x:f>-W7*'Hypothèses'!B7*'Hypothèses'!B18</x:f>
        <x:v>-173519.98762510964</x:v>
      </x:c>
      <x:c r="X14" s="216" t="n">
        <x:f>-X7*'Hypothèses'!B7*'Hypothèses'!B18</x:f>
        <x:v>-183909.59715377522</x:v>
      </x:c>
      <x:c r="Y14" s="216" t="n">
        <x:f>-Y7*'Hypothèses'!B7*'Hypothèses'!B18</x:f>
        <x:v>-202299.2073453683</x:v>
      </x:c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61" t="str">
        <x:v>Fraude / paiement</x:v>
      </x:c>
      <x:c r="B15" s="216" t="n">
        <x:f>-B8*'Hypothèses'!B20</x:f>
        <x:v>-3156.25</x:v>
      </x:c>
      <x:c r="C15" s="216" t="n">
        <x:f>-C8*'Hypothèses'!B20</x:f>
        <x:v>-5775.9375</x:v>
      </x:c>
      <x:c r="D15" s="216" t="n">
        <x:f>-D8*'Hypothèses'!B20</x:f>
        <x:v>-8903.465625</x:v>
      </x:c>
      <x:c r="E15" s="216" t="n">
        <x:f>-E8*'Hypothèses'!B20</x:f>
        <x:v>-12147.79709375</x:v>
      </x:c>
      <x:c r="F15" s="216" t="n">
        <x:f>-F8*'Hypothèses'!B20</x:f>
        <x:v>-15418.9933315625</x:v>
      </x:c>
      <x:c r="G15" s="216" t="n">
        <x:f>-G8*'Hypothèses'!B20</x:f>
        <x:v>-19958.868466259377</x:v>
      </x:c>
      <x:c r="H15" s="216" t="n">
        <x:f>-H8*'Hypothèses'!B20</x:f>
        <x:v>-24790.539747239654</x:v>
      </x:c>
      <x:c r="I15" s="216" t="n">
        <x:f>-I8*'Hypothèses'!B20</x:f>
        <x:v>-30951.824141865123</x:v>
      </x:c>
      <x:c r="J15" s="216" t="n">
        <x:f>-J8*'Hypothèses'!B20</x:f>
        <x:v>-37418.91955262898</x:v>
      </x:c>
      <x:c r="K15" s="216" t="n">
        <x:f>-K8*'Hypothèses'!B20</x:f>
        <x:v>-43956.351497104675</x:v>
      </x:c>
      <x:c r="L15" s="216" t="n">
        <x:f>-L8*'Hypothèses'!B20</x:f>
        <x:v>-50509.96084433408</x:v>
      </x:c>
      <x:c r="M15" s="216" t="n">
        <x:f>-M8*'Hypothèses'!B20</x:f>
        <x:v>-57067.29099419684</x:v>
      </x:c>
      <x:c r="N15" s="216" t="n">
        <x:f>-N8*'Hypothèses'!B20</x:f>
        <x:v>-63625.47692866527</x:v>
      </x:c>
      <x:c r="O15" s="216" t="n">
        <x:f>-O8*'Hypothèses'!B20</x:f>
        <x:v>-71446.35969359303</x:v>
      </x:c>
      <x:c r="P15" s="216" t="n">
        <x:f>-P8*'Hypothèses'!B20</x:f>
        <x:v>-79557.66272952639</x:v>
      </x:c>
      <x:c r="Q15" s="216" t="n">
        <x:f>-Q8*'Hypothèses'!B20</x:f>
        <x:v>-87735.76242779108</x:v>
      </x:c>
      <x:c r="R15" s="216" t="n">
        <x:f>-R8*'Hypothèses'!B20</x:f>
        <x:v>-95929.22535839195</x:v>
      </x:c>
      <x:c r="S15" s="216" t="n">
        <x:f>-S8*'Hypothèses'!B20</x:f>
        <x:v>-104126.22183243014</x:v>
      </x:c>
      <x:c r="T15" s="216" t="n">
        <x:f>-T8*'Hypothèses'!B20</x:f>
        <x:v>-112324.03102145894</x:v>
      </x:c>
      <x:c r="U15" s="216" t="n">
        <x:f>-U8*'Hypothèses'!B20</x:f>
        <x:v>-120522.02713493556</x:v>
      </x:c>
      <x:c r="V15" s="216" t="n">
        <x:f>-V8*'Hypothèses'!B20</x:f>
        <x:v>-128720.06624103518</x:v>
      </x:c>
      <x:c r="W15" s="216" t="n">
        <x:f>-W8*'Hypothèses'!B20</x:f>
        <x:v>-136918.11523543808</x:v>
      </x:c>
      <x:c r="X15" s="216" t="n">
        <x:f>-X8*'Hypothèses'!B20</x:f>
        <x:v>-145116.16650415075</x:v>
      </x:c>
      <x:c r="Y15" s="216" t="n">
        <x:f>-Y8*'Hypothèses'!B20</x:f>
        <x:v>-159626.71829595466</x:v>
      </x:c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61" t="str">
        <x:v>Affiliation</x:v>
      </x:c>
      <x:c r="B16" s="216" t="n">
        <x:f>-B8*'Hypothèses'!B21</x:f>
        <x:v>0</x:v>
      </x:c>
      <x:c r="C16" s="216" t="n">
        <x:f>-C8*'Hypothèses'!B21</x:f>
        <x:v>0</x:v>
      </x:c>
      <x:c r="D16" s="216" t="n">
        <x:f>-D8*'Hypothèses'!B21</x:f>
        <x:v>0</x:v>
      </x:c>
      <x:c r="E16" s="216" t="n">
        <x:f>-E8*'Hypothèses'!B21</x:f>
        <x:v>0</x:v>
      </x:c>
      <x:c r="F16" s="216" t="n">
        <x:f>-F8*'Hypothèses'!B21</x:f>
        <x:v>0</x:v>
      </x:c>
      <x:c r="G16" s="216" t="n">
        <x:f>-G8*'Hypothèses'!B21</x:f>
        <x:v>0</x:v>
      </x:c>
      <x:c r="H16" s="216" t="n">
        <x:f>-H8*'Hypothèses'!B21</x:f>
        <x:v>0</x:v>
      </x:c>
      <x:c r="I16" s="216" t="n">
        <x:f>-I8*'Hypothèses'!B21</x:f>
        <x:v>0</x:v>
      </x:c>
      <x:c r="J16" s="216" t="n">
        <x:f>-J8*'Hypothèses'!B21</x:f>
        <x:v>0</x:v>
      </x:c>
      <x:c r="K16" s="216" t="n">
        <x:f>-K8*'Hypothèses'!B21</x:f>
        <x:v>0</x:v>
      </x:c>
      <x:c r="L16" s="216" t="n">
        <x:f>-L8*'Hypothèses'!B21</x:f>
        <x:v>0</x:v>
      </x:c>
      <x:c r="M16" s="216" t="n">
        <x:f>-M8*'Hypothèses'!B21</x:f>
        <x:v>0</x:v>
      </x:c>
      <x:c r="N16" s="216" t="n">
        <x:f>-N8*'Hypothèses'!B21</x:f>
        <x:v>0</x:v>
      </x:c>
      <x:c r="O16" s="216" t="n">
        <x:f>-O8*'Hypothèses'!B21</x:f>
        <x:v>0</x:v>
      </x:c>
      <x:c r="P16" s="216" t="n">
        <x:f>-P8*'Hypothèses'!B21</x:f>
        <x:v>0</x:v>
      </x:c>
      <x:c r="Q16" s="216" t="n">
        <x:f>-Q8*'Hypothèses'!B21</x:f>
        <x:v>0</x:v>
      </x:c>
      <x:c r="R16" s="216" t="n">
        <x:f>-R8*'Hypothèses'!B21</x:f>
        <x:v>0</x:v>
      </x:c>
      <x:c r="S16" s="216" t="n">
        <x:f>-S8*'Hypothèses'!B21</x:f>
        <x:v>0</x:v>
      </x:c>
      <x:c r="T16" s="216" t="n">
        <x:f>-T8*'Hypothèses'!B21</x:f>
        <x:v>0</x:v>
      </x:c>
      <x:c r="U16" s="216" t="n">
        <x:f>-U8*'Hypothèses'!B21</x:f>
        <x:v>0</x:v>
      </x:c>
      <x:c r="V16" s="216" t="n">
        <x:f>-V8*'Hypothèses'!B21</x:f>
        <x:v>0</x:v>
      </x:c>
      <x:c r="W16" s="216" t="n">
        <x:f>-W8*'Hypothèses'!B21</x:f>
        <x:v>0</x:v>
      </x:c>
      <x:c r="X16" s="216" t="n">
        <x:f>-X8*'Hypothèses'!B21</x:f>
        <x:v>0</x:v>
      </x:c>
      <x:c r="Y16" s="216" t="n">
        <x:f>-Y8*'Hypothèses'!B21</x:f>
        <x:v>0</x:v>
      </x:c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289" t="str">
        <x:v>Cash net avant réserve et OPEX</x:v>
      </x:c>
      <x:c r="B17" s="290" t="n">
        <x:f>SUM(B8:B16)</x:f>
        <x:v>462862.65625</x:v>
      </x:c>
      <x:c r="C17" s="290" t="n">
        <x:f>SUM(C8:C16)</x:f>
        <x:v>872913.6609375</x:v>
      </x:c>
      <x:c r="D17" s="290" t="n">
        <x:f>SUM(D8:D16)</x:f>
        <x:v>1353040.517015625</x:v>
      </x:c>
      <x:c r="E17" s="290" t="n">
        <x:f>SUM(E8:E16)</x:f>
        <x:v>1854459.8189135937</x:v>
      </x:c>
      <x:c r="F17" s="290" t="n">
        <x:f>SUM(F8:F16)</x:f>
        <x:v>2360776.383350126</x:v>
      </x:c>
      <x:c r="G17" s="290" t="n">
        <x:f>SUM(G8:G16)</x:f>
        <x:v>3053364.380670529</x:v>
      </x:c>
      <x:c r="H17" s="290" t="n">
        <x:f>SUM(H8:H16)</x:f>
        <x:v>3799144.807554221</x:v>
      </x:c>
      <x:c r="I17" s="290" t="n">
        <x:f>SUM(I8:I16)</x:f>
        <x:v>4742304.555737472</x:v>
      </x:c>
      <x:c r="J17" s="290" t="n">
        <x:f>SUM(J8:J16)</x:f>
        <x:v>5741211.547819618</x:v>
      </x:c>
      <x:c r="K17" s="290" t="n">
        <x:f>SUM(K8:K16)</x:f>
        <x:v>6752940.405998515</x:v>
      </x:c>
      <x:c r="L17" s="290" t="n">
        <x:f>SUM(L8:L16)</x:f>
        <x:v>7767618.293379659</x:v>
      </x:c>
      <x:c r="M17" s="290" t="n">
        <x:f>SUM(M8:M16)</x:f>
        <x:v>8782974.457477322</x:v>
      </x:c>
      <x:c r="N17" s="290" t="n">
        <x:f>SUM(N8:N16)</x:f>
        <x:v>9798486.625219787</x:v>
      </x:c>
      <x:c r="O17" s="290" t="n">
        <x:f>SUM(O8:O16)</x:f>
        <x:v>10999179.736300552</x:v>
      </x:c>
      <x:c r="P17" s="290" t="n">
        <x:f>SUM(P8:P16)</x:f>
        <x:v>12252814.464349126</x:v>
      </x:c>
      <x:c r="Q17" s="290" t="n">
        <x:f>SUM(Q8:Q16)</x:f>
        <x:v>13518625.764300302</x:v>
      </x:c>
      <x:c r="R17" s="290" t="n">
        <x:f>SUM(R8:R16)</x:f>
        <x:v>14787237.67578907</x:v>
      </x:c>
      <x:c r="S17" s="290" t="n">
        <x:f>SUM(S8:S16)</x:f>
        <x:v>16056493.72793148</x:v>
      </x:c>
      <x:c r="T17" s="290" t="n">
        <x:f>SUM(T8:T16)</x:f>
        <x:v>17325897.932424247</x:v>
      </x:c>
      <x:c r="U17" s="290" t="n">
        <x:f>SUM(U8:U16)</x:f>
        <x:v>18595336.21195758</x:v>
      </x:c>
      <x:c r="V17" s="290" t="n">
        <x:f>SUM(V8:V16)</x:f>
        <x:v>19864782.32875025</x:v>
      </x:c>
      <x:c r="W17" s="290" t="n">
        <x:f>SUM(W8:W16)</x:f>
        <x:v>21134230.248112556</x:v>
      </x:c>
      <x:c r="X17" s="290" t="n">
        <x:f>SUM(X8:X16)</x:f>
        <x:v>22403678.582065884</x:v>
      </x:c>
      <x:c r="Y17" s="290" t="n">
        <x:f>SUM(Y8:Y16)</x:f>
        <x:v>24598852.32387516</x:v>
      </x:c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61" t="str">
        <x:v>Transfert vers réserve</x:v>
      </x:c>
      <x:c r="B18" s="216" t="n">
        <x:f>MAX(0,(B8+B9+B10+B11)*'Hypothèses'!B23)</x:f>
        <x:v>210006.6171875</x:v>
      </x:c>
      <x:c r="C18" s="216" t="n">
        <x:f>MAX(0,(C8+C9+C10+C11)*'Hypothèses'!B23)</x:f>
        <x:v>384312.109453125</x:v>
      </x:c>
      <x:c r="D18" s="216" t="n">
        <x:f>MAX(0,(D8+D9+D10+D11)*'Hypothèses'!B23)</x:f>
        <x:v>592407.6664242187</x:v>
      </x:c>
      <x:c r="E18" s="216" t="n">
        <x:f>MAX(0,(E8+E9+E10+E11)*'Hypothèses'!B23)</x:f>
        <x:v>808274.9382775702</x:v>
      </x:c>
      <x:c r="F18" s="216" t="n">
        <x:f>MAX(0,(F8+F9+F10+F11)*'Hypothèses'!B23)</x:f>
        <x:v>1025929.7045538409</x:v>
      </x:c>
      <x:c r="G18" s="216" t="n">
        <x:f>MAX(0,(G8+G9+G10+G11)*'Hypothèses'!B23)</x:f>
        <x:v>1327998.2414223833</x:v>
      </x:c>
      <x:c r="H18" s="216" t="n">
        <x:f>MAX(0,(H8+H9+H10+H11)*'Hypothèses'!B23)</x:f>
        <x:v>1649481.945527148</x:v>
      </x:c>
      <x:c r="I18" s="216" t="n">
        <x:f>MAX(0,(I8+I9+I10+I11)*'Hypothèses'!B23)</x:f>
        <x:v>2059433.7849712442</x:v>
      </x:c>
      <x:c r="J18" s="216" t="n">
        <x:f>MAX(0,(J8+J9+J10+J11)*'Hypothèses'!B23)</x:f>
        <x:v>2489733.295543386</x:v>
      </x:c>
      <x:c r="K18" s="216" t="n">
        <x:f>MAX(0,(K8+K9+K10+K11)*'Hypothèses'!B23)</x:f>
        <x:v>2924712.770474979</x:v>
      </x:c>
      <x:c r="L18" s="216" t="n">
        <x:f>MAX(0,(L8+L9+L10+L11)*'Hypothèses'!B23)</x:f>
        <x:v>3360768.637209245</x:v>
      </x:c>
      <x:c r="M18" s="216" t="n">
        <x:f>MAX(0,(M8+M9+M10+M11)*'Hypothèses'!B23)</x:f>
        <x:v>3797072.074058126</x:v>
      </x:c>
      <x:c r="N18" s="216" t="n">
        <x:f>MAX(0,(N8+N9+N10+N11)*'Hypothèses'!B23)</x:f>
        <x:v>4233432.452033369</x:v>
      </x:c>
      <x:c r="O18" s="216" t="n">
        <x:f>MAX(0,(O8+O9+O10+O11)*'Hypothèses'!B23)</x:f>
        <x:v>4753808.573342675</x:v>
      </x:c>
      <x:c r="P18" s="216" t="n">
        <x:f>MAX(0,(P8+P9+P10+P11)*'Hypothèses'!B23)</x:f>
        <x:v>5293508.315618815</x:v>
      </x:c>
      <x:c r="Q18" s="216" t="n">
        <x:f>MAX(0,(Q8+Q9+Q10+Q11)*'Hypothèses'!B23)</x:f>
        <x:v>5837652.490717328</x:v>
      </x:c>
      <x:c r="R18" s="216" t="n">
        <x:f>MAX(0,(R8+R9+R10+R11)*'Hypothèses'!B23)</x:f>
        <x:v>6382818.885364985</x:v>
      </x:c>
      <x:c r="S18" s="216" t="n">
        <x:f>MAX(0,(S8+S9+S10+S11)*'Hypothèses'!B23)</x:f>
        <x:v>6928220.390508944</x:v>
      </x:c>
      <x:c r="T18" s="216" t="n">
        <x:f>MAX(0,(T8+T9+T10+T11)*'Hypothèses'!B23)</x:f>
        <x:v>7473675.971067058</x:v>
      </x:c>
      <x:c r="U18" s="216" t="n">
        <x:f>MAX(0,(U8+U9+U10+U11)*'Hypothèses'!B23)</x:f>
        <x:v>8019143.988970424</x:v>
      </x:c>
      <x:c r="V18" s="216" t="n">
        <x:f>MAX(0,(V8+V9+V10+V11)*'Hypothèses'!B23)</x:f>
        <x:v>8564614.867463198</x:v>
      </x:c>
      <x:c r="W18" s="216" t="n">
        <x:f>MAX(0,(W8+W9+W10+W11)*'Hypothèses'!B23)</x:f>
        <x:v>9110086.403891534</x:v>
      </x:c>
      <x:c r="X18" s="216" t="n">
        <x:f>MAX(0,(X8+X9+X10+X11)*'Hypothèses'!B23)</x:f>
        <x:v>9655558.09164505</x:v>
      </x:c>
      <x:c r="Y18" s="216" t="n">
        <x:f>MAX(0,(Y8+Y9+Y10+Y11)*'Hypothèses'!B23)</x:f>
        <x:v>10621043.048578363</x:v>
      </x:c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61" t="str">
        <x:v>OPEX fixe</x:v>
      </x:c>
      <x:c r="B19" s="216" t="n">
        <x:f>-'Hypothèses'!B24</x:f>
        <x:v>-900000</x:v>
      </x:c>
      <x:c r="C19" s="216" t="n">
        <x:f>-'Hypothèses'!B24</x:f>
        <x:v>-900000</x:v>
      </x:c>
      <x:c r="D19" s="216" t="n">
        <x:f>-'Hypothèses'!B24</x:f>
        <x:v>-900000</x:v>
      </x:c>
      <x:c r="E19" s="216" t="n">
        <x:f>-'Hypothèses'!B24</x:f>
        <x:v>-900000</x:v>
      </x:c>
      <x:c r="F19" s="216" t="n">
        <x:f>-'Hypothèses'!B24</x:f>
        <x:v>-900000</x:v>
      </x:c>
      <x:c r="G19" s="216" t="n">
        <x:f>-'Hypothèses'!B24</x:f>
        <x:v>-900000</x:v>
      </x:c>
      <x:c r="H19" s="216" t="n">
        <x:f>-'Hypothèses'!B24</x:f>
        <x:v>-900000</x:v>
      </x:c>
      <x:c r="I19" s="216" t="n">
        <x:f>-'Hypothèses'!B24</x:f>
        <x:v>-900000</x:v>
      </x:c>
      <x:c r="J19" s="216" t="n">
        <x:f>-'Hypothèses'!B24</x:f>
        <x:v>-900000</x:v>
      </x:c>
      <x:c r="K19" s="216" t="n">
        <x:f>-'Hypothèses'!B24</x:f>
        <x:v>-900000</x:v>
      </x:c>
      <x:c r="L19" s="216" t="n">
        <x:f>-'Hypothèses'!B24</x:f>
        <x:v>-900000</x:v>
      </x:c>
      <x:c r="M19" s="216" t="n">
        <x:f>-'Hypothèses'!B24</x:f>
        <x:v>-900000</x:v>
      </x:c>
      <x:c r="N19" s="216" t="n">
        <x:f>-'Hypothèses'!B24</x:f>
        <x:v>-900000</x:v>
      </x:c>
      <x:c r="O19" s="216" t="n">
        <x:f>-'Hypothèses'!B24</x:f>
        <x:v>-900000</x:v>
      </x:c>
      <x:c r="P19" s="216" t="n">
        <x:f>-'Hypothèses'!B24</x:f>
        <x:v>-900000</x:v>
      </x:c>
      <x:c r="Q19" s="216" t="n">
        <x:f>-'Hypothèses'!B24</x:f>
        <x:v>-900000</x:v>
      </x:c>
      <x:c r="R19" s="216" t="n">
        <x:f>-'Hypothèses'!B24</x:f>
        <x:v>-900000</x:v>
      </x:c>
      <x:c r="S19" s="216" t="n">
        <x:f>-'Hypothèses'!B24</x:f>
        <x:v>-900000</x:v>
      </x:c>
      <x:c r="T19" s="216" t="n">
        <x:f>-'Hypothèses'!B24</x:f>
        <x:v>-900000</x:v>
      </x:c>
      <x:c r="U19" s="216" t="n">
        <x:f>-'Hypothèses'!B24</x:f>
        <x:v>-900000</x:v>
      </x:c>
      <x:c r="V19" s="216" t="n">
        <x:f>-'Hypothèses'!B24</x:f>
        <x:v>-900000</x:v>
      </x:c>
      <x:c r="W19" s="216" t="n">
        <x:f>-'Hypothèses'!B24</x:f>
        <x:v>-900000</x:v>
      </x:c>
      <x:c r="X19" s="216" t="n">
        <x:f>-'Hypothèses'!B24</x:f>
        <x:v>-900000</x:v>
      </x:c>
      <x:c r="Y19" s="216" t="n">
        <x:f>-'Hypothèses'!B24</x:f>
        <x:v>-900000</x:v>
      </x:c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289" t="str">
        <x:v>Cash-flow exploitation</x:v>
      </x:c>
      <x:c r="B20" s="290" t="n">
        <x:f>B17-B18+B19</x:f>
        <x:v>-647143.9609375</x:v>
      </x:c>
      <x:c r="C20" s="290" t="n">
        <x:f>C17-C18+C19</x:f>
        <x:v>-411398.44851562503</x:v>
      </x:c>
      <x:c r="D20" s="290" t="n">
        <x:f>D17-D18+D19</x:f>
        <x:v>-139367.14940859366</x:v>
      </x:c>
      <x:c r="E20" s="290" t="n">
        <x:f>E17-E18+E19</x:f>
        <x:v>146184.88063602347</x:v>
      </x:c>
      <x:c r="F20" s="290" t="n">
        <x:f>F17-F18+F19</x:f>
        <x:v>434846.67879628506</x:v>
      </x:c>
      <x:c r="G20" s="290" t="n">
        <x:f>G17-G18+G19</x:f>
        <x:v>825366.1392481455</x:v>
      </x:c>
      <x:c r="H20" s="290" t="n">
        <x:f>H17-H18+H19</x:f>
        <x:v>1249662.8620270728</x:v>
      </x:c>
      <x:c r="I20" s="290" t="n">
        <x:f>I17-I18+I19</x:f>
        <x:v>1782870.770766228</x:v>
      </x:c>
      <x:c r="J20" s="290" t="n">
        <x:f>J17-J18+J19</x:f>
        <x:v>2351478.252276232</x:v>
      </x:c>
      <x:c r="K20" s="290" t="n">
        <x:f>K17-K18+K19</x:f>
        <x:v>2928227.635523536</x:v>
      </x:c>
      <x:c r="L20" s="290" t="n">
        <x:f>L17-L18+L19</x:f>
        <x:v>3506849.656170414</x:v>
      </x:c>
      <x:c r="M20" s="290" t="n">
        <x:f>M17-M18+M19</x:f>
        <x:v>4085902.383419195</x:v>
      </x:c>
      <x:c r="N20" s="290" t="n">
        <x:f>N17-N18+N19</x:f>
        <x:v>4665054.173186418</x:v>
      </x:c>
      <x:c r="O20" s="290" t="n">
        <x:f>O17-O18+O19</x:f>
        <x:v>5345371.162957877</x:v>
      </x:c>
      <x:c r="P20" s="290" t="n">
        <x:f>P17-P18+P19</x:f>
        <x:v>6059306.148730312</x:v>
      </x:c>
      <x:c r="Q20" s="290" t="n">
        <x:f>Q17-Q18+Q19</x:f>
        <x:v>6780973.2735829735</x:v>
      </x:c>
      <x:c r="R20" s="290" t="n">
        <x:f>R17-R18+R19</x:f>
        <x:v>7504418.790424084</x:v>
      </x:c>
      <x:c r="S20" s="290" t="n">
        <x:f>S17-S18+S19</x:f>
        <x:v>8228273.337422537</x:v>
      </x:c>
      <x:c r="T20" s="290" t="n">
        <x:f>T17-T18+T19</x:f>
        <x:v>8952221.96135719</x:v>
      </x:c>
      <x:c r="U20" s="290" t="n">
        <x:f>U17-U18+U19</x:f>
        <x:v>9676192.222987156</x:v>
      </x:c>
      <x:c r="V20" s="290" t="n">
        <x:f>V17-V18+V19</x:f>
        <x:v>10400167.461287051</x:v>
      </x:c>
      <x:c r="W20" s="290" t="n">
        <x:f>W17-W18+W19</x:f>
        <x:v>11124143.844221022</x:v>
      </x:c>
      <x:c r="X20" s="290" t="n">
        <x:f>X17-X18+X19</x:f>
        <x:v>11848120.490420833</x:v>
      </x:c>
      <x:c r="Y20" s="290" t="n">
        <x:f>Y17-Y18+Y19</x:f>
        <x:v>13077809.275296796</x:v>
      </x:c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61" t="str">
        <x:v>Payout #1</x:v>
      </x:c>
      <x:c r="B21" s="216" t="n">
        <x:v>0</x:v>
      </x:c>
      <x:c r="C21" s="216" t="n">
        <x:v>0</x:v>
      </x:c>
      <x:c r="D21" s="216" t="n">
        <x:f>-B7*'Économie Unitaire'!F22</x:f>
        <x:v>-41983.2</x:v>
      </x:c>
      <x:c r="E21" s="216" t="n">
        <x:f>-C7*'Économie Unitaire'!F22</x:f>
        <x:v>-76829.256</x:v>
      </x:c>
      <x:c r="F21" s="216" t="n">
        <x:f>-D7*'Économie Unitaire'!F22</x:f>
        <x:v>-118430.40888</x:v>
      </x:c>
      <x:c r="G21" s="216" t="n">
        <x:f>-E7*'Économie Unitaire'!F22</x:f>
        <x:v>-161585.23404239997</x:v>
      </x:c>
      <x:c r="H21" s="216" t="n">
        <x:f>-F7*'Économie Unitaire'!F22</x:f>
        <x:v>-205097.40382975197</x:v>
      </x:c>
      <x:c r="I21" s="216" t="n">
        <x:f>-G7*'Économie Unitaire'!F22</x:f>
        <x:v>-265485.0428808429</x:v>
      </x:c>
      <x:c r="J21" s="216" t="n">
        <x:f>-H7*'Économie Unitaire'!F22</x:f>
        <x:v>-329754.0398625938</x:v>
      </x:c>
      <x:c r="K21" s="216" t="n">
        <x:f>-I7*'Économie Unitaire'!F22</x:f>
        <x:v>-411709.02916839655</x:v>
      </x:c>
      <x:c r="L21" s="216" t="n">
        <x:f>-J7*'Économie Unitaire'!F22</x:f>
        <x:v>-497731.7967087311</x:v>
      </x:c>
      <x:c r="M21" s="216" t="n">
        <x:f>-K7*'Économie Unitaire'!F22</x:f>
        <x:v>-584690.1532430081</x:v>
      </x:c>
      <x:c r="N21" s="216" t="n">
        <x:f>-L7*'Économie Unitaire'!F22</x:f>
        <x:v>-671863.6952458918</x:v>
      </x:c>
      <x:c r="O21" s="216" t="n">
        <x:f>-M7*'Économie Unitaire'!F22</x:f>
        <x:v>-759086.729906555</x:v>
      </x:c>
      <x:c r="P21" s="216" t="n">
        <x:f>-N7*'Économie Unitaire'!F22</x:f>
        <x:v>-846321.1478785076</x:v>
      </x:c>
      <x:c r="Q21" s="216" t="n">
        <x:f>-O7*'Économie Unitaire'!F22</x:f>
        <x:v>-950351.4640120567</x:v>
      </x:c>
      <x:c r="R21" s="216" t="n">
        <x:f>-P7*'Économie Unitaire'!F22</x:f>
        <x:v>-1058244.8367227728</x:v>
      </x:c>
      <x:c r="S21" s="216" t="n">
        <x:f>-Q7*'Économie Unitaire'!F22</x:f>
        <x:v>-1167026.7124462377</x:v>
      </x:c>
      <x:c r="T21" s="216" t="n">
        <x:f>-R7*'Économie Unitaire'!F22</x:f>
        <x:v>-1276012.9438626345</x:v>
      </x:c>
      <x:c r="U21" s="216" t="n">
        <x:f>-S7*'Économie Unitaire'!F22</x:f>
        <x:v>-1385046.1770884057</x:v>
      </x:c>
      <x:c r="V21" s="216" t="n">
        <x:f>-T7*'Économie Unitaire'!F22</x:f>
        <x:v>-1494090.2207303331</x:v>
      </x:c>
      <x:c r="W21" s="216" t="n">
        <x:f>-U7*'Économie Unitaire'!F22</x:f>
        <x:v>-1603136.7507679765</x:v>
      </x:c>
      <x:c r="X21" s="216" t="n">
        <x:f>-V7*'Économie Unitaire'!F22</x:f>
        <x:v>-1712183.8526766344</x:v>
      </x:c>
      <x:c r="Y21" s="216" t="n">
        <x:f>-W7*'Économie Unitaire'!F22</x:f>
        <x:v>-1821231.0861156255</x:v>
      </x:c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61" t="str">
        <x:v>Payout #2</x:v>
      </x:c>
      <x:c r="B22" s="216" t="n">
        <x:v>0</x:v>
      </x:c>
      <x:c r="C22" s="216" t="n">
        <x:v>0</x:v>
      </x:c>
      <x:c r="D22" s="216" t="n">
        <x:v>0</x:v>
      </x:c>
      <x:c r="E22" s="216" t="n">
        <x:f>-B7*'Économie Unitaire'!F23</x:f>
        <x:v>-23090.760000000002</x:v>
      </x:c>
      <x:c r="F22" s="216" t="n">
        <x:f>-C7*'Économie Unitaire'!F23</x:f>
        <x:v>-42256.0908</x:v>
      </x:c>
      <x:c r="G22" s="216" t="n">
        <x:f>-D7*'Économie Unitaire'!F23</x:f>
        <x:v>-65136.72488400001</x:v>
      </x:c>
      <x:c r="H22" s="216" t="n">
        <x:f>-E7*'Économie Unitaire'!F23</x:f>
        <x:v>-88871.87872332</x:v>
      </x:c>
      <x:c r="I22" s="216" t="n">
        <x:f>-F7*'Économie Unitaire'!F23</x:f>
        <x:v>-112803.5721063636</x:v>
      </x:c>
      <x:c r="J22" s="216" t="n">
        <x:f>-G7*'Économie Unitaire'!F23</x:f>
        <x:v>-146016.77358446363</x:v>
      </x:c>
      <x:c r="K22" s="216" t="n">
        <x:f>-H7*'Économie Unitaire'!F23</x:f>
        <x:v>-181364.72192442662</x:v>
      </x:c>
      <x:c r="L22" s="216" t="n">
        <x:f>-I7*'Économie Unitaire'!F23</x:f>
        <x:v>-226439.96604261812</x:v>
      </x:c>
      <x:c r="M22" s="216" t="n">
        <x:f>-J7*'Économie Unitaire'!F23</x:f>
        <x:v>-273752.48818980216</x:v>
      </x:c>
      <x:c r="N22" s="216" t="n">
        <x:f>-K7*'Économie Unitaire'!F23</x:f>
        <x:v>-321579.5842836545</x:v>
      </x:c>
      <x:c r="O22" s="216" t="n">
        <x:f>-L7*'Économie Unitaire'!F23</x:f>
        <x:v>-369525.03238524054</x:v>
      </x:c>
      <x:c r="P22" s="216" t="n">
        <x:f>-M7*'Économie Unitaire'!F23</x:f>
        <x:v>-417497.70144860534</x:v>
      </x:c>
      <x:c r="Q22" s="216" t="n">
        <x:f>-N7*'Économie Unitaire'!F23</x:f>
        <x:v>-465476.63133317925</x:v>
      </x:c>
      <x:c r="R22" s="216" t="n">
        <x:f>-O7*'Économie Unitaire'!F23</x:f>
        <x:v>-522693.30520663125</x:v>
      </x:c>
      <x:c r="S22" s="216" t="n">
        <x:f>-P7*'Économie Unitaire'!F23</x:f>
        <x:v>-582034.6601975252</x:v>
      </x:c>
      <x:c r="T22" s="216" t="n">
        <x:f>-Q7*'Économie Unitaire'!F23</x:f>
        <x:v>-641864.6918454309</x:v>
      </x:c>
      <x:c r="U22" s="216" t="n">
        <x:f>-R7*'Économie Unitaire'!F23</x:f>
        <x:v>-701807.1191244491</x:v>
      </x:c>
      <x:c r="V22" s="216" t="n">
        <x:f>-S7*'Économie Unitaire'!F23</x:f>
        <x:v>-761775.3973986233</x:v>
      </x:c>
      <x:c r="W22" s="216" t="n">
        <x:f>-T7*'Économie Unitaire'!F23</x:f>
        <x:v>-821749.6214016834</x:v>
      </x:c>
      <x:c r="X22" s="216" t="n">
        <x:f>-U7*'Économie Unitaire'!F23</x:f>
        <x:v>-881725.2129223872</x:v>
      </x:c>
      <x:c r="Y22" s="216" t="n">
        <x:f>-V7*'Économie Unitaire'!F23</x:f>
        <x:v>-941701.1189721491</x:v>
      </x:c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 t="str">
        <x:v>Payout #3</x:v>
      </x:c>
      <x:c r="B23" s="216" t="n">
        <x:v>0</x:v>
      </x:c>
      <x:c r="C23" s="216" t="n">
        <x:v>0</x:v>
      </x:c>
      <x:c r="D23" s="216" t="n">
        <x:v>0</x:v>
      </x:c>
      <x:c r="E23" s="216" t="n">
        <x:v>0</x:v>
      </x:c>
      <x:c r="F23" s="216" t="n">
        <x:f>-B7*'Économie Unitaire'!F24</x:f>
        <x:v>-17318.07</x:v>
      </x:c>
      <x:c r="G23" s="216" t="n">
        <x:f>-C7*'Économie Unitaire'!F24</x:f>
        <x:v>-31692.0681</x:v>
      </x:c>
      <x:c r="H23" s="216" t="n">
        <x:f>-D7*'Économie Unitaire'!F24</x:f>
        <x:v>-48852.543663000004</x:v>
      </x:c>
      <x:c r="I23" s="216" t="n">
        <x:f>-E7*'Économie Unitaire'!F24</x:f>
        <x:v>-66653.90904249</x:v>
      </x:c>
      <x:c r="J23" s="216" t="n">
        <x:f>-F7*'Économie Unitaire'!F24</x:f>
        <x:v>-84602.6790797727</x:v>
      </x:c>
      <x:c r="K23" s="216" t="n">
        <x:f>-G7*'Économie Unitaire'!F24</x:f>
        <x:v>-109512.58018834773</x:v>
      </x:c>
      <x:c r="L23" s="216" t="n">
        <x:f>-H7*'Économie Unitaire'!F24</x:f>
        <x:v>-136023.54144331996</x:v>
      </x:c>
      <x:c r="M23" s="216" t="n">
        <x:f>-I7*'Économie Unitaire'!F24</x:f>
        <x:v>-169829.97453196358</x:v>
      </x:c>
      <x:c r="N23" s="216" t="n">
        <x:f>-J7*'Économie Unitaire'!F24</x:f>
        <x:v>-205314.36614235162</x:v>
      </x:c>
      <x:c r="O23" s="216" t="n">
        <x:f>-K7*'Économie Unitaire'!F24</x:f>
        <x:v>-241184.68821274088</x:v>
      </x:c>
      <x:c r="P23" s="216" t="n">
        <x:f>-L7*'Économie Unitaire'!F24</x:f>
        <x:v>-277143.7742889304</x:v>
      </x:c>
      <x:c r="Q23" s="216" t="n">
        <x:f>-M7*'Économie Unitaire'!F24</x:f>
        <x:v>-313123.276086454</x:v>
      </x:c>
      <x:c r="R23" s="216" t="n">
        <x:f>-N7*'Économie Unitaire'!F24</x:f>
        <x:v>-349107.4734998844</x:v>
      </x:c>
      <x:c r="S23" s="216" t="n">
        <x:f>-O7*'Économie Unitaire'!F24</x:f>
        <x:v>-392019.9789049734</x:v>
      </x:c>
      <x:c r="T23" s="216" t="n">
        <x:f>-P7*'Économie Unitaire'!F24</x:f>
        <x:v>-436525.9951481439</x:v>
      </x:c>
      <x:c r="U23" s="216" t="n">
        <x:f>-Q7*'Économie Unitaire'!F24</x:f>
        <x:v>-481398.5188840731</x:v>
      </x:c>
      <x:c r="V23" s="216" t="n">
        <x:f>-R7*'Économie Unitaire'!F24</x:f>
        <x:v>-526355.3393433368</x:v>
      </x:c>
      <x:c r="W23" s="216" t="n">
        <x:f>-S7*'Économie Unitaire'!F24</x:f>
        <x:v>-571331.5480489674</x:v>
      </x:c>
      <x:c r="X23" s="216" t="n">
        <x:f>-T7*'Économie Unitaire'!F24</x:f>
        <x:v>-616312.2160512626</x:v>
      </x:c>
      <x:c r="Y23" s="216" t="n">
        <x:f>-U7*'Économie Unitaire'!F24</x:f>
        <x:v>-661293.9096917904</x:v>
      </x:c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 t="str">
        <x:v>Payout #4</x:v>
      </x:c>
      <x:c r="B24" s="216" t="n">
        <x:v>0</x:v>
      </x:c>
      <x:c r="C24" s="216" t="n">
        <x:v>0</x:v>
      </x:c>
      <x:c r="D24" s="216" t="n">
        <x:v>0</x:v>
      </x:c>
      <x:c r="E24" s="216" t="n">
        <x:v>0</x:v>
      </x:c>
      <x:c r="F24" s="216" t="n">
        <x:v>0</x:v>
      </x:c>
      <x:c r="G24" s="216" t="n">
        <x:f>-B7*'Économie Unitaire'!F25</x:f>
        <x:v>-7793.1314999999995</x:v>
      </x:c>
      <x:c r="H24" s="216" t="n">
        <x:f>-C7*'Économie Unitaire'!F25</x:f>
        <x:v>-14261.430645</x:v>
      </x:c>
      <x:c r="I24" s="216" t="n">
        <x:f>-D7*'Économie Unitaire'!F25</x:f>
        <x:v>-21983.64464835</x:v>
      </x:c>
      <x:c r="J24" s="216" t="n">
        <x:f>-E7*'Économie Unitaire'!F25</x:f>
        <x:v>-29994.259069120497</x:v>
      </x:c>
      <x:c r="K24" s="216" t="n">
        <x:f>-F7*'Économie Unitaire'!F25</x:f>
        <x:v>-38071.20558589771</x:v>
      </x:c>
      <x:c r="L24" s="216" t="n">
        <x:f>-G7*'Économie Unitaire'!F25</x:f>
        <x:v>-49280.66108475647</x:v>
      </x:c>
      <x:c r="M24" s="216" t="n">
        <x:f>-H7*'Économie Unitaire'!F25</x:f>
        <x:v>-61210.59364949398</x:v>
      </x:c>
      <x:c r="N24" s="216" t="n">
        <x:f>-I7*'Économie Unitaire'!F25</x:f>
        <x:v>-76423.48853938362</x:v>
      </x:c>
      <x:c r="O24" s="216" t="n">
        <x:f>-J7*'Économie Unitaire'!F25</x:f>
        <x:v>-92391.46476405823</x:v>
      </x:c>
      <x:c r="P24" s="216" t="n">
        <x:f>-K7*'Économie Unitaire'!F25</x:f>
        <x:v>-108533.1096957334</x:v>
      </x:c>
      <x:c r="Q24" s="216" t="n">
        <x:f>-L7*'Économie Unitaire'!F25</x:f>
        <x:v>-124714.69843001867</x:v>
      </x:c>
      <x:c r="R24" s="216" t="n">
        <x:f>-M7*'Économie Unitaire'!F25</x:f>
        <x:v>-140905.47423890428</x:v>
      </x:c>
      <x:c r="S24" s="216" t="n">
        <x:f>-N7*'Économie Unitaire'!F25</x:f>
        <x:v>-157098.363074948</x:v>
      </x:c>
      <x:c r="T24" s="216" t="n">
        <x:f>-O7*'Économie Unitaire'!F25</x:f>
        <x:v>-176408.99050723805</x:v>
      </x:c>
      <x:c r="U24" s="216" t="n">
        <x:f>-P7*'Économie Unitaire'!F25</x:f>
        <x:v>-196436.69781666473</x:v>
      </x:c>
      <x:c r="V24" s="216" t="n">
        <x:f>-Q7*'Économie Unitaire'!F25</x:f>
        <x:v>-216629.3334978329</x:v>
      </x:c>
      <x:c r="W24" s="216" t="n">
        <x:f>-R7*'Économie Unitaire'!F25</x:f>
        <x:v>-236859.90270450155</x:v>
      </x:c>
      <x:c r="X24" s="216" t="n">
        <x:f>-S7*'Économie Unitaire'!F25</x:f>
        <x:v>-257099.19662203532</x:v>
      </x:c>
      <x:c r="Y24" s="216" t="n">
        <x:f>-T7*'Économie Unitaire'!F25</x:f>
        <x:v>-277340.49722306815</x:v>
      </x:c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 t="str">
        <x:v>Payout #5</x:v>
      </x:c>
      <x:c r="B25" s="216" t="n">
        <x:v>0</x:v>
      </x:c>
      <x:c r="C25" s="216" t="n">
        <x:v>0</x:v>
      </x:c>
      <x:c r="D25" s="216" t="n">
        <x:v>0</x:v>
      </x:c>
      <x:c r="E25" s="216" t="n">
        <x:v>0</x:v>
      </x:c>
      <x:c r="F25" s="216" t="n">
        <x:v>0</x:v>
      </x:c>
      <x:c r="G25" s="216" t="n">
        <x:v>0</x:v>
      </x:c>
      <x:c r="H25" s="216" t="n">
        <x:f>-B7*'Économie Unitaire'!F26</x:f>
        <x:v>-5844.8486250000005</x:v>
      </x:c>
      <x:c r="I25" s="216" t="n">
        <x:f>-C7*'Économie Unitaire'!F26</x:f>
        <x:v>-10696.07298375</x:v>
      </x:c>
      <x:c r="J25" s="216" t="n">
        <x:f>-D7*'Économie Unitaire'!F26</x:f>
        <x:v>-16487.733486262503</x:v>
      </x:c>
      <x:c r="K25" s="216" t="n">
        <x:f>-E7*'Économie Unitaire'!F26</x:f>
        <x:v>-22495.694301840376</x:v>
      </x:c>
      <x:c r="L25" s="216" t="n">
        <x:f>-F7*'Économie Unitaire'!F26</x:f>
        <x:v>-28553.404189423287</x:v>
      </x:c>
      <x:c r="M25" s="216" t="n">
        <x:f>-G7*'Économie Unitaire'!F26</x:f>
        <x:v>-36960.49581356736</x:v>
      </x:c>
      <x:c r="N25" s="216" t="n">
        <x:f>-H7*'Économie Unitaire'!F26</x:f>
        <x:v>-45907.94523712049</x:v>
      </x:c>
      <x:c r="O25" s="216" t="n">
        <x:f>-I7*'Économie Unitaire'!F26</x:f>
        <x:v>-57317.616404537715</x:v>
      </x:c>
      <x:c r="P25" s="216" t="n">
        <x:f>-J7*'Économie Unitaire'!F26</x:f>
        <x:v>-69293.59857304367</x:v>
      </x:c>
      <x:c r="Q25" s="216" t="n">
        <x:f>-K7*'Économie Unitaire'!F26</x:f>
        <x:v>-81399.83227180006</x:v>
      </x:c>
      <x:c r="R25" s="216" t="n">
        <x:f>-L7*'Économie Unitaire'!F26</x:f>
        <x:v>-93536.02382251402</x:v>
      </x:c>
      <x:c r="S25" s="216" t="n">
        <x:f>-M7*'Économie Unitaire'!F26</x:f>
        <x:v>-105679.10567917823</x:v>
      </x:c>
      <x:c r="T25" s="216" t="n">
        <x:f>-N7*'Économie Unitaire'!F26</x:f>
        <x:v>-117823.772306211</x:v>
      </x:c>
      <x:c r="U25" s="216" t="n">
        <x:f>-O7*'Économie Unitaire'!F26</x:f>
        <x:v>-132306.74288042853</x:v>
      </x:c>
      <x:c r="V25" s="216" t="n">
        <x:f>-P7*'Économie Unitaire'!F26</x:f>
        <x:v>-147327.52336249856</x:v>
      </x:c>
      <x:c r="W25" s="216" t="n">
        <x:f>-Q7*'Économie Unitaire'!F26</x:f>
        <x:v>-162472.0001233747</x:v>
      </x:c>
      <x:c r="X25" s="216" t="n">
        <x:f>-R7*'Économie Unitaire'!F26</x:f>
        <x:v>-177644.92702837617</x:v>
      </x:c>
      <x:c r="Y25" s="216" t="n">
        <x:f>-S7*'Économie Unitaire'!F26</x:f>
        <x:v>-192824.3974665265</x:v>
      </x:c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289" t="str">
        <x:v>Payouts totaux</x:v>
      </x:c>
      <x:c r="B26" s="290" t="n">
        <x:f>SUM(B21:B25)</x:f>
        <x:v>0</x:v>
      </x:c>
      <x:c r="C26" s="290" t="n">
        <x:f>SUM(C21:C25)</x:f>
        <x:v>0</x:v>
      </x:c>
      <x:c r="D26" s="290" t="n">
        <x:f>SUM(D21:D25)</x:f>
        <x:v>-41983.2</x:v>
      </x:c>
      <x:c r="E26" s="290" t="n">
        <x:f>SUM(E21:E25)</x:f>
        <x:v>-99920.016</x:v>
      </x:c>
      <x:c r="F26" s="290" t="n">
        <x:f>SUM(F21:F25)</x:f>
        <x:v>-178004.56968000002</x:v>
      </x:c>
      <x:c r="G26" s="290" t="n">
        <x:f>SUM(G21:G25)</x:f>
        <x:v>-266207.1585264</x:v>
      </x:c>
      <x:c r="H26" s="290" t="n">
        <x:f>SUM(H21:H25)</x:f>
        <x:v>-362928.10548607196</x:v>
      </x:c>
      <x:c r="I26" s="290" t="n">
        <x:f>SUM(I21:I25)</x:f>
        <x:v>-477622.2416617966</x:v>
      </x:c>
      <x:c r="J26" s="290" t="n">
        <x:f>SUM(J21:J25)</x:f>
        <x:v>-606855.4850822132</x:v>
      </x:c>
      <x:c r="K26" s="290" t="n">
        <x:f>SUM(K21:K25)</x:f>
        <x:v>-763153.231168909</x:v>
      </x:c>
      <x:c r="L26" s="290" t="n">
        <x:f>SUM(L21:L25)</x:f>
        <x:v>-938029.369468849</x:v>
      </x:c>
      <x:c r="M26" s="290" t="n">
        <x:f>SUM(M21:M25)</x:f>
        <x:v>-1126443.7054278352</x:v>
      </x:c>
      <x:c r="N26" s="290" t="n">
        <x:f>SUM(N21:N25)</x:f>
        <x:v>-1321089.079448402</x:v>
      </x:c>
      <x:c r="O26" s="290" t="n">
        <x:f>SUM(O21:O25)</x:f>
        <x:v>-1519505.5316731324</x:v>
      </x:c>
      <x:c r="P26" s="290" t="n">
        <x:f>SUM(P21:P25)</x:f>
        <x:v>-1718789.3318848205</x:v>
      </x:c>
      <x:c r="Q26" s="290" t="n">
        <x:f>SUM(Q21:Q25)</x:f>
        <x:v>-1935065.9021335088</x:v>
      </x:c>
      <x:c r="R26" s="290" t="n">
        <x:f>SUM(R21:R25)</x:f>
        <x:v>-2164487.113490707</x:v>
      </x:c>
      <x:c r="S26" s="290" t="n">
        <x:f>SUM(S21:S25)</x:f>
        <x:v>-2403858.820302862</x:v>
      </x:c>
      <x:c r="T26" s="290" t="n">
        <x:f>SUM(T21:T25)</x:f>
        <x:v>-2648636.393669658</x:v>
      </x:c>
      <x:c r="U26" s="290" t="n">
        <x:f>SUM(U21:U25)</x:f>
        <x:v>-2896995.2557940213</x:v>
      </x:c>
      <x:c r="V26" s="290" t="n">
        <x:f>SUM(V21:V25)</x:f>
        <x:v>-3146177.814332625</x:v>
      </x:c>
      <x:c r="W26" s="290" t="n">
        <x:f>SUM(W21:W25)</x:f>
        <x:v>-3395549.8230465036</x:v>
      </x:c>
      <x:c r="X26" s="290" t="n">
        <x:f>SUM(X21:X25)</x:f>
        <x:v>-3644965.405300696</x:v>
      </x:c>
      <x:c r="Y26" s="290" t="n">
        <x:f>SUM(Y21:Y25)</x:f>
        <x:v>-3894391.009469159</x:v>
      </x:c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289" t="str">
        <x:v>Cash-flow réserve</x:v>
      </x:c>
      <x:c r="B27" s="290" t="n">
        <x:f>B18+B26</x:f>
        <x:v>210006.6171875</x:v>
      </x:c>
      <x:c r="C27" s="290" t="n">
        <x:f>C18+C26</x:f>
        <x:v>384312.109453125</x:v>
      </x:c>
      <x:c r="D27" s="290" t="n">
        <x:f>D18+D26</x:f>
        <x:v>550424.4664242187</x:v>
      </x:c>
      <x:c r="E27" s="290" t="n">
        <x:f>E18+E26</x:f>
        <x:v>708354.9222775702</x:v>
      </x:c>
      <x:c r="F27" s="290" t="n">
        <x:f>F18+F26</x:f>
        <x:v>847925.134873841</x:v>
      </x:c>
      <x:c r="G27" s="290" t="n">
        <x:f>G18+G26</x:f>
        <x:v>1061791.0828959835</x:v>
      </x:c>
      <x:c r="H27" s="290" t="n">
        <x:f>H18+H26</x:f>
        <x:v>1286553.840041076</x:v>
      </x:c>
      <x:c r="I27" s="290" t="n">
        <x:f>I18+I26</x:f>
        <x:v>1581811.5433094476</x:v>
      </x:c>
      <x:c r="J27" s="290" t="n">
        <x:f>J18+J26</x:f>
        <x:v>1882877.8104611728</x:v>
      </x:c>
      <x:c r="K27" s="290" t="n">
        <x:f>K18+K26</x:f>
        <x:v>2161559.53930607</x:v>
      </x:c>
      <x:c r="L27" s="290" t="n">
        <x:f>L18+L26</x:f>
        <x:v>2422739.267740396</x:v>
      </x:c>
      <x:c r="M27" s="290" t="n">
        <x:f>M18+M26</x:f>
        <x:v>2670628.368630291</x:v>
      </x:c>
      <x:c r="N27" s="290" t="n">
        <x:f>N18+N26</x:f>
        <x:v>2912343.372584967</x:v>
      </x:c>
      <x:c r="O27" s="290" t="n">
        <x:f>O18+O26</x:f>
        <x:v>3234303.041669543</x:v>
      </x:c>
      <x:c r="P27" s="290" t="n">
        <x:f>P18+P26</x:f>
        <x:v>3574718.9837339944</x:v>
      </x:c>
      <x:c r="Q27" s="290" t="n">
        <x:f>Q18+Q26</x:f>
        <x:v>3902586.5885838196</x:v>
      </x:c>
      <x:c r="R27" s="290" t="n">
        <x:f>R18+R26</x:f>
        <x:v>4218331.771874279</x:v>
      </x:c>
      <x:c r="S27" s="290" t="n">
        <x:f>S18+S26</x:f>
        <x:v>4524361.5702060815</x:v>
      </x:c>
      <x:c r="T27" s="290" t="n">
        <x:f>T18+T26</x:f>
        <x:v>4825039.5773974005</x:v>
      </x:c>
      <x:c r="U27" s="290" t="n">
        <x:f>U18+U26</x:f>
        <x:v>5122148.733176403</x:v>
      </x:c>
      <x:c r="V27" s="290" t="n">
        <x:f>V18+V26</x:f>
        <x:v>5418437.053130573</x:v>
      </x:c>
      <x:c r="W27" s="290" t="n">
        <x:f>W18+W26</x:f>
        <x:v>5714536.58084503</x:v>
      </x:c>
      <x:c r="X27" s="290" t="n">
        <x:f>X18+X26</x:f>
        <x:v>6010592.686344355</x:v>
      </x:c>
      <x:c r="Y27" s="290" t="n">
        <x:f>Y18+Y26</x:f>
        <x:v>6726652.039109204</x:v>
      </x:c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289" t="str">
        <x:v>Trésorerie exploitation fin</x:v>
      </x:c>
      <x:c r="B28" s="290" t="n">
        <x:f>'Hypothèses'!B36+B20</x:f>
        <x:v>352856.0390625</x:v>
      </x:c>
      <x:c r="C28" s="290" t="n">
        <x:f>B28+C20</x:f>
        <x:v>-58542.40945312503</x:v>
      </x:c>
      <x:c r="D28" s="290" t="n">
        <x:f>C28+D20</x:f>
        <x:v>-197909.5588617187</x:v>
      </x:c>
      <x:c r="E28" s="290" t="n">
        <x:f>D28+E20</x:f>
        <x:v>-51724.678225695214</x:v>
      </x:c>
      <x:c r="F28" s="290" t="n">
        <x:f>E28+F20</x:f>
        <x:v>383122.00057058985</x:v>
      </x:c>
      <x:c r="G28" s="290" t="n">
        <x:f>F28+G20</x:f>
        <x:v>1208488.1398187354</x:v>
      </x:c>
      <x:c r="H28" s="290" t="n">
        <x:f>G28+H20</x:f>
        <x:v>2458151.0018458082</x:v>
      </x:c>
      <x:c r="I28" s="290" t="n">
        <x:f>H28+I20</x:f>
        <x:v>4241021.772612036</x:v>
      </x:c>
      <x:c r="J28" s="290" t="n">
        <x:f>I28+J20</x:f>
        <x:v>6592500.024888268</x:v>
      </x:c>
      <x:c r="K28" s="290" t="n">
        <x:f>J28+K20</x:f>
        <x:v>9520727.660411803</x:v>
      </x:c>
      <x:c r="L28" s="290" t="n">
        <x:f>K28+L20</x:f>
        <x:v>13027577.316582218</x:v>
      </x:c>
      <x:c r="M28" s="290" t="n">
        <x:f>L28+M20</x:f>
        <x:v>17113479.70000141</x:v>
      </x:c>
      <x:c r="N28" s="290" t="n">
        <x:f>M28+N20</x:f>
        <x:v>21778533.87318783</x:v>
      </x:c>
      <x:c r="O28" s="290" t="n">
        <x:f>N28+O20</x:f>
        <x:v>27123905.036145706</x:v>
      </x:c>
      <x:c r="P28" s="290" t="n">
        <x:f>O28+P20</x:f>
        <x:v>33183211.184876017</x:v>
      </x:c>
      <x:c r="Q28" s="290" t="n">
        <x:f>P28+Q20</x:f>
        <x:v>39964184.45845899</x:v>
      </x:c>
      <x:c r="R28" s="290" t="n">
        <x:f>Q28+R20</x:f>
        <x:v>47468603.248883076</x:v>
      </x:c>
      <x:c r="S28" s="290" t="n">
        <x:f>R28+S20</x:f>
        <x:v>55696876.58630561</x:v>
      </x:c>
      <x:c r="T28" s="290" t="n">
        <x:f>S28+T20</x:f>
        <x:v>64649098.5476628</x:v>
      </x:c>
      <x:c r="U28" s="290" t="n">
        <x:f>T28+U20</x:f>
        <x:v>74325290.77064995</x:v>
      </x:c>
      <x:c r="V28" s="290" t="n">
        <x:f>U28+V20</x:f>
        <x:v>84725458.231937</x:v>
      </x:c>
      <x:c r="W28" s="290" t="n">
        <x:f>V28+W20</x:f>
        <x:v>95849602.07615803</x:v>
      </x:c>
      <x:c r="X28" s="290" t="n">
        <x:f>W28+X20</x:f>
        <x:v>107697722.56657887</x:v>
      </x:c>
      <x:c r="Y28" s="290" t="n">
        <x:f>X28+Y20</x:f>
        <x:v>120775531.84187566</x:v>
      </x:c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289" t="str">
        <x:v>Réserve payout fin</x:v>
      </x:c>
      <x:c r="B29" s="290" t="n">
        <x:f>'Hypothèses'!B37+B27</x:f>
        <x:v>2210006.6171875</x:v>
      </x:c>
      <x:c r="C29" s="290" t="n">
        <x:f>B29+C27</x:f>
        <x:v>2594318.726640625</x:v>
      </x:c>
      <x:c r="D29" s="290" t="n">
        <x:f>C29+D27</x:f>
        <x:v>3144743.193064844</x:v>
      </x:c>
      <x:c r="E29" s="290" t="n">
        <x:f>D29+E27</x:f>
        <x:v>3853098.115342414</x:v>
      </x:c>
      <x:c r="F29" s="290" t="n">
        <x:f>E29+F27</x:f>
        <x:v>4701023.250216255</x:v>
      </x:c>
      <x:c r="G29" s="290" t="n">
        <x:f>F29+G27</x:f>
        <x:v>5762814.333112238</x:v>
      </x:c>
      <x:c r="H29" s="290" t="n">
        <x:f>G29+H27</x:f>
        <x:v>7049368.173153314</x:v>
      </x:c>
      <x:c r="I29" s="290" t="n">
        <x:f>H29+I27</x:f>
        <x:v>8631179.716462761</x:v>
      </x:c>
      <x:c r="J29" s="290" t="n">
        <x:f>I29+J27</x:f>
        <x:v>10514057.526923934</x:v>
      </x:c>
      <x:c r="K29" s="290" t="n">
        <x:f>J29+K27</x:f>
        <x:v>12675617.066230005</x:v>
      </x:c>
      <x:c r="L29" s="290" t="n">
        <x:f>K29+L27</x:f>
        <x:v>15098356.333970401</x:v>
      </x:c>
      <x:c r="M29" s="290" t="n">
        <x:f>L29+M27</x:f>
        <x:v>17768984.70260069</x:v>
      </x:c>
      <x:c r="N29" s="290" t="n">
        <x:f>M29+N27</x:f>
        <x:v>20681328.075185657</x:v>
      </x:c>
      <x:c r="O29" s="290" t="n">
        <x:f>N29+O27</x:f>
        <x:v>23915631.1168552</x:v>
      </x:c>
      <x:c r="P29" s="290" t="n">
        <x:f>O29+P27</x:f>
        <x:v>27490350.100589193</x:v>
      </x:c>
      <x:c r="Q29" s="290" t="n">
        <x:f>P29+Q27</x:f>
        <x:v>31392936.689173013</x:v>
      </x:c>
      <x:c r="R29" s="290" t="n">
        <x:f>Q29+R27</x:f>
        <x:v>35611268.46104729</x:v>
      </x:c>
      <x:c r="S29" s="290" t="n">
        <x:f>R29+S27</x:f>
        <x:v>40135630.031253375</x:v>
      </x:c>
      <x:c r="T29" s="290" t="n">
        <x:f>S29+T27</x:f>
        <x:v>44960669.608650774</x:v>
      </x:c>
      <x:c r="U29" s="290" t="n">
        <x:f>T29+U27</x:f>
        <x:v>50082818.34182718</x:v>
      </x:c>
      <x:c r="V29" s="290" t="n">
        <x:f>U29+V27</x:f>
        <x:v>55501255.39495775</x:v>
      </x:c>
      <x:c r="W29" s="290" t="n">
        <x:f>V29+W27</x:f>
        <x:v>61215791.97580278</x:v>
      </x:c>
      <x:c r="X29" s="290" t="n">
        <x:f>W29+X27</x:f>
        <x:v>67226384.66214713</x:v>
      </x:c>
      <x:c r="Y29" s="290" t="n">
        <x:f>X29+Y27</x:f>
        <x:v>73953036.70125633</x:v>
      </x:c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1" t="str">
        <x:v>Payouts prochains 30 jours</x:v>
      </x:c>
      <x:c r="B30" s="216" t="n">
        <x:f>0</x:f>
        <x:v>0</x:v>
      </x:c>
      <x:c r="C30" s="216" t="n">
        <x:f>B7*'Économie Unitaire'!F22</x:f>
        <x:v>41983.2</x:v>
      </x:c>
      <x:c r="D30" s="216" t="n">
        <x:f>C7*'Économie Unitaire'!F22+B7*'Économie Unitaire'!F23</x:f>
        <x:v>99920.016</x:v>
      </x:c>
      <x:c r="E30" s="216" t="n">
        <x:f>D7*'Économie Unitaire'!F22+C7*'Économie Unitaire'!F23+B7*'Économie Unitaire'!F24</x:f>
        <x:v>178004.56968000002</x:v>
      </x:c>
      <x:c r="F30" s="216" t="n">
        <x:f>E7*'Économie Unitaire'!F22+D7*'Économie Unitaire'!F23+C7*'Économie Unitaire'!F24+B7*'Économie Unitaire'!F25</x:f>
        <x:v>266207.1585264</x:v>
      </x:c>
      <x:c r="G30" s="216" t="n">
        <x:f>F7*'Économie Unitaire'!F22+E7*'Économie Unitaire'!F23+D7*'Économie Unitaire'!F24+C7*'Économie Unitaire'!F25+B7*'Économie Unitaire'!F26</x:f>
        <x:v>362928.10548607196</x:v>
      </x:c>
      <x:c r="H30" s="216" t="n">
        <x:f>G7*'Économie Unitaire'!F22+F7*'Économie Unitaire'!F23+E7*'Économie Unitaire'!F24+D7*'Économie Unitaire'!F25+C7*'Économie Unitaire'!F26</x:f>
        <x:v>477622.2416617966</x:v>
      </x:c>
      <x:c r="I30" s="216" t="n">
        <x:f>H7*'Économie Unitaire'!F22+G7*'Économie Unitaire'!F23+F7*'Économie Unitaire'!F24+E7*'Économie Unitaire'!F25+D7*'Économie Unitaire'!F26</x:f>
        <x:v>606855.4850822132</x:v>
      </x:c>
      <x:c r="J30" s="216" t="n">
        <x:f>I7*'Économie Unitaire'!F22+H7*'Économie Unitaire'!F23+G7*'Économie Unitaire'!F24+F7*'Économie Unitaire'!F25+E7*'Économie Unitaire'!F26</x:f>
        <x:v>763153.231168909</x:v>
      </x:c>
      <x:c r="K30" s="216" t="n">
        <x:f>J7*'Économie Unitaire'!F22+I7*'Économie Unitaire'!F23+H7*'Économie Unitaire'!F24+G7*'Économie Unitaire'!F25+F7*'Économie Unitaire'!F26</x:f>
        <x:v>938029.369468849</x:v>
      </x:c>
      <x:c r="L30" s="216" t="n">
        <x:f>K7*'Économie Unitaire'!F22+J7*'Économie Unitaire'!F23+I7*'Économie Unitaire'!F24+H7*'Économie Unitaire'!F25+G7*'Économie Unitaire'!F26</x:f>
        <x:v>1126443.7054278352</x:v>
      </x:c>
      <x:c r="M30" s="216" t="n">
        <x:f>L7*'Économie Unitaire'!F22+K7*'Économie Unitaire'!F23+J7*'Économie Unitaire'!F24+I7*'Économie Unitaire'!F25+H7*'Économie Unitaire'!F26</x:f>
        <x:v>1321089.079448402</x:v>
      </x:c>
      <x:c r="N30" s="216" t="n">
        <x:f>M7*'Économie Unitaire'!F22+L7*'Économie Unitaire'!F23+K7*'Économie Unitaire'!F24+J7*'Économie Unitaire'!F25+I7*'Économie Unitaire'!F26</x:f>
        <x:v>1519505.5316731324</x:v>
      </x:c>
      <x:c r="O30" s="216" t="n">
        <x:f>N7*'Économie Unitaire'!F22+M7*'Économie Unitaire'!F23+L7*'Économie Unitaire'!F24+K7*'Économie Unitaire'!F25+J7*'Économie Unitaire'!F26</x:f>
        <x:v>1718789.3318848205</x:v>
      </x:c>
      <x:c r="P30" s="216" t="n">
        <x:f>O7*'Économie Unitaire'!F22+N7*'Économie Unitaire'!F23+M7*'Économie Unitaire'!F24+L7*'Économie Unitaire'!F25+K7*'Économie Unitaire'!F26</x:f>
        <x:v>1935065.9021335088</x:v>
      </x:c>
      <x:c r="Q30" s="216" t="n">
        <x:f>P7*'Économie Unitaire'!F22+O7*'Économie Unitaire'!F23+N7*'Économie Unitaire'!F24+M7*'Économie Unitaire'!F25+L7*'Économie Unitaire'!F26</x:f>
        <x:v>2164487.113490707</x:v>
      </x:c>
      <x:c r="R30" s="216" t="n">
        <x:f>Q7*'Économie Unitaire'!F22+P7*'Économie Unitaire'!F23+O7*'Économie Unitaire'!F24+N7*'Économie Unitaire'!F25+M7*'Économie Unitaire'!F26</x:f>
        <x:v>2403858.820302862</x:v>
      </x:c>
      <x:c r="S30" s="216" t="n">
        <x:f>R7*'Économie Unitaire'!F22+Q7*'Économie Unitaire'!F23+P7*'Économie Unitaire'!F24+O7*'Économie Unitaire'!F25+N7*'Économie Unitaire'!F26</x:f>
        <x:v>2648636.393669658</x:v>
      </x:c>
      <x:c r="T30" s="216" t="n">
        <x:f>S7*'Économie Unitaire'!F22+R7*'Économie Unitaire'!F23+Q7*'Économie Unitaire'!F24+P7*'Économie Unitaire'!F25+O7*'Économie Unitaire'!F26</x:f>
        <x:v>2896995.2557940213</x:v>
      </x:c>
      <x:c r="U30" s="216" t="n">
        <x:f>T7*'Économie Unitaire'!F22+S7*'Économie Unitaire'!F23+R7*'Économie Unitaire'!F24+Q7*'Économie Unitaire'!F25+P7*'Économie Unitaire'!F26</x:f>
        <x:v>3146177.814332625</x:v>
      </x:c>
      <x:c r="V30" s="216" t="n">
        <x:f>U7*'Économie Unitaire'!F22+T7*'Économie Unitaire'!F23+S7*'Économie Unitaire'!F24+R7*'Économie Unitaire'!F25+Q7*'Économie Unitaire'!F26</x:f>
        <x:v>3395549.8230465036</x:v>
      </x:c>
      <x:c r="W30" s="216" t="n">
        <x:f>V7*'Économie Unitaire'!F22+U7*'Économie Unitaire'!F23+T7*'Économie Unitaire'!F24+S7*'Économie Unitaire'!F25+R7*'Économie Unitaire'!F26</x:f>
        <x:v>3644965.405300696</x:v>
      </x:c>
      <x:c r="X30" s="216" t="n">
        <x:f>W7*'Économie Unitaire'!F22+V7*'Économie Unitaire'!F23+U7*'Économie Unitaire'!F24+T7*'Économie Unitaire'!F25+S7*'Économie Unitaire'!F26</x:f>
        <x:v>3894391.009469159</x:v>
      </x:c>
      <x:c r="Y30" s="216" t="n">
        <x:f>X7*'Économie Unitaire'!F22+W7*'Économie Unitaire'!F23+V7*'Économie Unitaire'!F24+U7*'Économie Unitaire'!F25+T7*'Économie Unitaire'!F26</x:f>
        <x:v>4143818.918677906</x:v>
      </x:c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289" t="str">
        <x:v>Couverture réserve</x:v>
      </x:c>
      <x:c r="B31" s="324" t="str">
        <x:f>IF(B30&gt;0,B29/B30,"")</x:f>
      </x:c>
      <x:c r="C31" s="324" t="n">
        <x:f>IF(C30&gt;0,C29/C30,"")</x:f>
        <x:v>61.79421117591382</x:v>
      </x:c>
      <x:c r="D31" s="324" t="n">
        <x:f>IF(D30&gt;0,D29/D30,"")</x:f>
        <x:v>31.472604979014854</x:v>
      </x:c>
      <x:c r="E31" s="324" t="n">
        <x:f>IF(E30&gt;0,E29/E30,"")</x:f>
        <x:v>21.64606292000904</x:v>
      </x:c>
      <x:c r="F31" s="324" t="n">
        <x:f>IF(F30&gt;0,F29/F30,"")</x:f>
        <x:v>17.65926685157135</x:v>
      </x:c>
      <x:c r="G31" s="324" t="n">
        <x:f>IF(G30&gt;0,G29/G30,"")</x:f>
        <x:v>15.87866645211746</x:v>
      </x:c>
      <x:c r="H31" s="324" t="n">
        <x:f>IF(H30&gt;0,H29/H30,"")</x:f>
        <x:v>14.75929627696224</x:v>
      </x:c>
      <x:c r="I31" s="324" t="n">
        <x:f>IF(I30&gt;0,I29/I30,"")</x:f>
        <x:v>14.222792623013797</x:v>
      </x:c>
      <x:c r="J31" s="324" t="n">
        <x:f>IF(J30&gt;0,J29/J30,"")</x:f>
        <x:v>13.777125087735957</x:v>
      </x:c>
      <x:c r="K31" s="324" t="n">
        <x:f>IF(K30&gt;0,K29/K30,"")</x:f>
        <x:v>13.513027927267846</x:v>
      </x:c>
      <x:c r="L31" s="324" t="n">
        <x:f>IF(L30&gt;0,L29/L30,"")</x:f>
        <x:v>13.40356048084612</x:v>
      </x:c>
      <x:c r="M31" s="324" t="n">
        <x:f>IF(M30&gt;0,M29/M30,"")</x:f>
        <x:v>13.450254777686775</x:v>
      </x:c>
      <x:c r="N31" s="324" t="n">
        <x:f>IF(N30&gt;0,N29/N30,"")</x:f>
        <x:v>13.61056451858611</x:v>
      </x:c>
      <x:c r="O31" s="324" t="n">
        <x:f>IF(O30&gt;0,O29/O30,"")</x:f>
        <x:v>13.914230600110471</x:v>
      </x:c>
      <x:c r="P31" s="324" t="n">
        <x:f>IF(P30&gt;0,P29/P30,"")</x:f>
        <x:v>14.206415435401803</x:v>
      </x:c>
      <x:c r="Q31" s="324" t="n">
        <x:f>IF(Q30&gt;0,Q29/Q30,"")</x:f>
        <x:v>14.503637602418001</x:v>
      </x:c>
      <x:c r="R31" s="324" t="n">
        <x:f>IF(R30&gt;0,R29/R30,"")</x:f>
        <x:v>14.814209620081028</x:v>
      </x:c>
      <x:c r="S31" s="324" t="n">
        <x:f>IF(S30&gt;0,S29/S30,"")</x:f>
        <x:v>15.153318185606398</x:v>
      </x:c>
      <x:c r="T31" s="324" t="n">
        <x:f>IF(T30&gt;0,T29/T30,"")</x:f>
        <x:v>15.51975948829359</x:v>
      </x:c>
      <x:c r="U31" s="324" t="n">
        <x:f>IF(U30&gt;0,U29/U30,"")</x:f>
        <x:v>15.918622944218704</x:v>
      </x:c>
      <x:c r="V31" s="324" t="n">
        <x:f>IF(V30&gt;0,V29/V30,"")</x:f>
        <x:v>16.345292599818713</x:v>
      </x:c>
      <x:c r="W31" s="324" t="n">
        <x:f>IF(W30&gt;0,W29/W30,"")</x:f>
        <x:v>16.794615358153916</x:v>
      </x:c>
      <x:c r="X31" s="324" t="n">
        <x:f>IF(X30&gt;0,X29/X30,"")</x:f>
        <x:v>17.262361303394314</x:v>
      </x:c>
      <x:c r="Y31" s="324" t="n">
        <x:f>IF(Y30&gt;0,Y29/Y30,"")</x:f>
        <x:v>17.846589861328013</x:v>
      </x:c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289" t="str">
        <x:v>Cash total fin</x:v>
      </x:c>
      <x:c r="B32" s="290" t="n">
        <x:f>B28+B29</x:f>
        <x:v>2562862.65625</x:v>
      </x:c>
      <x:c r="C32" s="290" t="n">
        <x:f>C28+C29</x:f>
        <x:v>2535776.3171874997</x:v>
      </x:c>
      <x:c r="D32" s="290" t="n">
        <x:f>D28+D29</x:f>
        <x:v>2946833.6342031253</x:v>
      </x:c>
      <x:c r="E32" s="290" t="n">
        <x:f>E28+E29</x:f>
        <x:v>3801373.437116719</x:v>
      </x:c>
      <x:c r="F32" s="290" t="n">
        <x:f>F28+F29</x:f>
        <x:v>5084145.250786845</x:v>
      </x:c>
      <x:c r="G32" s="290" t="n">
        <x:f>G28+G29</x:f>
        <x:v>6971302.472930973</x:v>
      </x:c>
      <x:c r="H32" s="290" t="n">
        <x:f>H28+H29</x:f>
        <x:v>9507519.174999122</x:v>
      </x:c>
      <x:c r="I32" s="290" t="n">
        <x:f>I28+I29</x:f>
        <x:v>12872201.489074796</x:v>
      </x:c>
      <x:c r="J32" s="290" t="n">
        <x:f>J28+J29</x:f>
        <x:v>17106557.5518122</x:v>
      </x:c>
      <x:c r="K32" s="290" t="n">
        <x:f>K28+K29</x:f>
        <x:v>22196344.726641808</x:v>
      </x:c>
      <x:c r="L32" s="290" t="n">
        <x:f>L28+L29</x:f>
        <x:v>28125933.65055262</x:v>
      </x:c>
      <x:c r="M32" s="290" t="n">
        <x:f>M28+M29</x:f>
        <x:v>34882464.40260211</x:v>
      </x:c>
      <x:c r="N32" s="290" t="n">
        <x:f>N28+N29</x:f>
        <x:v>42459861.94837348</x:v>
      </x:c>
      <x:c r="O32" s="290" t="n">
        <x:f>O28+O29</x:f>
        <x:v>51039536.153000906</x:v>
      </x:c>
      <x:c r="P32" s="290" t="n">
        <x:f>P28+P29</x:f>
        <x:v>60673561.28546521</x:v>
      </x:c>
      <x:c r="Q32" s="290" t="n">
        <x:f>Q28+Q29</x:f>
        <x:v>71357121.147632</x:v>
      </x:c>
      <x:c r="R32" s="290" t="n">
        <x:f>R28+R29</x:f>
        <x:v>83079871.70993036</x:v>
      </x:c>
      <x:c r="S32" s="290" t="n">
        <x:f>S28+S29</x:f>
        <x:v>95832506.61755899</x:v>
      </x:c>
      <x:c r="T32" s="290" t="n">
        <x:f>T28+T29</x:f>
        <x:v>109609768.15631357</x:v>
      </x:c>
      <x:c r="U32" s="290" t="n">
        <x:f>U28+U29</x:f>
        <x:v>124408109.11247712</x:v>
      </x:c>
      <x:c r="V32" s="290" t="n">
        <x:f>V28+V29</x:f>
        <x:v>140226713.62689477</x:v>
      </x:c>
      <x:c r="W32" s="290" t="n">
        <x:f>W28+W29</x:f>
        <x:v>157065394.05196083</x:v>
      </x:c>
      <x:c r="X32" s="290" t="n">
        <x:f>X28+X29</x:f>
        <x:v>174924107.228726</x:v>
      </x:c>
      <x:c r="Y32" s="290" t="n">
        <x:f>Y28+Y29</x:f>
        <x:v>194728568.543132</x:v>
      </x:c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289" t="str">
        <x:v>Statut réserve</x:v>
      </x:c>
      <x:c r="B33" s="289" t="str">
        <x:f>IF(B31="","DÉMARRAGE",IF(B31&gt;=2,"NORMAL",IF(B31&gt;=1.5,"PRUDENCE",IF(B31&gt;=1.2,"DÉFENSIF","CRITIQUE"))))</x:f>
        <x:v>DÉMARRAGE</x:v>
      </x:c>
      <x:c r="C33" s="289" t="str">
        <x:f>IF(C31="","DÉMARRAGE",IF(C31&gt;=2,"NORMAL",IF(C31&gt;=1.5,"PRUDENCE",IF(C31&gt;=1.2,"DÉFENSIF","CRITIQUE"))))</x:f>
        <x:v>NORMAL</x:v>
      </x:c>
      <x:c r="D33" s="289" t="str">
        <x:f>IF(D31="","DÉMARRAGE",IF(D31&gt;=2,"NORMAL",IF(D31&gt;=1.5,"PRUDENCE",IF(D31&gt;=1.2,"DÉFENSIF","CRITIQUE"))))</x:f>
        <x:v>NORMAL</x:v>
      </x:c>
      <x:c r="E33" s="289" t="str">
        <x:f>IF(E31="","DÉMARRAGE",IF(E31&gt;=2,"NORMAL",IF(E31&gt;=1.5,"PRUDENCE",IF(E31&gt;=1.2,"DÉFENSIF","CRITIQUE"))))</x:f>
        <x:v>NORMAL</x:v>
      </x:c>
      <x:c r="F33" s="289" t="str">
        <x:f>IF(F31="","DÉMARRAGE",IF(F31&gt;=2,"NORMAL",IF(F31&gt;=1.5,"PRUDENCE",IF(F31&gt;=1.2,"DÉFENSIF","CRITIQUE"))))</x:f>
        <x:v>NORMAL</x:v>
      </x:c>
      <x:c r="G33" s="289" t="str">
        <x:f>IF(G31="","DÉMARRAGE",IF(G31&gt;=2,"NORMAL",IF(G31&gt;=1.5,"PRUDENCE",IF(G31&gt;=1.2,"DÉFENSIF","CRITIQUE"))))</x:f>
        <x:v>NORMAL</x:v>
      </x:c>
      <x:c r="H33" s="289" t="str">
        <x:f>IF(H31="","DÉMARRAGE",IF(H31&gt;=2,"NORMAL",IF(H31&gt;=1.5,"PRUDENCE",IF(H31&gt;=1.2,"DÉFENSIF","CRITIQUE"))))</x:f>
        <x:v>NORMAL</x:v>
      </x:c>
      <x:c r="I33" s="289" t="str">
        <x:f>IF(I31="","DÉMARRAGE",IF(I31&gt;=2,"NORMAL",IF(I31&gt;=1.5,"PRUDENCE",IF(I31&gt;=1.2,"DÉFENSIF","CRITIQUE"))))</x:f>
        <x:v>NORMAL</x:v>
      </x:c>
      <x:c r="J33" s="289" t="str">
        <x:f>IF(J31="","DÉMARRAGE",IF(J31&gt;=2,"NORMAL",IF(J31&gt;=1.5,"PRUDENCE",IF(J31&gt;=1.2,"DÉFENSIF","CRITIQUE"))))</x:f>
        <x:v>NORMAL</x:v>
      </x:c>
      <x:c r="K33" s="289" t="str">
        <x:f>IF(K31="","DÉMARRAGE",IF(K31&gt;=2,"NORMAL",IF(K31&gt;=1.5,"PRUDENCE",IF(K31&gt;=1.2,"DÉFENSIF","CRITIQUE"))))</x:f>
        <x:v>NORMAL</x:v>
      </x:c>
      <x:c r="L33" s="289" t="str">
        <x:f>IF(L31="","DÉMARRAGE",IF(L31&gt;=2,"NORMAL",IF(L31&gt;=1.5,"PRUDENCE",IF(L31&gt;=1.2,"DÉFENSIF","CRITIQUE"))))</x:f>
        <x:v>NORMAL</x:v>
      </x:c>
      <x:c r="M33" s="289" t="str">
        <x:f>IF(M31="","DÉMARRAGE",IF(M31&gt;=2,"NORMAL",IF(M31&gt;=1.5,"PRUDENCE",IF(M31&gt;=1.2,"DÉFENSIF","CRITIQUE"))))</x:f>
        <x:v>NORMAL</x:v>
      </x:c>
      <x:c r="N33" s="289" t="str">
        <x:f>IF(N31="","DÉMARRAGE",IF(N31&gt;=2,"NORMAL",IF(N31&gt;=1.5,"PRUDENCE",IF(N31&gt;=1.2,"DÉFENSIF","CRITIQUE"))))</x:f>
        <x:v>NORMAL</x:v>
      </x:c>
      <x:c r="O33" s="289" t="str">
        <x:f>IF(O31="","DÉMARRAGE",IF(O31&gt;=2,"NORMAL",IF(O31&gt;=1.5,"PRUDENCE",IF(O31&gt;=1.2,"DÉFENSIF","CRITIQUE"))))</x:f>
        <x:v>NORMAL</x:v>
      </x:c>
      <x:c r="P33" s="289" t="str">
        <x:f>IF(P31="","DÉMARRAGE",IF(P31&gt;=2,"NORMAL",IF(P31&gt;=1.5,"PRUDENCE",IF(P31&gt;=1.2,"DÉFENSIF","CRITIQUE"))))</x:f>
        <x:v>NORMAL</x:v>
      </x:c>
      <x:c r="Q33" s="289" t="str">
        <x:f>IF(Q31="","DÉMARRAGE",IF(Q31&gt;=2,"NORMAL",IF(Q31&gt;=1.5,"PRUDENCE",IF(Q31&gt;=1.2,"DÉFENSIF","CRITIQUE"))))</x:f>
        <x:v>NORMAL</x:v>
      </x:c>
      <x:c r="R33" s="289" t="str">
        <x:f>IF(R31="","DÉMARRAGE",IF(R31&gt;=2,"NORMAL",IF(R31&gt;=1.5,"PRUDENCE",IF(R31&gt;=1.2,"DÉFENSIF","CRITIQUE"))))</x:f>
        <x:v>NORMAL</x:v>
      </x:c>
      <x:c r="S33" s="289" t="str">
        <x:f>IF(S31="","DÉMARRAGE",IF(S31&gt;=2,"NORMAL",IF(S31&gt;=1.5,"PRUDENCE",IF(S31&gt;=1.2,"DÉFENSIF","CRITIQUE"))))</x:f>
        <x:v>NORMAL</x:v>
      </x:c>
      <x:c r="T33" s="289" t="str">
        <x:f>IF(T31="","DÉMARRAGE",IF(T31&gt;=2,"NORMAL",IF(T31&gt;=1.5,"PRUDENCE",IF(T31&gt;=1.2,"DÉFENSIF","CRITIQUE"))))</x:f>
        <x:v>NORMAL</x:v>
      </x:c>
      <x:c r="U33" s="289" t="str">
        <x:f>IF(U31="","DÉMARRAGE",IF(U31&gt;=2,"NORMAL",IF(U31&gt;=1.5,"PRUDENCE",IF(U31&gt;=1.2,"DÉFENSIF","CRITIQUE"))))</x:f>
        <x:v>NORMAL</x:v>
      </x:c>
      <x:c r="V33" s="289" t="str">
        <x:f>IF(V31="","DÉMARRAGE",IF(V31&gt;=2,"NORMAL",IF(V31&gt;=1.5,"PRUDENCE",IF(V31&gt;=1.2,"DÉFENSIF","CRITIQUE"))))</x:f>
        <x:v>NORMAL</x:v>
      </x:c>
      <x:c r="W33" s="289" t="str">
        <x:f>IF(W31="","DÉMARRAGE",IF(W31&gt;=2,"NORMAL",IF(W31&gt;=1.5,"PRUDENCE",IF(W31&gt;=1.2,"DÉFENSIF","CRITIQUE"))))</x:f>
        <x:v>NORMAL</x:v>
      </x:c>
      <x:c r="X33" s="289" t="str">
        <x:f>IF(X31="","DÉMARRAGE",IF(X31&gt;=2,"NORMAL",IF(X31&gt;=1.5,"PRUDENCE",IF(X31&gt;=1.2,"DÉFENSIF","CRITIQUE"))))</x:f>
        <x:v>NORMAL</x:v>
      </x:c>
      <x:c r="Y33" s="289" t="str">
        <x:f>IF(Y31="","DÉMARRAGE",IF(Y31&gt;=2,"NORMAL",IF(Y31&gt;=1.5,"PRUDENCE",IF(Y31&gt;=1.2,"DÉFENSIF","CRITIQUE"))))</x:f>
        <x:v>NORMAL</x:v>
      </x:c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Y1"/>
    <x:mergeCell ref="A2:Y2"/>
  </x:mergeCells>
  <x:conditionalFormatting sqref="B31:Y31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conditionalFormatting sqref="B33:Y33">
    <x:cfRule type="expression" dxfId="0" priority="2">
      <x:formula>B33="CRITIQUE"</x:formula>
    </x:cfRule>
    <x:cfRule type="expression" dxfId="1" priority="3">
      <x:formula>B33="DÉFENSIF"</x:formula>
    </x:cfRule>
    <x:cfRule type="expression" dxfId="2" priority="4">
      <x:formula>B33="NORMAL"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2" hidden="0" customWidth="1"/>
  </x:cols>
  <x:sheetData>
    <x:row r="1" ht="15" hidden="0" customHeight="1">
      <x:c r="A1" s="400" t="str">
        <x:v>WARIBA — Comparaison Base / Upside / Stress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62" t="str">
        <x:v>Les résultats sont calculés indépendamment du scénario actif pour éviter une lecture partielle.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61"/>
      <x:c r="B3" s="161"/>
      <x:c r="C3" s="161"/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64" t="str">
        <x:v>Indicateur</x:v>
      </x:c>
      <x:c r="B4" s="164" t="str">
        <x:v>Base</x:v>
      </x:c>
      <x:c r="C4" s="164" t="str">
        <x:v>Upside</x:v>
      </x:c>
      <x:c r="D4" s="164" t="str">
        <x:v>Stress</x:v>
      </x:c>
      <x:c r="E4" s="164" t="str">
        <x:v>Unité</x:v>
      </x:c>
      <x:c r="F4" s="164" t="str">
        <x:v>Lecture</x:v>
      </x:c>
      <x:c r="G4" s="161"/>
      <x:c r="H4" s="161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61" t="str">
        <x:v>Prix moyen pondéré</x:v>
      </x:c>
      <x:c r="B5" s="292" t="n">
        <x:f>SUMPRODUCT('Hypothèses'!B30:B32,'Hypothèses'!C30:C32)</x:f>
        <x:v>25250</x:v>
      </x:c>
      <x:c r="C5" s="292" t="n">
        <x:f>SUMPRODUCT('Hypothèses'!B30:B32,'Hypothèses'!C30:C32)</x:f>
        <x:v>25250</x:v>
      </x:c>
      <x:c r="D5" s="292" t="n">
        <x:f>SUMPRODUCT('Hypothèses'!B30:B32,'Hypothèses'!C30:C32)</x:f>
        <x:v>25250</x:v>
      </x:c>
      <x:c r="E5" s="161" t="str">
        <x:v>FCFA</x:v>
      </x:c>
      <x:c r="F5" s="161" t="str">
        <x:v>Offre pondérée</x:v>
      </x:c>
      <x:c r="G5" s="161"/>
      <x:c r="H5" s="161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61" t="str">
        <x:v>Coût payout attendu / achat</x:v>
      </x:c>
      <x:c r="B6" s="292" t="n">
        <x:f>((('Hypothèses'!E7*'Hypothèses'!E8))*(SUMPRODUCT('Hypothèses'!C30:C32,'Hypothèses'!E30:E32)*'Hypothèses'!B35)*'Hypothèses'!E13*0.8*(1+'Hypothèses'!E19)+((('Hypothèses'!E7*'Hypothèses'!E8)*'Hypothèses'!E9))*(SUMPRODUCT('Hypothèses'!C30:C32,'Hypothèses'!E30:E32)*'Hypothèses'!B35)*'Hypothèses'!E13*0.8*(1+'Hypothèses'!E19)+(((('Hypothèses'!E7*'Hypothèses'!E8)*'Hypothèses'!E9)*'Hypothèses'!E10))*(SUMPRODUCT('Hypothèses'!C30:C32,'Hypothèses'!F30:F32)*'Hypothèses'!B35)*'Hypothèses'!E13*0.8*(1+'Hypothèses'!E19)+((((('Hypothèses'!E7*'Hypothèses'!E8)*'Hypothèses'!E9)*'Hypothèses'!E10)*'Hypothèses'!E11))*(SUMPRODUCT('Hypothèses'!C30:C32,'Hypothèses'!F30:F32)*'Hypothèses'!B35)*'Hypothèses'!E13*0.8*(1+'Hypothèses'!E19)+(((((('Hypothèses'!E7*'Hypothèses'!E8)*'Hypothèses'!E9)*'Hypothèses'!E10)*'Hypothèses'!E11)*'Hypothèses'!E12))*(SUMPRODUCT('Hypothèses'!C30:C32,'Hypothèses'!G30:G32)*'Hypothèses'!B35)*'Hypothèses'!E13*0.9*(1+'Hypothèses'!E19))</x:f>
        <x:v>3841.2004049999996</x:v>
      </x:c>
      <x:c r="C6" s="292" t="n">
        <x:f>((('Hypothèses'!F7*'Hypothèses'!F8))*(SUMPRODUCT('Hypothèses'!C30:C32,'Hypothèses'!E30:E32)*'Hypothèses'!B35)*'Hypothèses'!F13*0.8*(1+'Hypothèses'!F19)+((('Hypothèses'!F7*'Hypothèses'!F8)*'Hypothèses'!F9))*(SUMPRODUCT('Hypothèses'!C30:C32,'Hypothèses'!E30:E32)*'Hypothèses'!B35)*'Hypothèses'!F13*0.8*(1+'Hypothèses'!F19)+(((('Hypothèses'!F7*'Hypothèses'!F8)*'Hypothèses'!F9)*'Hypothèses'!F10))*(SUMPRODUCT('Hypothèses'!C30:C32,'Hypothèses'!F30:F32)*'Hypothèses'!B35)*'Hypothèses'!F13*0.8*(1+'Hypothèses'!F19)+((((('Hypothèses'!F7*'Hypothèses'!F8)*'Hypothèses'!F9)*'Hypothèses'!F10)*'Hypothèses'!F11))*(SUMPRODUCT('Hypothèses'!C30:C32,'Hypothèses'!F30:F32)*'Hypothèses'!B35)*'Hypothèses'!F13*0.8*(1+'Hypothèses'!F19)+(((((('Hypothèses'!F7*'Hypothèses'!F8)*'Hypothèses'!F9)*'Hypothèses'!F10)*'Hypothèses'!F11)*'Hypothèses'!F12))*(SUMPRODUCT('Hypothèses'!C30:C32,'Hypothèses'!G30:G32)*'Hypothèses'!B35)*'Hypothèses'!F13*0.9*(1+'Hypothèses'!F19))</x:f>
        <x:v>1094.7500566406252</x:v>
      </x:c>
      <x:c r="D6" s="292" t="n">
        <x:f>((('Hypothèses'!G7*'Hypothèses'!G8))*(SUMPRODUCT('Hypothèses'!C30:C32,'Hypothèses'!E30:E32)*'Hypothèses'!B35)*'Hypothèses'!G13*0.8*(1+'Hypothèses'!G19)+((('Hypothèses'!G7*'Hypothèses'!G8)*'Hypothèses'!G9))*(SUMPRODUCT('Hypothèses'!C30:C32,'Hypothèses'!E30:E32)*'Hypothèses'!B35)*'Hypothèses'!G13*0.8*(1+'Hypothèses'!G19)+(((('Hypothèses'!G7*'Hypothèses'!G8)*'Hypothèses'!G9)*'Hypothèses'!G10))*(SUMPRODUCT('Hypothèses'!C30:C32,'Hypothèses'!F30:F32)*'Hypothèses'!B35)*'Hypothèses'!G13*0.8*(1+'Hypothèses'!G19)+((((('Hypothèses'!G7*'Hypothèses'!G8)*'Hypothèses'!G9)*'Hypothèses'!G10)*'Hypothèses'!G11))*(SUMPRODUCT('Hypothèses'!C30:C32,'Hypothèses'!F30:F32)*'Hypothèses'!B35)*'Hypothèses'!G13*0.8*(1+'Hypothèses'!G19)+(((((('Hypothèses'!G7*'Hypothèses'!G8)*'Hypothèses'!G9)*'Hypothèses'!G10)*'Hypothèses'!G11)*'Hypothèses'!G12))*(SUMPRODUCT('Hypothèses'!C30:C32,'Hypothèses'!G30:G32)*'Hypothèses'!B35)*'Hypothèses'!G13*0.9*(1+'Hypothèses'!G19))</x:f>
        <x:v>15580.401283125004</x:v>
      </x:c>
      <x:c r="E6" s="161" t="str">
        <x:v>FCFA</x:v>
      </x:c>
      <x:c r="F6" s="161" t="str">
        <x:v>Cash trader + frais</x:v>
      </x:c>
      <x:c r="G6" s="161"/>
      <x:c r="H6" s="161"/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61" t="str">
        <x:v>Contribution / achat</x:v>
      </x:c>
      <x:c r="B7" s="292" t="n">
        <x:f>B5-B5*'Hypothèses'!E14-(B5-B5*'Hypothèses'!E14)*'Hypothèses'!E15-B5*'Hypothèses'!E25-'Hypothèses'!E16-'Hypothèses'!E17-'Hypothèses'!E7*'Hypothèses'!E18-B5*'Hypothèses'!E20-B5*'Hypothèses'!E21-B6</x:f>
        <x:v>14673.305844999999</x:v>
      </x:c>
      <x:c r="C7" s="292" t="n">
        <x:f>C5-C5*'Hypothèses'!F14-(C5-C5*'Hypothèses'!F14)*'Hypothèses'!F15-C5*'Hypothèses'!F25-'Hypothèses'!F16-'Hypothèses'!F17-'Hypothèses'!F7*'Hypothèses'!F18-C5*'Hypothèses'!F20-C5*'Hypothèses'!F21-C6</x:f>
        <x:v>19027.324943359374</x:v>
      </x:c>
      <x:c r="D7" s="292" t="n">
        <x:f>D5-D5*'Hypothèses'!G14-(D5-D5*'Hypothèses'!G14)*'Hypothèses'!G15-D5*'Hypothèses'!G25-'Hypothèses'!G16-'Hypothèses'!G17-'Hypothèses'!G7*'Hypothèses'!G18-D5*'Hypothèses'!G20-D5*'Hypothèses'!G21-D6</x:f>
        <x:v>-2251.3137831250024</x:v>
      </x:c>
      <x:c r="E7" s="161" t="str">
        <x:v>FCFA</x:v>
      </x:c>
      <x:c r="F7" s="161" t="str">
        <x:v>Après coûts variables et payouts</x:v>
      </x:c>
      <x:c r="G7" s="161"/>
      <x:c r="H7" s="161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61" t="str">
        <x:v>Marge de contribution</x:v>
      </x:c>
      <x:c r="B8" s="330" t="n">
        <x:f>B7/B5</x:f>
        <x:v>0.5811210235643564</x:v>
      </x:c>
      <x:c r="C8" s="330" t="n">
        <x:f>C7/C5</x:f>
        <x:v>0.7535574234993812</x:v>
      </x:c>
      <x:c r="D8" s="330" t="n">
        <x:f>D7/D5</x:f>
        <x:v>-0.08916094190594069</x:v>
      </x:c>
      <x:c r="E8" s="161" t="str">
        <x:v>%</x:v>
      </x:c>
      <x:c r="F8" s="161" t="str"/>
      <x:c r="G8" s="161"/>
      <x:c r="H8" s="161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61" t="str">
        <x:v>Break-even mensuel</x:v>
      </x:c>
      <x:c r="B9" s="317" t="n">
        <x:f>IF(B7&gt;0,'Hypothèses'!E24/B7,0)</x:f>
        <x:v>61.33587137806982</x:v>
      </x:c>
      <x:c r="C9" s="317" t="n">
        <x:f>IF(C7&gt;0,'Hypothèses'!F24/C7,0)</x:f>
        <x:v>36.789196699155724</x:v>
      </x:c>
      <x:c r="D9" s="317" t="n">
        <x:f>IF(D7&gt;0,'Hypothèses'!G24/D7,0)</x:f>
        <x:v>0</x:v>
      </x:c>
      <x:c r="E9" s="161" t="str">
        <x:v>achats</x:v>
      </x:c>
      <x:c r="F9" s="161" t="str">
        <x:v>OPEX ÷ contribution</x:v>
      </x:c>
      <x:c r="G9" s="161"/>
      <x:c r="H9" s="161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61" t="str">
        <x:v>Réserve / 1 000 achats à 2,0x</x:v>
      </x:c>
      <x:c r="B10" s="292" t="n">
        <x:f>B6*1000*'Hypothèses'!B38</x:f>
        <x:v>7682400.81</x:v>
      </x:c>
      <x:c r="C10" s="292" t="n">
        <x:f>C6*1000*'Hypothèses'!B38</x:f>
        <x:v>2189500.1132812505</x:v>
      </x:c>
      <x:c r="D10" s="292" t="n">
        <x:f>D6*1000*'Hypothèses'!B38</x:f>
        <x:v>31160802.566250008</x:v>
      </x:c>
      <x:c r="E10" s="161" t="str">
        <x:v>FCFA</x:v>
      </x:c>
      <x:c r="F10" s="161" t="str"/>
      <x:c r="G10" s="161"/>
      <x:c r="H10" s="161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61" t="str">
        <x:v>Probabilité payout #1 / achat</x:v>
      </x:c>
      <x:c r="B11" s="330" t="n">
        <x:f>('Hypothèses'!E7*'Hypothèses'!E8)</x:f>
        <x:v>0.027999999999999997</x:v>
      </x:c>
      <x:c r="C11" s="330" t="n">
        <x:f>('Hypothèses'!F7*'Hypothèses'!F8)</x:f>
        <x:v>0.0125</x:v>
      </x:c>
      <x:c r="D11" s="330" t="n">
        <x:f>('Hypothèses'!G7*'Hypothèses'!G8)</x:f>
        <x:v>0.07</x:v>
      </x:c>
      <x:c r="E11" s="161" t="str">
        <x:v>%</x:v>
      </x:c>
      <x:c r="F11" s="161" t="str"/>
      <x:c r="G11" s="161"/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61" t="str">
        <x:v>Probabilité payout #5 / achat</x:v>
      </x:c>
      <x:c r="B12" s="330" t="n">
        <x:f>((((('Hypothèses'!E7*'Hypothèses'!E8)*'Hypothèses'!E9)*'Hypothèses'!E10)*'Hypothèses'!E11)*'Hypothèses'!E12)</x:f>
        <x:v>0.001386</x:v>
      </x:c>
      <x:c r="C12" s="330" t="n">
        <x:f>((((('Hypothèses'!F7*'Hypothèses'!F8)*'Hypothèses'!F9)*'Hypothèses'!F10)*'Hypothèses'!F11)*'Hypothèses'!F12)</x:f>
        <x:v>0.00023625</x:v>
      </x:c>
      <x:c r="D12" s="330" t="n">
        <x:f>((((('Hypothèses'!G7*'Hypothèses'!G8)*'Hypothèses'!G9)*'Hypothèses'!G10)*'Hypothèses'!G11)*'Hypothèses'!G12)</x:f>
        <x:v>0.007507500000000001</x:v>
      </x:c>
      <x:c r="E12" s="161" t="str">
        <x:v>%</x:v>
      </x:c>
      <x:c r="F12" s="161" t="str"/>
      <x:c r="G12" s="161"/>
      <x:c r="H12" s="161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61"/>
      <x:c r="B13" s="161"/>
      <x:c r="C13" s="161"/>
      <x:c r="D13" s="161"/>
      <x:c r="E13" s="161"/>
      <x:c r="F13" s="161"/>
      <x:c r="G13" s="161"/>
      <x:c r="H13" s="161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61"/>
      <x:c r="B14" s="161"/>
      <x:c r="C14" s="161"/>
      <x:c r="D14" s="161"/>
      <x:c r="E14" s="161"/>
      <x:c r="F14" s="161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61"/>
      <x:c r="B15" s="161"/>
      <x:c r="C15" s="161"/>
      <x:c r="D15" s="161"/>
      <x:c r="E15" s="161"/>
      <x:c r="F15" s="161"/>
      <x:c r="G15" s="161"/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61"/>
      <x:c r="B16" s="161"/>
      <x:c r="C16" s="161"/>
      <x:c r="D16" s="161"/>
      <x:c r="E16" s="161"/>
      <x:c r="F16" s="161"/>
      <x:c r="G16" s="161"/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61"/>
      <x:c r="B17" s="161"/>
      <x:c r="C17" s="161"/>
      <x:c r="D17" s="161"/>
      <x:c r="E17" s="161"/>
      <x:c r="F17" s="161"/>
      <x:c r="G17" s="161"/>
      <x:c r="H17" s="161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61"/>
      <x:c r="B18" s="161"/>
      <x:c r="C18" s="161"/>
      <x:c r="D18" s="161"/>
      <x:c r="E18" s="161"/>
      <x:c r="F18" s="161"/>
      <x:c r="G18" s="161"/>
      <x:c r="H18" s="161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61"/>
      <x:c r="B19" s="161"/>
      <x:c r="C19" s="161"/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61"/>
      <x:c r="B20" s="161"/>
      <x:c r="C20" s="161"/>
      <x:c r="D20" s="161"/>
      <x:c r="E20" s="161"/>
      <x:c r="F20" s="161"/>
      <x:c r="G20" s="161"/>
      <x:c r="H20" s="161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61"/>
      <x:c r="B21" s="161"/>
      <x:c r="C21" s="161"/>
      <x:c r="D21" s="161"/>
      <x:c r="E21" s="161"/>
      <x:c r="F21" s="161"/>
      <x:c r="G21" s="161"/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61"/>
      <x:c r="B22" s="161"/>
      <x:c r="C22" s="161"/>
      <x:c r="D22" s="161"/>
      <x:c r="E22" s="161"/>
      <x:c r="F22" s="161"/>
      <x:c r="G22" s="161"/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/>
      <x:c r="B23" s="161"/>
      <x:c r="C23" s="161"/>
      <x:c r="D23" s="161"/>
      <x:c r="E23" s="161"/>
      <x:c r="F23" s="161"/>
      <x:c r="G23" s="161"/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/>
      <x:c r="B24" s="161"/>
      <x:c r="C24" s="161"/>
      <x:c r="D24" s="161"/>
      <x:c r="E24" s="161"/>
      <x:c r="F24" s="161"/>
      <x:c r="G24" s="161"/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/>
      <x:c r="B25" s="161"/>
      <x:c r="C25" s="161"/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61"/>
      <x:c r="B26" s="161"/>
      <x:c r="C26" s="161"/>
      <x:c r="D26" s="161"/>
      <x:c r="E26" s="161"/>
      <x:c r="F26" s="161"/>
      <x:c r="G26" s="161"/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61"/>
      <x:c r="B27" s="161"/>
      <x:c r="C27" s="161"/>
      <x:c r="D27" s="161"/>
      <x:c r="E27" s="161"/>
      <x:c r="F27" s="161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61"/>
      <x:c r="B28" s="161"/>
      <x:c r="C28" s="161"/>
      <x:c r="D28" s="161"/>
      <x:c r="E28" s="161"/>
      <x:c r="F28" s="161"/>
      <x:c r="G28" s="161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61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1"/>
      <x:c r="B30" s="161"/>
      <x:c r="C30" s="161"/>
      <x:c r="D30" s="161"/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1"/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61"/>
      <x:c r="B32" s="161"/>
      <x:c r="C32" s="161"/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61"/>
      <x:c r="B33" s="161"/>
      <x:c r="C33" s="161"/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F1"/>
    <x:mergeCell ref="A2:F2"/>
  </x:mergeCells>
  <x:conditionalFormatting sqref="B7:D8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5" hidden="0" customHeight="1">
      <x:c r="A1" s="400" t="str">
        <x:v>WARIBA — Sensibilités économiques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62" t="str">
        <x:v>Les matrices testent les deux variables les plus dangereuses : taux de réussite et utilisation des caps.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61"/>
      <x:c r="B3" s="161"/>
      <x:c r="C3" s="161"/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63" t="str">
        <x:v>A. Contribution par achat — FCFA</x:v>
      </x:c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64" t="str">
        <x:v>Pass rate \ Cap usage</x:v>
      </x:c>
      <x:c r="B5" s="338" t="n">
        <x:v>0.5</x:v>
      </x:c>
      <x:c r="C5" s="338" t="n">
        <x:v>0.6</x:v>
      </x:c>
      <x:c r="D5" s="338" t="n">
        <x:v>0.7</x:v>
      </x:c>
      <x:c r="E5" s="338" t="n">
        <x:v>0.8</x:v>
      </x:c>
      <x:c r="F5" s="338" t="n">
        <x:v>0.9</x:v>
      </x:c>
      <x:c r="G5" s="338" t="n">
        <x:v>1</x:v>
      </x:c>
      <x:c r="H5" s="161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339" t="n">
        <x:v>0.05</x:v>
      </x:c>
      <x:c r="B6" s="292" t="n">
        <x:f>'Économie Unitaire'!B17-('Économie Unitaire'!B28*($A6/'Hypothèses'!B7)*(B$5/'Hypothèses'!B13))</x:f>
        <x:v>16799.684640624997</x:v>
      </x:c>
      <x:c r="C6" s="292" t="n">
        <x:f>'Économie Unitaire'!B17-('Économie Unitaire'!B28*($A6/'Hypothèses'!B7)*(C$5/'Hypothèses'!B13))</x:f>
        <x:v>16456.720318749998</x:v>
      </x:c>
      <x:c r="D6" s="292" t="n">
        <x:f>'Économie Unitaire'!B17-('Économie Unitaire'!B28*($A6/'Hypothèses'!B7)*(D$5/'Hypothèses'!B13))</x:f>
        <x:v>16113.755996875</x:v>
      </x:c>
      <x:c r="E6" s="292" t="n">
        <x:f>'Économie Unitaire'!B17-('Économie Unitaire'!B28*($A6/'Hypothèses'!B7)*(E$5/'Hypothèses'!B13))</x:f>
        <x:v>15770.791674999999</x:v>
      </x:c>
      <x:c r="F6" s="292" t="n">
        <x:f>'Économie Unitaire'!B17-('Économie Unitaire'!B28*($A6/'Hypothèses'!B7)*(F$5/'Hypothèses'!B13))</x:f>
        <x:v>15427.827353124998</x:v>
      </x:c>
      <x:c r="G6" s="292" t="n">
        <x:f>'Économie Unitaire'!B17-('Économie Unitaire'!B28*($A6/'Hypothèses'!B7)*(G$5/'Hypothèses'!B13))</x:f>
        <x:v>15084.863031249999</x:v>
      </x:c>
      <x:c r="H6" s="161"/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339" t="n">
        <x:v>0.08</x:v>
      </x:c>
      <x:c r="B7" s="292" t="n">
        <x:f>'Économie Unitaire'!B17-('Économie Unitaire'!B28*($A7/'Hypothèses'!B7)*(B$5/'Hypothèses'!B13))</x:f>
        <x:v>15770.791674999999</x:v>
      </x:c>
      <x:c r="C7" s="292" t="n">
        <x:f>'Économie Unitaire'!B17-('Économie Unitaire'!B28*($A7/'Hypothèses'!B7)*(C$5/'Hypothèses'!B13))</x:f>
        <x:v>15222.048759999998</x:v>
      </x:c>
      <x:c r="D7" s="292" t="n">
        <x:f>'Économie Unitaire'!B17-('Économie Unitaire'!B28*($A7/'Hypothèses'!B7)*(D$5/'Hypothèses'!B13))</x:f>
        <x:v>14673.305844999999</x:v>
      </x:c>
      <x:c r="E7" s="292" t="n">
        <x:f>'Économie Unitaire'!B17-('Économie Unitaire'!B28*($A7/'Hypothèses'!B7)*(E$5/'Hypothèses'!B13))</x:f>
        <x:v>14124.562929999998</x:v>
      </x:c>
      <x:c r="F7" s="292" t="n">
        <x:f>'Économie Unitaire'!B17-('Économie Unitaire'!B28*($A7/'Hypothèses'!B7)*(F$5/'Hypothèses'!B13))</x:f>
        <x:v>13575.820014999998</x:v>
      </x:c>
      <x:c r="G7" s="292" t="n">
        <x:f>'Économie Unitaire'!B17-('Économie Unitaire'!B28*($A7/'Hypothèses'!B7)*(G$5/'Hypothèses'!B13))</x:f>
        <x:v>13027.077099999999</x:v>
      </x:c>
      <x:c r="H7" s="161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339" t="n">
        <x:v>0.11</x:v>
      </x:c>
      <x:c r="B8" s="292" t="n">
        <x:f>'Économie Unitaire'!B17-('Économie Unitaire'!B28*($A8/'Hypothèses'!B7)*(B$5/'Hypothèses'!B13))</x:f>
        <x:v>14741.898709374998</x:v>
      </x:c>
      <x:c r="C8" s="292" t="n">
        <x:f>'Économie Unitaire'!B17-('Économie Unitaire'!B28*($A8/'Hypothèses'!B7)*(C$5/'Hypothèses'!B13))</x:f>
        <x:v>13987.377201249998</x:v>
      </x:c>
      <x:c r="D8" s="292" t="n">
        <x:f>'Économie Unitaire'!B17-('Économie Unitaire'!B28*($A8/'Hypothèses'!B7)*(D$5/'Hypothèses'!B13))</x:f>
        <x:v>13232.855693124999</x:v>
      </x:c>
      <x:c r="E8" s="292" t="n">
        <x:f>'Économie Unitaire'!B17-('Économie Unitaire'!B28*($A8/'Hypothèses'!B7)*(E$5/'Hypothèses'!B13))</x:f>
        <x:v>12478.334184999998</x:v>
      </x:c>
      <x:c r="F8" s="292" t="n">
        <x:f>'Économie Unitaire'!B17-('Économie Unitaire'!B28*($A8/'Hypothèses'!B7)*(F$5/'Hypothèses'!B13))</x:f>
        <x:v>11723.812676874997</x:v>
      </x:c>
      <x:c r="G8" s="292" t="n">
        <x:f>'Économie Unitaire'!B17-('Économie Unitaire'!B28*($A8/'Hypothèses'!B7)*(G$5/'Hypothèses'!B13))</x:f>
        <x:v>10969.291168749998</x:v>
      </x:c>
      <x:c r="H8" s="161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339" t="n">
        <x:v>0.14</x:v>
      </x:c>
      <x:c r="B9" s="292" t="n">
        <x:f>'Économie Unitaire'!B17-('Économie Unitaire'!B28*($A9/'Hypothèses'!B7)*(B$5/'Hypothèses'!B13))</x:f>
        <x:v>13713.005743749998</x:v>
      </x:c>
      <x:c r="C9" s="292" t="n">
        <x:f>'Économie Unitaire'!B17-('Économie Unitaire'!B28*($A9/'Hypothèses'!B7)*(C$5/'Hypothèses'!B13))</x:f>
        <x:v>12752.705642499997</x:v>
      </x:c>
      <x:c r="D9" s="292" t="n">
        <x:f>'Économie Unitaire'!B17-('Économie Unitaire'!B28*($A9/'Hypothèses'!B7)*(D$5/'Hypothèses'!B13))</x:f>
        <x:v>11792.405541249998</x:v>
      </x:c>
      <x:c r="E9" s="292" t="n">
        <x:f>'Économie Unitaire'!B17-('Économie Unitaire'!B28*($A9/'Hypothèses'!B7)*(E$5/'Hypothèses'!B13))</x:f>
        <x:v>10832.105439999998</x:v>
      </x:c>
      <x:c r="F9" s="292" t="n">
        <x:f>'Économie Unitaire'!B17-('Économie Unitaire'!B28*($A9/'Hypothèses'!B7)*(F$5/'Hypothèses'!B13))</x:f>
        <x:v>9871.805338749999</x:v>
      </x:c>
      <x:c r="G9" s="292" t="n">
        <x:f>'Économie Unitaire'!B17-('Économie Unitaire'!B28*($A9/'Hypothèses'!B7)*(G$5/'Hypothèses'!B13))</x:f>
        <x:v>8911.505237499998</x:v>
      </x:c>
      <x:c r="H9" s="161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339" t="n">
        <x:v>0.17</x:v>
      </x:c>
      <x:c r="B10" s="292" t="n">
        <x:f>'Économie Unitaire'!B17-('Économie Unitaire'!B28*($A10/'Hypothèses'!B7)*(B$5/'Hypothèses'!B13))</x:f>
        <x:v>12684.112778125</x:v>
      </x:c>
      <x:c r="C10" s="292" t="n">
        <x:f>'Économie Unitaire'!B17-('Économie Unitaire'!B28*($A10/'Hypothèses'!B7)*(C$5/'Hypothèses'!B13))</x:f>
        <x:v>11518.034083749999</x:v>
      </x:c>
      <x:c r="D10" s="292" t="n">
        <x:f>'Économie Unitaire'!B17-('Économie Unitaire'!B28*($A10/'Hypothèses'!B7)*(D$5/'Hypothèses'!B13))</x:f>
        <x:v>10351.955389375</x:v>
      </x:c>
      <x:c r="E10" s="292" t="n">
        <x:f>'Économie Unitaire'!B17-('Économie Unitaire'!B28*($A10/'Hypothèses'!B7)*(E$5/'Hypothèses'!B13))</x:f>
        <x:v>9185.876694999999</x:v>
      </x:c>
      <x:c r="F10" s="292" t="n">
        <x:f>'Économie Unitaire'!B17-('Économie Unitaire'!B28*($A10/'Hypothèses'!B7)*(F$5/'Hypothèses'!B13))</x:f>
        <x:v>8019.798000625</x:v>
      </x:c>
      <x:c r="G10" s="292" t="n">
        <x:f>'Économie Unitaire'!B17-('Économie Unitaire'!B28*($A10/'Hypothèses'!B7)*(G$5/'Hypothèses'!B13))</x:f>
        <x:v>6853.719306250001</x:v>
      </x:c>
      <x:c r="H10" s="161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339" t="n">
        <x:v>0.2</x:v>
      </x:c>
      <x:c r="B11" s="292" t="n">
        <x:f>'Économie Unitaire'!B17-('Économie Unitaire'!B28*($A11/'Hypothèses'!B7)*(B$5/'Hypothèses'!B13))</x:f>
        <x:v>11655.2198125</x:v>
      </x:c>
      <x:c r="C11" s="292" t="n">
        <x:f>'Économie Unitaire'!B17-('Économie Unitaire'!B28*($A11/'Hypothèses'!B7)*(C$5/'Hypothèses'!B13))</x:f>
        <x:v>10283.362524999999</x:v>
      </x:c>
      <x:c r="D11" s="292" t="n">
        <x:f>'Économie Unitaire'!B17-('Économie Unitaire'!B28*($A11/'Hypothèses'!B7)*(D$5/'Hypothèses'!B13))</x:f>
        <x:v>8911.5052375</x:v>
      </x:c>
      <x:c r="E11" s="292" t="n">
        <x:f>'Économie Unitaire'!B17-('Économie Unitaire'!B28*($A11/'Hypothèses'!B7)*(E$5/'Hypothèses'!B13))</x:f>
        <x:v>7539.647949999999</x:v>
      </x:c>
      <x:c r="F11" s="292" t="n">
        <x:f>'Économie Unitaire'!B17-('Économie Unitaire'!B28*($A11/'Hypothèses'!B7)*(F$5/'Hypothèses'!B13))</x:f>
        <x:v>6167.7906625</x:v>
      </x:c>
      <x:c r="G11" s="292" t="n">
        <x:f>'Économie Unitaire'!B17-('Économie Unitaire'!B28*($A11/'Hypothèses'!B7)*(G$5/'Hypothèses'!B13))</x:f>
        <x:v>4795.9333750000005</x:v>
      </x:c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61"/>
      <x:c r="B13" s="161"/>
      <x:c r="C13" s="161"/>
      <x:c r="D13" s="161"/>
      <x:c r="E13" s="161"/>
      <x:c r="F13" s="161"/>
      <x:c r="G13" s="161"/>
      <x:c r="H13" s="161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63" t="str">
        <x:v>B. Réserve requise pour 1 000 achats — FCFA</x:v>
      </x:c>
      <x:c r="B14" s="161"/>
      <x:c r="C14" s="161"/>
      <x:c r="D14" s="161"/>
      <x:c r="E14" s="161"/>
      <x:c r="F14" s="161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64" t="str">
        <x:v>Pass rate \ Cap usage</x:v>
      </x:c>
      <x:c r="B15" s="338" t="n">
        <x:v>0.5</x:v>
      </x:c>
      <x:c r="C15" s="338" t="n">
        <x:v>0.6</x:v>
      </x:c>
      <x:c r="D15" s="338" t="n">
        <x:v>0.7</x:v>
      </x:c>
      <x:c r="E15" s="338" t="n">
        <x:v>0.8</x:v>
      </x:c>
      <x:c r="F15" s="338" t="n">
        <x:v>0.9</x:v>
      </x:c>
      <x:c r="G15" s="338" t="n">
        <x:v>1</x:v>
      </x:c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339" t="n">
        <x:v>0.05</x:v>
      </x:c>
      <x:c r="B16" s="292" t="n">
        <x:f>'Économie Unitaire'!B28*($A16/'Hypothèses'!B7)*(B$15/'Hypothèses'!B13)*1000*'Hypothèses'!B38</x:f>
        <x:v>3429643.2187499995</x:v>
      </x:c>
      <x:c r="C16" s="292" t="n">
        <x:f>'Économie Unitaire'!B28*($A16/'Hypothèses'!B7)*(C$15/'Hypothèses'!B13)*1000*'Hypothèses'!B38</x:f>
        <x:v>4115571.8625</x:v>
      </x:c>
      <x:c r="D16" s="292" t="n">
        <x:f>'Économie Unitaire'!B28*($A16/'Hypothèses'!B7)*(D$15/'Hypothèses'!B13)*1000*'Hypothèses'!B38</x:f>
        <x:v>4801500.50625</x:v>
      </x:c>
      <x:c r="E16" s="292" t="n">
        <x:f>'Économie Unitaire'!B28*($A16/'Hypothèses'!B7)*(E$15/'Hypothèses'!B13)*1000*'Hypothèses'!B38</x:f>
        <x:v>5487429.15</x:v>
      </x:c>
      <x:c r="F16" s="292" t="n">
        <x:f>'Économie Unitaire'!B28*($A16/'Hypothèses'!B7)*(F$15/'Hypothèses'!B13)*1000*'Hypothèses'!B38</x:f>
        <x:v>6173357.793749999</x:v>
      </x:c>
      <x:c r="G16" s="292" t="n">
        <x:f>'Économie Unitaire'!B28*($A16/'Hypothèses'!B7)*(G$15/'Hypothèses'!B13)*1000*'Hypothèses'!B38</x:f>
        <x:v>6859286.437499999</x:v>
      </x:c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339" t="n">
        <x:v>0.08</x:v>
      </x:c>
      <x:c r="B17" s="292" t="n">
        <x:f>'Économie Unitaire'!B28*($A17/'Hypothèses'!B7)*(B$15/'Hypothèses'!B13)*1000*'Hypothèses'!B38</x:f>
        <x:v>5487429.15</x:v>
      </x:c>
      <x:c r="C17" s="292" t="n">
        <x:f>'Économie Unitaire'!B28*($A17/'Hypothèses'!B7)*(C$15/'Hypothèses'!B13)*1000*'Hypothèses'!B38</x:f>
        <x:v>6584914.9799999995</x:v>
      </x:c>
      <x:c r="D17" s="292" t="n">
        <x:f>'Économie Unitaire'!B28*($A17/'Hypothèses'!B7)*(D$15/'Hypothèses'!B13)*1000*'Hypothèses'!B38</x:f>
        <x:v>7682400.81</x:v>
      </x:c>
      <x:c r="E17" s="292" t="n">
        <x:f>'Économie Unitaire'!B28*($A17/'Hypothèses'!B7)*(E$15/'Hypothèses'!B13)*1000*'Hypothèses'!B38</x:f>
        <x:v>8779886.64</x:v>
      </x:c>
      <x:c r="F17" s="292" t="n">
        <x:f>'Économie Unitaire'!B28*($A17/'Hypothèses'!B7)*(F$15/'Hypothèses'!B13)*1000*'Hypothèses'!B38</x:f>
        <x:v>9877372.47</x:v>
      </x:c>
      <x:c r="G17" s="292" t="n">
        <x:f>'Économie Unitaire'!B28*($A17/'Hypothèses'!B7)*(G$15/'Hypothèses'!B13)*1000*'Hypothèses'!B38</x:f>
        <x:v>10974858.3</x:v>
      </x:c>
      <x:c r="H17" s="161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339" t="n">
        <x:v>0.11</x:v>
      </x:c>
      <x:c r="B18" s="292" t="n">
        <x:f>'Économie Unitaire'!B28*($A18/'Hypothèses'!B7)*(B$15/'Hypothèses'!B13)*1000*'Hypothèses'!B38</x:f>
        <x:v>7545215.081250001</x:v>
      </x:c>
      <x:c r="C18" s="292" t="n">
        <x:f>'Économie Unitaire'!B28*($A18/'Hypothèses'!B7)*(C$15/'Hypothèses'!B13)*1000*'Hypothèses'!B38</x:f>
        <x:v>9054258.0975</x:v>
      </x:c>
      <x:c r="D18" s="292" t="n">
        <x:f>'Économie Unitaire'!B28*($A18/'Hypothèses'!B7)*(D$15/'Hypothèses'!B13)*1000*'Hypothèses'!B38</x:f>
        <x:v>10563301.11375</x:v>
      </x:c>
      <x:c r="E18" s="292" t="n">
        <x:f>'Économie Unitaire'!B28*($A18/'Hypothèses'!B7)*(E$15/'Hypothèses'!B13)*1000*'Hypothèses'!B38</x:f>
        <x:v>12072344.13</x:v>
      </x:c>
      <x:c r="F18" s="292" t="n">
        <x:f>'Économie Unitaire'!B28*($A18/'Hypothèses'!B7)*(F$15/'Hypothèses'!B13)*1000*'Hypothèses'!B38</x:f>
        <x:v>13581387.14625</x:v>
      </x:c>
      <x:c r="G18" s="292" t="n">
        <x:f>'Économie Unitaire'!B28*($A18/'Hypothèses'!B7)*(G$15/'Hypothèses'!B13)*1000*'Hypothèses'!B38</x:f>
        <x:v>15090430.162500001</x:v>
      </x:c>
      <x:c r="H18" s="161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339" t="n">
        <x:v>0.14</x:v>
      </x:c>
      <x:c r="B19" s="292" t="n">
        <x:f>'Économie Unitaire'!B28*($A19/'Hypothèses'!B7)*(B$15/'Hypothèses'!B13)*1000*'Hypothèses'!B38</x:f>
        <x:v>9603001.012500001</x:v>
      </x:c>
      <x:c r="C19" s="292" t="n">
        <x:f>'Économie Unitaire'!B28*($A19/'Hypothèses'!B7)*(C$15/'Hypothèses'!B13)*1000*'Hypothèses'!B38</x:f>
        <x:v>11523601.215</x:v>
      </x:c>
      <x:c r="D19" s="292" t="n">
        <x:f>'Économie Unitaire'!B28*($A19/'Hypothèses'!B7)*(D$15/'Hypothèses'!B13)*1000*'Hypothèses'!B38</x:f>
        <x:v>13444201.4175</x:v>
      </x:c>
      <x:c r="E19" s="292" t="n">
        <x:f>'Économie Unitaire'!B28*($A19/'Hypothèses'!B7)*(E$15/'Hypothèses'!B13)*1000*'Hypothèses'!B38</x:f>
        <x:v>15364801.620000003</x:v>
      </x:c>
      <x:c r="F19" s="292" t="n">
        <x:f>'Économie Unitaire'!B28*($A19/'Hypothèses'!B7)*(F$15/'Hypothèses'!B13)*1000*'Hypothèses'!B38</x:f>
        <x:v>17285401.8225</x:v>
      </x:c>
      <x:c r="G19" s="292" t="n">
        <x:f>'Économie Unitaire'!B28*($A19/'Hypothèses'!B7)*(G$15/'Hypothèses'!B13)*1000*'Hypothèses'!B38</x:f>
        <x:v>19206002.025000002</x:v>
      </x:c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339" t="n">
        <x:v>0.17</x:v>
      </x:c>
      <x:c r="B20" s="292" t="n">
        <x:f>'Économie Unitaire'!B28*($A20/'Hypothèses'!B7)*(B$15/'Hypothèses'!B13)*1000*'Hypothèses'!B38</x:f>
        <x:v>11660786.943749998</x:v>
      </x:c>
      <x:c r="C20" s="292" t="n">
        <x:f>'Économie Unitaire'!B28*($A20/'Hypothèses'!B7)*(C$15/'Hypothèses'!B13)*1000*'Hypothèses'!B38</x:f>
        <x:v>13992944.3325</x:v>
      </x:c>
      <x:c r="D20" s="292" t="n">
        <x:f>'Économie Unitaire'!B28*($A20/'Hypothèses'!B7)*(D$15/'Hypothèses'!B13)*1000*'Hypothèses'!B38</x:f>
        <x:v>16325101.721249998</x:v>
      </x:c>
      <x:c r="E20" s="292" t="n">
        <x:f>'Économie Unitaire'!B28*($A20/'Hypothèses'!B7)*(E$15/'Hypothèses'!B13)*1000*'Hypothèses'!B38</x:f>
        <x:v>18657259.11</x:v>
      </x:c>
      <x:c r="F20" s="292" t="n">
        <x:f>'Économie Unitaire'!B28*($A20/'Hypothèses'!B7)*(F$15/'Hypothèses'!B13)*1000*'Hypothèses'!B38</x:f>
        <x:v>20989416.498749997</x:v>
      </x:c>
      <x:c r="G20" s="292" t="n">
        <x:f>'Économie Unitaire'!B28*($A20/'Hypothèses'!B7)*(G$15/'Hypothèses'!B13)*1000*'Hypothèses'!B38</x:f>
        <x:v>23321573.887499996</x:v>
      </x:c>
      <x:c r="H20" s="161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339" t="n">
        <x:v>0.2</x:v>
      </x:c>
      <x:c r="B21" s="292" t="n">
        <x:f>'Économie Unitaire'!B28*($A21/'Hypothèses'!B7)*(B$15/'Hypothèses'!B13)*1000*'Hypothèses'!B38</x:f>
        <x:v>13718572.874999998</x:v>
      </x:c>
      <x:c r="C21" s="292" t="n">
        <x:f>'Économie Unitaire'!B28*($A21/'Hypothèses'!B7)*(C$15/'Hypothèses'!B13)*1000*'Hypothèses'!B38</x:f>
        <x:v>16462287.45</x:v>
      </x:c>
      <x:c r="D21" s="292" t="n">
        <x:f>'Économie Unitaire'!B28*($A21/'Hypothèses'!B7)*(D$15/'Hypothèses'!B13)*1000*'Hypothèses'!B38</x:f>
        <x:v>19206002.025</x:v>
      </x:c>
      <x:c r="E21" s="292" t="n">
        <x:f>'Économie Unitaire'!B28*($A21/'Hypothèses'!B7)*(E$15/'Hypothèses'!B13)*1000*'Hypothèses'!B38</x:f>
        <x:v>21949716.6</x:v>
      </x:c>
      <x:c r="F21" s="292" t="n">
        <x:f>'Économie Unitaire'!B28*($A21/'Hypothèses'!B7)*(F$15/'Hypothèses'!B13)*1000*'Hypothèses'!B38</x:f>
        <x:v>24693431.174999997</x:v>
      </x:c>
      <x:c r="G21" s="292" t="n">
        <x:f>'Économie Unitaire'!B28*($A21/'Hypothèses'!B7)*(G$15/'Hypothèses'!B13)*1000*'Hypothèses'!B38</x:f>
        <x:v>27437145.749999996</x:v>
      </x:c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61"/>
      <x:c r="B22" s="161"/>
      <x:c r="C22" s="161"/>
      <x:c r="D22" s="161"/>
      <x:c r="E22" s="161"/>
      <x:c r="F22" s="161"/>
      <x:c r="G22" s="161"/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/>
      <x:c r="B23" s="161"/>
      <x:c r="C23" s="161"/>
      <x:c r="D23" s="161"/>
      <x:c r="E23" s="161"/>
      <x:c r="F23" s="161"/>
      <x:c r="G23" s="161"/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/>
      <x:c r="B24" s="161"/>
      <x:c r="C24" s="161"/>
      <x:c r="D24" s="161"/>
      <x:c r="E24" s="161"/>
      <x:c r="F24" s="161"/>
      <x:c r="G24" s="161"/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/>
      <x:c r="B25" s="161"/>
      <x:c r="C25" s="161"/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61"/>
      <x:c r="B26" s="161"/>
      <x:c r="C26" s="161"/>
      <x:c r="D26" s="161"/>
      <x:c r="E26" s="161"/>
      <x:c r="F26" s="161"/>
      <x:c r="G26" s="161"/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61"/>
      <x:c r="B27" s="161"/>
      <x:c r="C27" s="161"/>
      <x:c r="D27" s="161"/>
      <x:c r="E27" s="161"/>
      <x:c r="F27" s="161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61"/>
      <x:c r="B28" s="161"/>
      <x:c r="C28" s="161"/>
      <x:c r="D28" s="161"/>
      <x:c r="E28" s="161"/>
      <x:c r="F28" s="161"/>
      <x:c r="G28" s="161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61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1"/>
      <x:c r="B30" s="161"/>
      <x:c r="C30" s="161"/>
      <x:c r="D30" s="161"/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1"/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61"/>
      <x:c r="B32" s="161"/>
      <x:c r="C32" s="161"/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61"/>
      <x:c r="B33" s="161"/>
      <x:c r="C33" s="161"/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H1"/>
    <x:mergeCell ref="A2:H2"/>
    <x:mergeCell ref="A4:H4"/>
    <x:mergeCell ref="A14:H14"/>
  </x:mergeCells>
  <x:conditionalFormatting sqref="B6:G11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conditionalFormatting sqref="B16:G21">
    <x:cfRule type="colorScale" priority="2">
      <x:colorScale>
        <x:cfvo type="min"/>
        <x:cfvo type="percentile" val="50"/>
        <x:cfvo type="max"/>
        <x:color rgb="FFE3F3EC"/>
        <x:color rgb="FFFFF1D5"/>
        <x:color rgb="FFFBE7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40" hidden="0" customWidth="1"/>
    <x:col min="7" max="7" width="18" hidden="0" customWidth="1"/>
    <x:col min="8" max="8" width="18" hidden="0" customWidth="1"/>
  </x:cols>
  <x:sheetData>
    <x:row r="1" ht="15" hidden="0" customHeight="1">
      <x:c r="A1" s="402" t="str">
        <x:v>WARIBA — Gates financiers et décisions de lancement</x:v>
      </x:c>
      <x:c r="B1" s="157"/>
      <x:c r="C1" s="157"/>
      <x:c r="D1" s="157"/>
      <x:c r="E1" s="157"/>
      <x:c r="F1" s="157"/>
      <x:c r="G1" s="157"/>
      <x:c r="H1" s="157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3" t="str">
        <x:v>Un résultat positif ne remplace pas les gates juridiques, PSP, données de marché, sécurité et opérations.</x:v>
      </x:c>
      <x:c r="B2" s="157"/>
      <x:c r="C2" s="157"/>
      <x:c r="D2" s="157"/>
      <x:c r="E2" s="157"/>
      <x:c r="F2" s="157"/>
      <x:c r="G2" s="157"/>
      <x:c r="H2" s="157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57"/>
      <x:c r="B3" s="157"/>
      <x:c r="C3" s="157"/>
      <x:c r="D3" s="157"/>
      <x:c r="E3" s="157"/>
      <x:c r="F3" s="157"/>
      <x:c r="G3" s="157"/>
      <x:c r="H3" s="157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403" t="str">
        <x:v>A. Gates calculés</x:v>
      </x:c>
      <x:c r="B4" s="157"/>
      <x:c r="C4" s="157"/>
      <x:c r="D4" s="157"/>
      <x:c r="E4" s="157"/>
      <x:c r="F4" s="157"/>
      <x:c r="G4" s="157"/>
      <x:c r="H4" s="157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49" t="str">
        <x:v>Gate</x:v>
      </x:c>
      <x:c r="B5" s="149" t="str">
        <x:v>Mesure</x:v>
      </x:c>
      <x:c r="C5" s="149" t="str">
        <x:v>Seuil</x:v>
      </x:c>
      <x:c r="D5" s="149" t="str">
        <x:v>Résultat</x:v>
      </x:c>
      <x:c r="E5" s="149" t="str">
        <x:v>Statut</x:v>
      </x:c>
      <x:c r="F5" s="149" t="str">
        <x:v>Action</x:v>
      </x:c>
      <x:c r="G5" s="149" t="str">
        <x:v>Responsable</x:v>
      </x:c>
      <x:c r="H5" s="149" t="str">
        <x:v>Decision Log</x:v>
      </x:c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57" t="str">
        <x:v>Contribution positive</x:v>
      </x:c>
      <x:c r="B6" s="412" t="n">
        <x:f>'Économie Unitaire'!B32</x:f>
        <x:v>14673.305844999999</x:v>
      </x:c>
      <x:c r="C6" s="157" t="str">
        <x:v>&gt; 0</x:v>
      </x:c>
      <x:c r="D6" s="380" t="str">
        <x:f>IF(B6&gt;0,"PASS","FAIL")</x:f>
        <x:v>PASS</x:v>
      </x:c>
      <x:c r="E6" s="380" t="str">
        <x:f>D6</x:f>
        <x:v>PASS</x:v>
      </x:c>
      <x:c r="F6" s="157" t="str">
        <x:v>Continuer seulement si positive</x:v>
      </x:c>
      <x:c r="G6" s="157" t="str">
        <x:v>CFO</x:v>
      </x:c>
      <x:c r="H6" s="157" t="str">
        <x:v>FM-001</x:v>
      </x:c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57" t="str">
        <x:v>Marge de contribution</x:v>
      </x:c>
      <x:c r="B7" s="407" t="n">
        <x:f>'Économie Unitaire'!B33</x:f>
        <x:v>0.5811210235643564</x:v>
      </x:c>
      <x:c r="C7" s="157" t="str">
        <x:v>≥ 35 %</x:v>
      </x:c>
      <x:c r="D7" s="380" t="str">
        <x:f>IF(B7&gt;=0.35,"PASS","FAIL")</x:f>
        <x:v>PASS</x:v>
      </x:c>
      <x:c r="E7" s="380" t="str">
        <x:f>D7</x:f>
        <x:v>PASS</x:v>
      </x:c>
      <x:c r="F7" s="157" t="str">
        <x:v>Revoir prix/caps/coûts</x:v>
      </x:c>
      <x:c r="G7" s="157" t="str">
        <x:v>CFO</x:v>
      </x:c>
      <x:c r="H7" s="157" t="str">
        <x:v>FM-002</x:v>
      </x:c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57" t="str">
        <x:v>Break-even mensuel</x:v>
      </x:c>
      <x:c r="B8" s="432" t="n">
        <x:f>'Économie Unitaire'!B34</x:f>
        <x:v>61.33587137806982</x:v>
      </x:c>
      <x:c r="C8" s="157" t="str">
        <x:v>≤ ventes M6</x:v>
      </x:c>
      <x:c r="D8" s="380" t="str">
        <x:f>IF(B8&lt;='Hypothèses'!G43,"PASS","FAIL")</x:f>
        <x:v>PASS</x:v>
      </x:c>
      <x:c r="E8" s="380" t="str">
        <x:f>D8</x:f>
        <x:v>PASS</x:v>
      </x:c>
      <x:c r="F8" s="157" t="str">
        <x:v>Réduire OPEX ou augmenter contribution</x:v>
      </x:c>
      <x:c r="G8" s="157" t="str">
        <x:v>COO</x:v>
      </x:c>
      <x:c r="H8" s="157" t="str">
        <x:v>FM-003</x:v>
      </x:c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57" t="str">
        <x:v>Réserve / 1 000 achats</x:v>
      </x:c>
      <x:c r="B9" s="412" t="n">
        <x:f>'Économie Unitaire'!B35</x:f>
        <x:v>7682400.81</x:v>
      </x:c>
      <x:c r="C9" s="157" t="str">
        <x:v>Financée avant scale</x:v>
      </x:c>
      <x:c r="D9" s="380" t="str">
        <x:f>IF('Hypothèses'!B37&gt;=B9,"PASS","PARTIEL")</x:f>
        <x:v>PARTIEL</x:v>
      </x:c>
      <x:c r="E9" s="380" t="str">
        <x:f>D9</x:f>
        <x:v>PARTIEL</x:v>
      </x:c>
      <x:c r="F9" s="157" t="str">
        <x:v>Alimenter réserve avant acquisition</x:v>
      </x:c>
      <x:c r="G9" s="157" t="str">
        <x:v>CFO</x:v>
      </x:c>
      <x:c r="H9" s="157" t="str">
        <x:v>FM-004</x:v>
      </x:c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57" t="str">
        <x:v>Stress contribution</x:v>
      </x:c>
      <x:c r="B10" s="412" t="n">
        <x:f>'Comparaison Scénarios'!D7</x:f>
        <x:v>-2251.3137831250024</x:v>
      </x:c>
      <x:c r="C10" s="157" t="str">
        <x:v>&gt; 0</x:v>
      </x:c>
      <x:c r="D10" s="380" t="str">
        <x:f>IF(B10&gt;0,"PASS","FAIL")</x:f>
        <x:v>FAIL</x:v>
      </x:c>
      <x:c r="E10" s="380" t="str">
        <x:f>D10</x:f>
        <x:v>FAIL</x:v>
      </x:c>
      <x:c r="F10" s="157" t="str">
        <x:v>Ne pas lancer si négative</x:v>
      </x:c>
      <x:c r="G10" s="157" t="str">
        <x:v>CFO/CRO</x:v>
      </x:c>
      <x:c r="H10" s="157" t="str">
        <x:v>FM-005</x:v>
      </x:c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57" t="str">
        <x:v>25K Gate</x:v>
      </x:c>
      <x:c r="B11" s="433" t="n">
        <x:f>MIN('Prévision 24M'!B31:Y31)</x:f>
        <x:v>13.40356048084612</x:v>
      </x:c>
      <x:c r="C11" s="157" t="str">
        <x:v>≥ 1,5x</x:v>
      </x:c>
      <x:c r="D11" s="380" t="str">
        <x:f>IF(B11&gt;=1.5,"OPEN","SUSPEND")</x:f>
        <x:v>OPEN</x:v>
      </x:c>
      <x:c r="E11" s="380" t="str">
        <x:f>D11</x:f>
        <x:v>OPEN</x:v>
      </x:c>
      <x:c r="F11" s="157" t="str">
        <x:v>Feature flag 25K</x:v>
      </x:c>
      <x:c r="G11" s="157" t="str">
        <x:v>CFO/CRO</x:v>
      </x:c>
      <x:c r="H11" s="157" t="str">
        <x:v>FM-006</x:v>
      </x:c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57" t="str">
        <x:v>Cash exploitation M12</x:v>
      </x:c>
      <x:c r="B12" s="412" t="n">
        <x:f>'Prévision 24M'!M28</x:f>
        <x:v>17113479.70000141</x:v>
      </x:c>
      <x:c r="C12" s="157" t="str">
        <x:v>&gt; 0</x:v>
      </x:c>
      <x:c r="D12" s="380" t="str">
        <x:f>IF(B12&gt;0,"PASS","FAIL")</x:f>
        <x:v>PASS</x:v>
      </x:c>
      <x:c r="E12" s="380" t="str">
        <x:f>D12</x:f>
        <x:v>PASS</x:v>
      </x:c>
      <x:c r="F12" s="157" t="str">
        <x:v>Contrôler dépenses et croissance</x:v>
      </x:c>
      <x:c r="G12" s="157" t="str">
        <x:v>COO</x:v>
      </x:c>
      <x:c r="H12" s="157" t="str">
        <x:v>FM-007</x:v>
      </x:c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57" t="str">
        <x:v>Couverture minimum 24M</x:v>
      </x:c>
      <x:c r="B13" s="433" t="n">
        <x:f>MIN('Prévision 24M'!B31:Y31)</x:f>
        <x:v>13.40356048084612</x:v>
      </x:c>
      <x:c r="C13" s="157" t="str">
        <x:v>≥ 1,2x</x:v>
      </x:c>
      <x:c r="D13" s="380" t="str">
        <x:f>IF(B13&gt;=1.2,"PASS","FAIL")</x:f>
        <x:v>PASS</x:v>
      </x:c>
      <x:c r="E13" s="380" t="str">
        <x:f>D13</x:f>
        <x:v>PASS</x:v>
      </x:c>
      <x:c r="F13" s="157" t="str">
        <x:v>Suspendre nouvelles ventes si critique</x:v>
      </x:c>
      <x:c r="G13" s="157" t="str">
        <x:v>CFO</x:v>
      </x:c>
      <x:c r="H13" s="157" t="str">
        <x:v>FM-008</x:v>
      </x:c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57"/>
      <x:c r="B14" s="157"/>
      <x:c r="C14" s="157"/>
      <x:c r="D14" s="157"/>
      <x:c r="E14" s="157"/>
      <x:c r="F14" s="157"/>
      <x:c r="G14" s="157"/>
      <x:c r="H14" s="157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57"/>
      <x:c r="B15" s="157"/>
      <x:c r="C15" s="157"/>
      <x:c r="D15" s="157"/>
      <x:c r="E15" s="157"/>
      <x:c r="F15" s="157"/>
      <x:c r="G15" s="157"/>
      <x:c r="H15" s="157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403" t="str">
        <x:v>B. Gates non financiers</x:v>
      </x:c>
      <x:c r="B16" s="157"/>
      <x:c r="C16" s="157"/>
      <x:c r="D16" s="157"/>
      <x:c r="E16" s="157"/>
      <x:c r="F16" s="157"/>
      <x:c r="G16" s="157"/>
      <x:c r="H16" s="157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49" t="str">
        <x:v>Gate</x:v>
      </x:c>
      <x:c r="B17" s="149" t="str">
        <x:v>Statut actuel</x:v>
      </x:c>
      <x:c r="C17" s="149" t="str">
        <x:v>Condition avant vente publique</x:v>
      </x:c>
      <x:c r="D17" s="149" t="str">
        <x:v>Responsable</x:v>
      </x:c>
      <x:c r="E17" s="157" t="str"/>
      <x:c r="F17" s="157" t="str"/>
      <x:c r="G17" s="157" t="str"/>
      <x:c r="H17" s="157" t="str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57" t="str">
        <x:v>Avis juridique local</x:v>
      </x:c>
      <x:c r="B18" s="434" t="str">
        <x:v>OPEN</x:v>
      </x:c>
      <x:c r="C18" s="157" t="str">
        <x:v>Position écrite et conditions contractuelles</x:v>
      </x:c>
      <x:c r="D18" s="157" t="str">
        <x:v>Legal</x:v>
      </x:c>
      <x:c r="E18" s="157" t="str"/>
      <x:c r="F18" s="157" t="str"/>
      <x:c r="G18" s="157" t="str"/>
      <x:c r="H18" s="157" t="str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57" t="str">
        <x:v>PSP marchand</x:v>
      </x:c>
      <x:c r="B19" s="434" t="str">
        <x:v>OPEN</x:v>
      </x:c>
      <x:c r="C19" s="157" t="str">
        <x:v>Contrat et webhooks testés</x:v>
      </x:c>
      <x:c r="D19" s="157" t="str">
        <x:v>Payments</x:v>
      </x:c>
      <x:c r="E19" s="157" t="str"/>
      <x:c r="F19" s="157" t="str"/>
      <x:c r="G19" s="157" t="str"/>
      <x:c r="H19" s="157" t="str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57" t="str">
        <x:v>Données de marché</x:v>
      </x:c>
      <x:c r="B20" s="434" t="str">
        <x:v>OPEN</x:v>
      </x:c>
      <x:c r="C20" s="157" t="str">
        <x:v>Licence commerciale et plan de continuité</x:v>
      </x:c>
      <x:c r="D20" s="157" t="str">
        <x:v>Market Data</x:v>
      </x:c>
      <x:c r="E20" s="157" t="str"/>
      <x:c r="F20" s="157" t="str"/>
      <x:c r="G20" s="157" t="str"/>
      <x:c r="H20" s="157" t="str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57" t="str">
        <x:v>KYC / payout</x:v>
      </x:c>
      <x:c r="B21" s="434" t="str">
        <x:v>OPEN</x:v>
      </x:c>
      <x:c r="C21" s="157" t="str">
        <x:v>Processus réel et privacy validés</x:v>
      </x:c>
      <x:c r="D21" s="157" t="str">
        <x:v>Operations</x:v>
      </x:c>
      <x:c r="E21" s="157" t="str"/>
      <x:c r="F21" s="157" t="str"/>
      <x:c r="G21" s="157" t="str"/>
      <x:c r="H21" s="157" t="str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57" t="str">
        <x:v>Sécurité</x:v>
      </x:c>
      <x:c r="B22" s="434" t="str">
        <x:v>OPEN</x:v>
      </x:c>
      <x:c r="C22" s="157" t="str">
        <x:v>Audit, RLS, secrets, backups et incident drills</x:v>
      </x:c>
      <x:c r="D22" s="157" t="str">
        <x:v>Security</x:v>
      </x:c>
      <x:c r="E22" s="157" t="str"/>
      <x:c r="F22" s="157" t="str"/>
      <x:c r="G22" s="157" t="str"/>
      <x:c r="H22" s="157" t="str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57" t="str">
        <x:v>Support et recours</x:v>
      </x:c>
      <x:c r="B23" s="434" t="str">
        <x:v>OPEN</x:v>
      </x:c>
      <x:c r="C23" s="157" t="str">
        <x:v>Runbooks, SLA réalistes et humain disponible</x:v>
      </x:c>
      <x:c r="D23" s="157" t="str">
        <x:v>Operations</x:v>
      </x:c>
      <x:c r="E23" s="157" t="str"/>
      <x:c r="F23" s="157" t="str"/>
      <x:c r="G23" s="157" t="str"/>
      <x:c r="H23" s="157" t="str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57" t="str">
        <x:v>Ancien WARIBA BRVM</x:v>
      </x:c>
      <x:c r="B24" s="434" t="str">
        <x:v>OPEN</x:v>
      </x:c>
      <x:c r="C24" s="157" t="str">
        <x:v>Renommage et séparation des actifs</x:v>
      </x:c>
      <x:c r="D24" s="157" t="str">
        <x:v>Brand/Legal</x:v>
      </x:c>
      <x:c r="E24" s="157" t="str"/>
      <x:c r="F24" s="157" t="str"/>
      <x:c r="G24" s="157" t="str"/>
      <x:c r="H24" s="157" t="str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57"/>
      <x:c r="B25" s="157"/>
      <x:c r="C25" s="157"/>
      <x:c r="D25" s="157"/>
      <x:c r="E25" s="157"/>
      <x:c r="F25" s="157"/>
      <x:c r="G25" s="157"/>
      <x:c r="H25" s="157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57"/>
      <x:c r="B26" s="157"/>
      <x:c r="C26" s="157"/>
      <x:c r="D26" s="157"/>
      <x:c r="E26" s="157"/>
      <x:c r="F26" s="157"/>
      <x:c r="G26" s="157"/>
      <x:c r="H26" s="157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57"/>
      <x:c r="B27" s="157"/>
      <x:c r="C27" s="157"/>
      <x:c r="D27" s="157"/>
      <x:c r="E27" s="157"/>
      <x:c r="F27" s="157"/>
      <x:c r="G27" s="157"/>
      <x:c r="H27" s="157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57"/>
      <x:c r="B28" s="157"/>
      <x:c r="C28" s="157"/>
      <x:c r="D28" s="157"/>
      <x:c r="E28" s="157"/>
      <x:c r="F28" s="157"/>
      <x:c r="G28" s="157"/>
      <x:c r="H28" s="157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57"/>
      <x:c r="B29" s="157"/>
      <x:c r="C29" s="157"/>
      <x:c r="D29" s="157"/>
      <x:c r="E29" s="157"/>
      <x:c r="F29" s="157"/>
      <x:c r="G29" s="157"/>
      <x:c r="H29" s="157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57"/>
      <x:c r="B30" s="157"/>
      <x:c r="C30" s="157"/>
      <x:c r="D30" s="157"/>
      <x:c r="E30" s="157"/>
      <x:c r="F30" s="157"/>
      <x:c r="G30" s="157"/>
      <x:c r="H30" s="157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1"/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61"/>
      <x:c r="B32" s="161"/>
      <x:c r="C32" s="161"/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61"/>
      <x:c r="B33" s="161"/>
      <x:c r="C33" s="161"/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H1"/>
    <x:mergeCell ref="A2:H2"/>
    <x:mergeCell ref="A4:H4"/>
    <x:mergeCell ref="A16:H16"/>
  </x:mergeCells>
  <x:conditionalFormatting sqref="D6:E13">
    <x:cfRule type="expression" dxfId="3" priority="1">
      <x:formula>OR(D6="FAIL",D6="SUSPEND")</x:formula>
    </x:cfRule>
    <x:cfRule type="expression" dxfId="4" priority="2">
      <x:formula>OR(D6="PASS",D6="OPEN")</x:formula>
    </x:cfRule>
    <x:cfRule type="expression" dxfId="5" priority="3">
      <x:formula>D6="PARTIEL"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15" hidden="0" customHeight="1">
      <x:c r="A1" s="400" t="str">
        <x:v>WARIBA — Dashboard financier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62" t="str">
        <x:v>Vue de décision. Les paramètres restent CANDIDATE jusqu’au modèle stressé, à la bêta et aux launch gates.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 t="str">
        <x:v>M1</x:v>
      </x:c>
      <x:c r="O2" s="161" t="str">
        <x:v>M2</x:v>
      </x:c>
      <x:c r="P2" s="161" t="str">
        <x:v>M3</x:v>
      </x:c>
      <x:c r="Q2" s="161" t="str">
        <x:v>M4</x:v>
      </x:c>
      <x:c r="R2" s="161" t="str">
        <x:v>M5</x:v>
      </x:c>
      <x:c r="S2" s="161" t="str">
        <x:v>M6</x:v>
      </x:c>
      <x:c r="T2" s="161" t="str">
        <x:v>M7</x:v>
      </x:c>
      <x:c r="U2" s="161" t="str">
        <x:v>M8</x:v>
      </x:c>
      <x:c r="V2" s="161" t="str">
        <x:v>M9</x:v>
      </x:c>
      <x:c r="W2" s="161" t="str">
        <x:v>M10</x:v>
      </x:c>
      <x:c r="X2" s="161" t="str">
        <x:v>M11</x:v>
      </x:c>
      <x:c r="Y2" s="161" t="str">
        <x:v>M12</x:v>
      </x:c>
      <x:c r="Z2" s="161" t="str">
        <x:v>M13</x:v>
      </x:c>
      <x:c r="AA2" s="161" t="str">
        <x:v>M14</x:v>
      </x:c>
      <x:c r="AB2" s="161" t="str">
        <x:v>M15</x:v>
      </x:c>
      <x:c r="AC2" s="161" t="str">
        <x:v>M16</x:v>
      </x:c>
      <x:c r="AD2" s="161" t="str">
        <x:v>M17</x:v>
      </x:c>
      <x:c r="AE2" s="161" t="str">
        <x:v>M18</x:v>
      </x:c>
      <x:c r="AF2" s="161" t="str">
        <x:v>M19</x:v>
      </x:c>
      <x:c r="AG2" s="161" t="str">
        <x:v>M20</x:v>
      </x:c>
      <x:c r="AH2" s="161" t="str">
        <x:v>M21</x:v>
      </x:c>
      <x:c r="AI2" s="161" t="str">
        <x:v>M22</x:v>
      </x:c>
      <x:c r="AJ2" s="161" t="str">
        <x:v>M23</x:v>
      </x:c>
      <x:c r="AK2" s="161" t="str">
        <x:v>M24</x:v>
      </x:c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61"/>
      <x:c r="B3" s="161"/>
      <x:c r="C3" s="161"/>
      <x:c r="D3" s="161"/>
      <x:c r="E3" s="161"/>
      <x:c r="F3" s="161"/>
      <x:c r="G3" s="161"/>
      <x:c r="H3" s="161"/>
      <x:c r="I3" s="161"/>
      <x:c r="J3" s="161"/>
      <x:c r="K3" s="161"/>
      <x:c r="L3" s="161"/>
      <x:c r="M3" s="161" t="str">
        <x:v>CA</x:v>
      </x:c>
      <x:c r="N3" s="161" t="n">
        <x:f>'Prévision 24M'!B8</x:f>
        <x:v>631250</x:v>
      </x:c>
      <x:c r="O3" s="161" t="n">
        <x:f>'Prévision 24M'!C8</x:f>
        <x:v>1155187.5</x:v>
      </x:c>
      <x:c r="P3" s="161" t="n">
        <x:f>'Prévision 24M'!D8</x:f>
        <x:v>1780693.1250000002</x:v>
      </x:c>
      <x:c r="Q3" s="161" t="n">
        <x:f>'Prévision 24M'!E8</x:f>
        <x:v>2429559.4187499997</x:v>
      </x:c>
      <x:c r="R3" s="161" t="n">
        <x:f>'Prévision 24M'!F8</x:f>
        <x:v>3083798.6663125</x:v>
      </x:c>
      <x:c r="S3" s="161" t="n">
        <x:f>'Prévision 24M'!G8</x:f>
        <x:v>3991773.693251875</x:v>
      </x:c>
      <x:c r="T3" s="161" t="n">
        <x:f>'Prévision 24M'!H8</x:f>
        <x:v>4958107.949447931</x:v>
      </x:c>
      <x:c r="U3" s="161" t="n">
        <x:f>'Prévision 24M'!I8</x:f>
        <x:v>6190364.828373024</x:v>
      </x:c>
      <x:c r="V3" s="161" t="n">
        <x:f>'Prévision 24M'!J8</x:f>
        <x:v>7483783.910525795</x:v>
      </x:c>
      <x:c r="W3" s="161" t="n">
        <x:f>'Prévision 24M'!K8</x:f>
        <x:v>8791270.299420934</x:v>
      </x:c>
      <x:c r="X3" s="161" t="n">
        <x:f>'Prévision 24M'!L8</x:f>
        <x:v>10101992.168866815</x:v>
      </x:c>
      <x:c r="Y3" s="161" t="n">
        <x:f>'Prévision 24M'!M8</x:f>
        <x:v>11413458.198839368</x:v>
      </x:c>
      <x:c r="Z3" s="161" t="n">
        <x:f>'Prévision 24M'!N8</x:f>
        <x:v>12725095.385733055</x:v>
      </x:c>
      <x:c r="AA3" s="161" t="n">
        <x:f>'Prévision 24M'!O8</x:f>
        <x:v>14289271.938718604</x:v>
      </x:c>
      <x:c r="AB3" s="161" t="n">
        <x:f>'Prévision 24M'!P8</x:f>
        <x:v>15911532.545905279</x:v>
      </x:c>
      <x:c r="AC3" s="161" t="n">
        <x:f>'Prévision 24M'!Q8</x:f>
        <x:v>17547152.485558216</x:v>
      </x:c>
      <x:c r="AD3" s="161" t="n">
        <x:f>'Prévision 24M'!R8</x:f>
        <x:v>19185845.07167839</x:v>
      </x:c>
      <x:c r="AE3" s="161" t="n">
        <x:f>'Prévision 24M'!S8</x:f>
        <x:v>20825244.366486028</x:v>
      </x:c>
      <x:c r="AF3" s="161" t="n">
        <x:f>'Prévision 24M'!T8</x:f>
        <x:v>22464806.204291787</x:v>
      </x:c>
      <x:c r="AG3" s="161" t="n">
        <x:f>'Prévision 24M'!U8</x:f>
        <x:v>24104405.42698711</x:v>
      </x:c>
      <x:c r="AH3" s="161" t="n">
        <x:f>'Prévision 24M'!V8</x:f>
        <x:v>25744013.248207036</x:v>
      </x:c>
      <x:c r="AI3" s="161" t="n">
        <x:f>'Prévision 24M'!W8</x:f>
        <x:v>27383623.047087617</x:v>
      </x:c>
      <x:c r="AJ3" s="161" t="n">
        <x:f>'Prévision 24M'!X8</x:f>
        <x:v>29023233.300830152</x:v>
      </x:c>
      <x:c r="AK3" s="161" t="n">
        <x:f>'Prévision 24M'!Y8</x:f>
        <x:v>31925343.659190934</x:v>
      </x:c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386" t="str">
        <x:v>Scénario</x:v>
      </x:c>
      <x:c r="B4" s="161"/>
      <x:c r="C4" s="161"/>
      <x:c r="D4" s="386" t="str">
        <x:v>Prix moyen</x:v>
      </x:c>
      <x:c r="E4" s="161"/>
      <x:c r="F4" s="161"/>
      <x:c r="G4" s="386" t="str">
        <x:v>Contribution / achat</x:v>
      </x:c>
      <x:c r="H4" s="161"/>
      <x:c r="I4" s="161"/>
      <x:c r="J4" s="386" t="str">
        <x:v>Marge contribution</x:v>
      </x:c>
      <x:c r="K4" s="161"/>
      <x:c r="L4" s="161"/>
      <x:c r="M4" s="161" t="str">
        <x:v>Payouts</x:v>
      </x:c>
      <x:c r="N4" s="161" t="n">
        <x:f>-'Prévision 24M'!B26</x:f>
        <x:v>0</x:v>
      </x:c>
      <x:c r="O4" s="161" t="n">
        <x:f>-'Prévision 24M'!C26</x:f>
        <x:v>0</x:v>
      </x:c>
      <x:c r="P4" s="161" t="n">
        <x:f>-'Prévision 24M'!D26</x:f>
        <x:v>41983.2</x:v>
      </x:c>
      <x:c r="Q4" s="161" t="n">
        <x:f>-'Prévision 24M'!E26</x:f>
        <x:v>99920.016</x:v>
      </x:c>
      <x:c r="R4" s="161" t="n">
        <x:f>-'Prévision 24M'!F26</x:f>
        <x:v>178004.56968000002</x:v>
      </x:c>
      <x:c r="S4" s="161" t="n">
        <x:f>-'Prévision 24M'!G26</x:f>
        <x:v>266207.1585264</x:v>
      </x:c>
      <x:c r="T4" s="161" t="n">
        <x:f>-'Prévision 24M'!H26</x:f>
        <x:v>362928.10548607196</x:v>
      </x:c>
      <x:c r="U4" s="161" t="n">
        <x:f>-'Prévision 24M'!I26</x:f>
        <x:v>477622.2416617966</x:v>
      </x:c>
      <x:c r="V4" s="161" t="n">
        <x:f>-'Prévision 24M'!J26</x:f>
        <x:v>606855.4850822132</x:v>
      </x:c>
      <x:c r="W4" s="161" t="n">
        <x:f>-'Prévision 24M'!K26</x:f>
        <x:v>763153.231168909</x:v>
      </x:c>
      <x:c r="X4" s="161" t="n">
        <x:f>-'Prévision 24M'!L26</x:f>
        <x:v>938029.369468849</x:v>
      </x:c>
      <x:c r="Y4" s="161" t="n">
        <x:f>-'Prévision 24M'!M26</x:f>
        <x:v>1126443.7054278352</x:v>
      </x:c>
      <x:c r="Z4" s="161" t="n">
        <x:f>-'Prévision 24M'!N26</x:f>
        <x:v>1321089.079448402</x:v>
      </x:c>
      <x:c r="AA4" s="161" t="n">
        <x:f>-'Prévision 24M'!O26</x:f>
        <x:v>1519505.5316731324</x:v>
      </x:c>
      <x:c r="AB4" s="161" t="n">
        <x:f>-'Prévision 24M'!P26</x:f>
        <x:v>1718789.3318848205</x:v>
      </x:c>
      <x:c r="AC4" s="161" t="n">
        <x:f>-'Prévision 24M'!Q26</x:f>
        <x:v>1935065.9021335088</x:v>
      </x:c>
      <x:c r="AD4" s="161" t="n">
        <x:f>-'Prévision 24M'!R26</x:f>
        <x:v>2164487.113490707</x:v>
      </x:c>
      <x:c r="AE4" s="161" t="n">
        <x:f>-'Prévision 24M'!S26</x:f>
        <x:v>2403858.820302862</x:v>
      </x:c>
      <x:c r="AF4" s="161" t="n">
        <x:f>-'Prévision 24M'!T26</x:f>
        <x:v>2648636.393669658</x:v>
      </x:c>
      <x:c r="AG4" s="161" t="n">
        <x:f>-'Prévision 24M'!U26</x:f>
        <x:v>2896995.2557940213</x:v>
      </x:c>
      <x:c r="AH4" s="161" t="n">
        <x:f>-'Prévision 24M'!V26</x:f>
        <x:v>3146177.814332625</x:v>
      </x:c>
      <x:c r="AI4" s="161" t="n">
        <x:f>-'Prévision 24M'!W26</x:f>
        <x:v>3395549.8230465036</x:v>
      </x:c>
      <x:c r="AJ4" s="161" t="n">
        <x:f>-'Prévision 24M'!X26</x:f>
        <x:v>3644965.405300696</x:v>
      </x:c>
      <x:c r="AK4" s="161" t="n">
        <x:f>-'Prévision 24M'!Y26</x:f>
        <x:v>3894391.009469159</x:v>
      </x:c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387" t="str">
        <x:f>'Hypothèses'!B3</x:f>
        <x:v>Base</x:v>
      </x:c>
      <x:c r="B5" s="161"/>
      <x:c r="C5" s="161"/>
      <x:c r="D5" s="388" t="n">
        <x:f>'Économie Unitaire'!B7</x:f>
        <x:v>25250</x:v>
      </x:c>
      <x:c r="E5" s="161"/>
      <x:c r="F5" s="161"/>
      <x:c r="G5" s="388" t="n">
        <x:f>'Économie Unitaire'!B32</x:f>
        <x:v>14673.305844999999</x:v>
      </x:c>
      <x:c r="H5" s="161"/>
      <x:c r="I5" s="161"/>
      <x:c r="J5" s="389" t="n">
        <x:f>'Économie Unitaire'!B33</x:f>
        <x:v>0.5811210235643564</x:v>
      </x:c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61"/>
      <x:c r="B6" s="161"/>
      <x:c r="C6" s="161"/>
      <x:c r="D6" s="161"/>
      <x:c r="E6" s="161"/>
      <x:c r="F6" s="161"/>
      <x:c r="G6" s="161"/>
      <x:c r="H6" s="161"/>
      <x:c r="I6" s="161"/>
      <x:c r="J6" s="161"/>
      <x:c r="K6" s="161"/>
      <x:c r="L6" s="161"/>
      <x:c r="M6" s="161"/>
      <x:c r="N6" s="161" t="str">
        <x:v>M1</x:v>
      </x:c>
      <x:c r="O6" s="161" t="str">
        <x:v>M2</x:v>
      </x:c>
      <x:c r="P6" s="161" t="str">
        <x:v>M3</x:v>
      </x:c>
      <x:c r="Q6" s="161" t="str">
        <x:v>M4</x:v>
      </x:c>
      <x:c r="R6" s="161" t="str">
        <x:v>M5</x:v>
      </x:c>
      <x:c r="S6" s="161" t="str">
        <x:v>M6</x:v>
      </x:c>
      <x:c r="T6" s="161" t="str">
        <x:v>M7</x:v>
      </x:c>
      <x:c r="U6" s="161" t="str">
        <x:v>M8</x:v>
      </x:c>
      <x:c r="V6" s="161" t="str">
        <x:v>M9</x:v>
      </x:c>
      <x:c r="W6" s="161" t="str">
        <x:v>M10</x:v>
      </x:c>
      <x:c r="X6" s="161" t="str">
        <x:v>M11</x:v>
      </x:c>
      <x:c r="Y6" s="161" t="str">
        <x:v>M12</x:v>
      </x:c>
      <x:c r="Z6" s="161" t="str">
        <x:v>M13</x:v>
      </x:c>
      <x:c r="AA6" s="161" t="str">
        <x:v>M14</x:v>
      </x:c>
      <x:c r="AB6" s="161" t="str">
        <x:v>M15</x:v>
      </x:c>
      <x:c r="AC6" s="161" t="str">
        <x:v>M16</x:v>
      </x:c>
      <x:c r="AD6" s="161" t="str">
        <x:v>M17</x:v>
      </x:c>
      <x:c r="AE6" s="161" t="str">
        <x:v>M18</x:v>
      </x:c>
      <x:c r="AF6" s="161" t="str">
        <x:v>M19</x:v>
      </x:c>
      <x:c r="AG6" s="161" t="str">
        <x:v>M20</x:v>
      </x:c>
      <x:c r="AH6" s="161" t="str">
        <x:v>M21</x:v>
      </x:c>
      <x:c r="AI6" s="161" t="str">
        <x:v>M22</x:v>
      </x:c>
      <x:c r="AJ6" s="161" t="str">
        <x:v>M23</x:v>
      </x:c>
      <x:c r="AK6" s="161" t="str">
        <x:v>M24</x:v>
      </x:c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61"/>
      <x:c r="B7" s="161"/>
      <x:c r="C7" s="161"/>
      <x:c r="D7" s="161"/>
      <x:c r="E7" s="161"/>
      <x:c r="F7" s="161"/>
      <x:c r="G7" s="161"/>
      <x:c r="H7" s="161"/>
      <x:c r="I7" s="161"/>
      <x:c r="J7" s="161"/>
      <x:c r="K7" s="161"/>
      <x:c r="L7" s="161"/>
      <x:c r="M7" s="161"/>
      <x:c r="N7" s="390" t="str">
        <x:f>'Prévision 24M'!B31</x:f>
      </x:c>
      <x:c r="O7" s="390" t="n">
        <x:f>'Prévision 24M'!C31</x:f>
        <x:v>61.79421117591382</x:v>
      </x:c>
      <x:c r="P7" s="390" t="n">
        <x:f>'Prévision 24M'!D31</x:f>
        <x:v>31.472604979014854</x:v>
      </x:c>
      <x:c r="Q7" s="390" t="n">
        <x:f>'Prévision 24M'!E31</x:f>
        <x:v>21.64606292000904</x:v>
      </x:c>
      <x:c r="R7" s="390" t="n">
        <x:f>'Prévision 24M'!F31</x:f>
        <x:v>17.65926685157135</x:v>
      </x:c>
      <x:c r="S7" s="390" t="n">
        <x:f>'Prévision 24M'!G31</x:f>
        <x:v>15.87866645211746</x:v>
      </x:c>
      <x:c r="T7" s="390" t="n">
        <x:f>'Prévision 24M'!H31</x:f>
        <x:v>14.75929627696224</x:v>
      </x:c>
      <x:c r="U7" s="390" t="n">
        <x:f>'Prévision 24M'!I31</x:f>
        <x:v>14.222792623013797</x:v>
      </x:c>
      <x:c r="V7" s="390" t="n">
        <x:f>'Prévision 24M'!J31</x:f>
        <x:v>13.777125087735957</x:v>
      </x:c>
      <x:c r="W7" s="390" t="n">
        <x:f>'Prévision 24M'!K31</x:f>
        <x:v>13.513027927267846</x:v>
      </x:c>
      <x:c r="X7" s="390" t="n">
        <x:f>'Prévision 24M'!L31</x:f>
        <x:v>13.40356048084612</x:v>
      </x:c>
      <x:c r="Y7" s="390" t="n">
        <x:f>'Prévision 24M'!M31</x:f>
        <x:v>13.450254777686775</x:v>
      </x:c>
      <x:c r="Z7" s="390" t="n">
        <x:f>'Prévision 24M'!N31</x:f>
        <x:v>13.61056451858611</x:v>
      </x:c>
      <x:c r="AA7" s="390" t="n">
        <x:f>'Prévision 24M'!O31</x:f>
        <x:v>13.914230600110471</x:v>
      </x:c>
      <x:c r="AB7" s="390" t="n">
        <x:f>'Prévision 24M'!P31</x:f>
        <x:v>14.206415435401803</x:v>
      </x:c>
      <x:c r="AC7" s="390" t="n">
        <x:f>'Prévision 24M'!Q31</x:f>
        <x:v>14.503637602418001</x:v>
      </x:c>
      <x:c r="AD7" s="390" t="n">
        <x:f>'Prévision 24M'!R31</x:f>
        <x:v>14.814209620081028</x:v>
      </x:c>
      <x:c r="AE7" s="390" t="n">
        <x:f>'Prévision 24M'!S31</x:f>
        <x:v>15.153318185606398</x:v>
      </x:c>
      <x:c r="AF7" s="390" t="n">
        <x:f>'Prévision 24M'!T31</x:f>
        <x:v>15.51975948829359</x:v>
      </x:c>
      <x:c r="AG7" s="390" t="n">
        <x:f>'Prévision 24M'!U31</x:f>
        <x:v>15.918622944218704</x:v>
      </x:c>
      <x:c r="AH7" s="390" t="n">
        <x:f>'Prévision 24M'!V31</x:f>
        <x:v>16.345292599818713</x:v>
      </x:c>
      <x:c r="AI7" s="390" t="n">
        <x:f>'Prévision 24M'!W31</x:f>
        <x:v>16.794615358153916</x:v>
      </x:c>
      <x:c r="AJ7" s="390" t="n">
        <x:f>'Prévision 24M'!X31</x:f>
        <x:v>17.262361303394314</x:v>
      </x:c>
      <x:c r="AK7" s="390" t="n">
        <x:f>'Prévision 24M'!Y31</x:f>
        <x:v>17.846589861328013</x:v>
      </x:c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386" t="str">
        <x:v>Break-even mensuel</x:v>
      </x:c>
      <x:c r="B8" s="161"/>
      <x:c r="C8" s="161"/>
      <x:c r="D8" s="386" t="str">
        <x:v>CA 24M</x:v>
      </x:c>
      <x:c r="E8" s="161"/>
      <x:c r="F8" s="161"/>
      <x:c r="G8" s="386" t="str">
        <x:v>Payouts 24M</x:v>
      </x:c>
      <x:c r="H8" s="161"/>
      <x:c r="I8" s="161"/>
      <x:c r="J8" s="386" t="str">
        <x:v>Cash total M24</x:v>
      </x:c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391" t="n">
        <x:f>'Économie Unitaire'!B34</x:f>
        <x:v>61.33587137806982</x:v>
      </x:c>
      <x:c r="B9" s="161"/>
      <x:c r="C9" s="161"/>
      <x:c r="D9" s="388" t="n">
        <x:f>SUM('Prévision 24M'!B8:Y8)</x:f>
        <x:v>323140806.4394625</x:v>
      </x:c>
      <x:c r="E9" s="161"/>
      <x:c r="F9" s="161"/>
      <x:c r="G9" s="388" t="n">
        <x:f>-SUM('Prévision 24M'!B26:Y26)</x:f>
        <x:v>35550658.56304817</x:v>
      </x:c>
      <x:c r="H9" s="161"/>
      <x:c r="I9" s="161"/>
      <x:c r="J9" s="388" t="n">
        <x:f>'Prévision 24M'!Y32</x:f>
        <x:v>194728568.543132</x:v>
      </x:c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61"/>
      <x:c r="B10" s="161"/>
      <x:c r="C10" s="161"/>
      <x:c r="D10" s="161"/>
      <x:c r="E10" s="161"/>
      <x:c r="F10" s="161"/>
      <x:c r="G10" s="161"/>
      <x:c r="H10" s="161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61"/>
      <x:c r="B11" s="161"/>
      <x:c r="C11" s="161"/>
      <x:c r="D11" s="161"/>
      <x:c r="E11" s="161"/>
      <x:c r="F11" s="161"/>
      <x:c r="G11" s="161"/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386" t="str">
        <x:v>Réserve M24</x:v>
      </x:c>
      <x:c r="B12" s="161"/>
      <x:c r="C12" s="161"/>
      <x:c r="D12" s="386" t="str">
        <x:v>Couverture minimale</x:v>
      </x:c>
      <x:c r="E12" s="161"/>
      <x:c r="F12" s="161"/>
      <x:c r="G12" s="386" t="str">
        <x:v>Réserve / 1 000</x:v>
      </x:c>
      <x:c r="H12" s="161"/>
      <x:c r="I12" s="161"/>
      <x:c r="J12" s="386" t="str">
        <x:v>25K Gate</x:v>
      </x:c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388" t="n">
        <x:f>'Prévision 24M'!Y29</x:f>
        <x:v>73953036.70125633</x:v>
      </x:c>
      <x:c r="B13" s="161"/>
      <x:c r="C13" s="161"/>
      <x:c r="D13" s="392" t="n">
        <x:f>MIN('Prévision 24M'!B31:Y31)</x:f>
        <x:v>13.40356048084612</x:v>
      </x:c>
      <x:c r="E13" s="161"/>
      <x:c r="F13" s="161"/>
      <x:c r="G13" s="388" t="n">
        <x:f>'Économie Unitaire'!B35</x:f>
        <x:v>7682400.81</x:v>
      </x:c>
      <x:c r="H13" s="161"/>
      <x:c r="I13" s="161"/>
      <x:c r="J13" s="387" t="str">
        <x:f>'Decision Gates'!D11</x:f>
        <x:v>OPEN</x:v>
      </x:c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61"/>
      <x:c r="B14" s="161"/>
      <x:c r="C14" s="161"/>
      <x:c r="D14" s="161"/>
      <x:c r="E14" s="161"/>
      <x:c r="F14" s="161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61"/>
      <x:c r="B15" s="161"/>
      <x:c r="C15" s="161"/>
      <x:c r="D15" s="161"/>
      <x:c r="E15" s="161"/>
      <x:c r="F15" s="161"/>
      <x:c r="G15" s="161"/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63" t="str">
        <x:v>Décision immédiate</x:v>
      </x:c>
      <x:c r="B16" s="161"/>
      <x:c r="C16" s="161"/>
      <x:c r="D16" s="161"/>
      <x:c r="E16" s="161"/>
      <x:c r="F16" s="161"/>
      <x:c r="G16" s="161"/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31" t="str">
        <x:v>Question</x:v>
      </x:c>
      <x:c r="B17" s="31"/>
      <x:c r="C17" s="31"/>
      <x:c r="D17" s="31" t="str">
        <x:v>Réponse</x:v>
      </x:c>
      <x:c r="E17" s="31" t="str">
        <x:v>Lecture</x:v>
      </x:c>
      <x:c r="F17" s="31"/>
      <x:c r="G17" s="31"/>
      <x:c r="H17" s="31"/>
      <x:c r="I17" s="31"/>
      <x:c r="J17" s="31"/>
      <x:c r="K17" s="31"/>
      <x:c r="L17" s="3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30" hidden="0" customHeight="1">
      <x:c r="A18" s="157" t="str">
        <x:v>Le scénario actif est-il rentable ?</x:v>
      </x:c>
      <x:c r="B18" s="380"/>
      <x:c r="C18" s="157"/>
      <x:c r="D18" s="380" t="str">
        <x:f>IF('Économie Unitaire'!B32&gt;0,"OUI","NON")</x:f>
        <x:v>OUI</x:v>
      </x:c>
      <x:c r="E18" s="157" t="str">
        <x:v>Contribution positive dans le scénario actif ; contrôler aussi le scénario Stress.</x:v>
      </x:c>
      <x:c r="F18" s="157"/>
      <x:c r="G18" s="157"/>
      <x:c r="H18" s="157"/>
      <x:c r="I18" s="157"/>
      <x:c r="J18" s="157"/>
      <x:c r="K18" s="157"/>
      <x:c r="L18" s="157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30" hidden="0" customHeight="1">
      <x:c r="A19" s="157" t="str">
        <x:v>Le 25K peut-il être ouvert ?</x:v>
      </x:c>
      <x:c r="B19" s="380"/>
      <x:c r="C19" s="157"/>
      <x:c r="D19" s="380" t="str">
        <x:f>'Decision Gates'!D11</x:f>
        <x:v>OPEN</x:v>
      </x:c>
      <x:c r="E19" s="157" t="str">
        <x:v>Le 25K reste un feature flag dépendant de la couverture de réserve.</x:v>
      </x:c>
      <x:c r="F19" s="157"/>
      <x:c r="G19" s="157"/>
      <x:c r="H19" s="157"/>
      <x:c r="I19" s="157"/>
      <x:c r="J19" s="157"/>
      <x:c r="K19" s="157"/>
      <x:c r="L19" s="157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30" hidden="0" customHeight="1">
      <x:c r="A20" s="157" t="str">
        <x:v>La réserve initiale couvre-t-elle 1 000 achats ?</x:v>
      </x:c>
      <x:c r="B20" s="380"/>
      <x:c r="C20" s="157"/>
      <x:c r="D20" s="380" t="str">
        <x:f>IF('Hypothèses'!B37&gt;='Économie Unitaire'!B35,"OUI","NON")</x:f>
        <x:v>NON</x:v>
      </x:c>
      <x:c r="E20" s="157" t="str">
        <x:v>Comparer la réserve initiale au besoin prudentiel à 2,0x.</x:v>
      </x:c>
      <x:c r="F20" s="157"/>
      <x:c r="G20" s="157"/>
      <x:c r="H20" s="157"/>
      <x:c r="I20" s="157"/>
      <x:c r="J20" s="157"/>
      <x:c r="K20" s="157"/>
      <x:c r="L20" s="157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30" hidden="0" customHeight="1">
      <x:c r="A21" s="157" t="str">
        <x:v>Quel volume mensuel couvre l’OPEX ?</x:v>
      </x:c>
      <x:c r="B21" s="381"/>
      <x:c r="C21" s="157"/>
      <x:c r="D21" s="381" t="n">
        <x:f>'Économie Unitaire'!B34</x:f>
        <x:v>61.33587137806982</x:v>
      </x:c>
      <x:c r="E21" s="157" t="str">
        <x:v>Nombre d’achats mensuels requis au scénario actif.</x:v>
      </x:c>
      <x:c r="F21" s="157"/>
      <x:c r="G21" s="157"/>
      <x:c r="H21" s="157"/>
      <x:c r="I21" s="157"/>
      <x:c r="J21" s="157"/>
      <x:c r="K21" s="157"/>
      <x:c r="L21" s="157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30" hidden="0" customHeight="1">
      <x:c r="A22" s="157" t="str">
        <x:v>Le lancement public est-il autorisé ?</x:v>
      </x:c>
      <x:c r="B22" s="157"/>
      <x:c r="C22" s="157"/>
      <x:c r="D22" s="380" t="str">
        <x:f>"NON"</x:f>
        <x:v>NON</x:v>
      </x:c>
      <x:c r="E22" s="157" t="str">
        <x:v>Les gates juridiques, PSP, données de marché, sécurité et opérations restent ouverts.</x:v>
      </x:c>
      <x:c r="F22" s="157"/>
      <x:c r="G22" s="157"/>
      <x:c r="H22" s="157"/>
      <x:c r="I22" s="157"/>
      <x:c r="J22" s="157"/>
      <x:c r="K22" s="157"/>
      <x:c r="L22" s="157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/>
      <x:c r="B23" s="161"/>
      <x:c r="C23" s="161"/>
      <x:c r="D23" s="161"/>
      <x:c r="E23" s="161"/>
      <x:c r="F23" s="161"/>
      <x:c r="G23" s="161"/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/>
      <x:c r="B24" s="161"/>
      <x:c r="C24" s="161"/>
      <x:c r="D24" s="161"/>
      <x:c r="E24" s="161"/>
      <x:c r="F24" s="161"/>
      <x:c r="G24" s="161"/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/>
      <x:c r="B25" s="161"/>
      <x:c r="C25" s="161"/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61"/>
      <x:c r="B26" s="161"/>
      <x:c r="C26" s="161"/>
      <x:c r="D26" s="161"/>
      <x:c r="E26" s="161"/>
      <x:c r="F26" s="161"/>
      <x:c r="G26" s="161"/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61"/>
      <x:c r="B27" s="161"/>
      <x:c r="C27" s="161"/>
      <x:c r="D27" s="161"/>
      <x:c r="E27" s="161"/>
      <x:c r="F27" s="161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61"/>
      <x:c r="B28" s="161"/>
      <x:c r="C28" s="161"/>
      <x:c r="D28" s="161"/>
      <x:c r="E28" s="161"/>
      <x:c r="F28" s="161"/>
      <x:c r="G28" s="161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61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1"/>
      <x:c r="B30" s="161"/>
      <x:c r="C30" s="161"/>
      <x:c r="D30" s="161"/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1"/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61"/>
      <x:c r="B32" s="161"/>
      <x:c r="C32" s="161"/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61"/>
      <x:c r="B33" s="161"/>
      <x:c r="C33" s="161"/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2:C12"/>
    <x:mergeCell ref="A13:C14"/>
    <x:mergeCell ref="D12:F12"/>
    <x:mergeCell ref="D13:F14"/>
    <x:mergeCell ref="G12:I12"/>
    <x:mergeCell ref="G13:I14"/>
    <x:mergeCell ref="J12:L12"/>
    <x:mergeCell ref="J13:L14"/>
    <x:mergeCell ref="A16:L16"/>
    <x:mergeCell ref="A17:C17"/>
    <x:mergeCell ref="E17:L17"/>
    <x:mergeCell ref="A18:C18"/>
    <x:mergeCell ref="E18:L18"/>
    <x:mergeCell ref="A19:C19"/>
    <x:mergeCell ref="E19:L19"/>
    <x:mergeCell ref="A20:C20"/>
    <x:mergeCell ref="E20:L20"/>
    <x:mergeCell ref="A21:C21"/>
    <x:mergeCell ref="E21:L21"/>
    <x:mergeCell ref="A22:C22"/>
    <x:mergeCell ref="E22:L22"/>
  </x:mergeCells>
  <x:pageMargins left="0.7" right="0.7" top="0.75" bottom="0.75" header="0.3" footer="0.3"/>
  <x:drawing xmlns:r="http://schemas.openxmlformats.org/officeDocument/2006/relationships" r:id="R630a8f81a39f4cdd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2" hidden="0" customWidth="1"/>
  </x:cols>
  <x:sheetData>
    <x:row r="1" ht="15" hidden="0" customHeight="1">
      <x:c r="A1" s="402" t="str">
        <x:v>WARIBA — Registre des hypothèses</x:v>
      </x:c>
      <x:c r="B1" s="157"/>
      <x:c r="C1" s="157"/>
      <x:c r="D1" s="157"/>
      <x:c r="E1" s="157"/>
      <x:c r="F1" s="157"/>
      <x:c r="G1" s="157"/>
      <x:c r="H1" s="157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1"/>
      <x:c r="AC1" s="161"/>
      <x:c r="AD1" s="161"/>
      <x:c r="AE1" s="161"/>
      <x:c r="AF1" s="161"/>
      <x:c r="AG1" s="161"/>
      <x:c r="AH1" s="161"/>
      <x:c r="AI1" s="161"/>
      <x:c r="AJ1" s="161"/>
      <x:c r="AK1" s="161"/>
      <x:c r="AL1" s="161"/>
      <x:c r="AM1" s="161"/>
      <x:c r="AN1" s="161"/>
      <x:c r="AO1" s="161"/>
      <x:c r="AP1" s="161"/>
      <x:c r="AQ1" s="161"/>
      <x:c r="AR1" s="161"/>
      <x:c r="AS1" s="161"/>
      <x:c r="AT1" s="161"/>
      <x:c r="AU1" s="161"/>
      <x:c r="AV1" s="161"/>
      <x:c r="AW1" s="161"/>
      <x:c r="AX1" s="161"/>
      <x:c r="AY1" s="161"/>
      <x:c r="AZ1" s="161"/>
    </x:row>
    <x:row r="2" ht="15" hidden="0" customHeight="1">
      <x:c r="A2" s="13" t="str">
        <x:v>Ce registre doit être mis à jour à chaque remplacement d’une hypothèse par une donnée réelle.</x:v>
      </x:c>
      <x:c r="B2" s="157"/>
      <x:c r="C2" s="157"/>
      <x:c r="D2" s="157"/>
      <x:c r="E2" s="157"/>
      <x:c r="F2" s="157"/>
      <x:c r="G2" s="157"/>
      <x:c r="H2" s="157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  <x:c r="AA2" s="161"/>
      <x:c r="AB2" s="161"/>
      <x:c r="AC2" s="161"/>
      <x:c r="AD2" s="161"/>
      <x:c r="AE2" s="161"/>
      <x:c r="AF2" s="161"/>
      <x:c r="AG2" s="161"/>
      <x:c r="AH2" s="161"/>
      <x:c r="AI2" s="161"/>
      <x:c r="AJ2" s="161"/>
      <x:c r="AK2" s="161"/>
      <x:c r="AL2" s="161"/>
      <x:c r="AM2" s="161"/>
      <x:c r="AN2" s="161"/>
      <x:c r="AO2" s="161"/>
      <x:c r="AP2" s="161"/>
      <x:c r="AQ2" s="161"/>
      <x:c r="AR2" s="161"/>
      <x:c r="AS2" s="161"/>
      <x:c r="AT2" s="161"/>
      <x:c r="AU2" s="161"/>
      <x:c r="AV2" s="161"/>
      <x:c r="AW2" s="161"/>
      <x:c r="AX2" s="161"/>
      <x:c r="AY2" s="161"/>
      <x:c r="AZ2" s="161"/>
    </x:row>
    <x:row r="3" ht="15" hidden="0" customHeight="1">
      <x:c r="A3" s="157"/>
      <x:c r="B3" s="157"/>
      <x:c r="C3" s="157"/>
      <x:c r="D3" s="157"/>
      <x:c r="E3" s="157"/>
      <x:c r="F3" s="157"/>
      <x:c r="G3" s="157"/>
      <x:c r="H3" s="157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  <x:c r="AA3" s="161"/>
      <x:c r="AB3" s="161"/>
      <x:c r="AC3" s="161"/>
      <x:c r="AD3" s="161"/>
      <x:c r="AE3" s="161"/>
      <x:c r="AF3" s="161"/>
      <x:c r="AG3" s="161"/>
      <x:c r="AH3" s="161"/>
      <x:c r="AI3" s="161"/>
      <x:c r="AJ3" s="161"/>
      <x:c r="AK3" s="161"/>
      <x:c r="AL3" s="161"/>
      <x:c r="AM3" s="161"/>
      <x:c r="AN3" s="161"/>
      <x:c r="AO3" s="161"/>
      <x:c r="AP3" s="161"/>
      <x:c r="AQ3" s="161"/>
      <x:c r="AR3" s="161"/>
      <x:c r="AS3" s="161"/>
      <x:c r="AT3" s="161"/>
      <x:c r="AU3" s="161"/>
      <x:c r="AV3" s="161"/>
      <x:c r="AW3" s="161"/>
      <x:c r="AX3" s="161"/>
      <x:c r="AY3" s="161"/>
      <x:c r="AZ3" s="161"/>
    </x:row>
    <x:row r="4" ht="15" hidden="0" customHeight="1">
      <x:c r="A4" s="149" t="str">
        <x:v>ID</x:v>
      </x:c>
      <x:c r="B4" s="149" t="str">
        <x:v>Hypothèse</x:v>
      </x:c>
      <x:c r="C4" s="149" t="str">
        <x:v>Valeur active</x:v>
      </x:c>
      <x:c r="D4" s="149" t="str">
        <x:v>Source</x:v>
      </x:c>
      <x:c r="E4" s="149" t="str">
        <x:v>Statut</x:v>
      </x:c>
      <x:c r="F4" s="149" t="str">
        <x:v>Owner</x:v>
      </x:c>
      <x:c r="G4" s="149" t="str">
        <x:v>Dernière mise à jour</x:v>
      </x:c>
      <x:c r="H4" s="149" t="str">
        <x:v>Action suivante</x:v>
      </x:c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  <x:c r="AA4" s="161"/>
      <x:c r="AB4" s="161"/>
      <x:c r="AC4" s="161"/>
      <x:c r="AD4" s="161"/>
      <x:c r="AE4" s="161"/>
      <x:c r="AF4" s="161"/>
      <x:c r="AG4" s="161"/>
      <x:c r="AH4" s="161"/>
      <x:c r="AI4" s="161"/>
      <x:c r="AJ4" s="161"/>
      <x:c r="AK4" s="161"/>
      <x:c r="AL4" s="161"/>
      <x:c r="AM4" s="161"/>
      <x:c r="AN4" s="161"/>
      <x:c r="AO4" s="161"/>
      <x:c r="AP4" s="161"/>
      <x:c r="AQ4" s="161"/>
      <x:c r="AR4" s="161"/>
      <x:c r="AS4" s="161"/>
      <x:c r="AT4" s="161"/>
      <x:c r="AU4" s="161"/>
      <x:c r="AV4" s="161"/>
      <x:c r="AW4" s="161"/>
      <x:c r="AX4" s="161"/>
      <x:c r="AY4" s="161"/>
      <x:c r="AZ4" s="161"/>
    </x:row>
    <x:row r="5" ht="15" hidden="0" customHeight="1">
      <x:c r="A5" s="157" t="str">
        <x:v>AS-001</x:v>
      </x:c>
      <x:c r="B5" s="157" t="str">
        <x:v>Taux de réussite</x:v>
      </x:c>
      <x:c r="C5" s="407" t="n">
        <x:f>'Hypothèses'!B7</x:f>
        <x:v>0.08</x:v>
      </x:c>
      <x:c r="D5" s="157" t="str">
        <x:v>Management</x:v>
      </x:c>
      <x:c r="E5" s="157" t="str">
        <x:v>À calibrer</x:v>
      </x:c>
      <x:c r="F5" s="157" t="str">
        <x:v>Risk</x:v>
      </x:c>
      <x:c r="G5" s="157" t="str">
        <x:v>2026-08-01</x:v>
      </x:c>
      <x:c r="H5" s="157" t="str">
        <x:v>Mesurer sur bêta</x:v>
      </x:c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  <x:c r="AA5" s="161"/>
      <x:c r="AB5" s="161"/>
      <x:c r="AC5" s="161"/>
      <x:c r="AD5" s="161"/>
      <x:c r="AE5" s="161"/>
      <x:c r="AF5" s="161"/>
      <x:c r="AG5" s="161"/>
      <x:c r="AH5" s="161"/>
      <x:c r="AI5" s="161"/>
      <x:c r="AJ5" s="161"/>
      <x:c r="AK5" s="161"/>
      <x:c r="AL5" s="161"/>
      <x:c r="AM5" s="161"/>
      <x:c r="AN5" s="161"/>
      <x:c r="AO5" s="161"/>
      <x:c r="AP5" s="161"/>
      <x:c r="AQ5" s="161"/>
      <x:c r="AR5" s="161"/>
      <x:c r="AS5" s="161"/>
      <x:c r="AT5" s="161"/>
      <x:c r="AU5" s="161"/>
      <x:c r="AV5" s="161"/>
      <x:c r="AW5" s="161"/>
      <x:c r="AX5" s="161"/>
      <x:c r="AY5" s="161"/>
      <x:c r="AZ5" s="161"/>
    </x:row>
    <x:row r="6" ht="15" hidden="0" customHeight="1">
      <x:c r="A6" s="157" t="str">
        <x:v>AS-002</x:v>
      </x:c>
      <x:c r="B6" s="157" t="str">
        <x:v>Accès payout #1</x:v>
      </x:c>
      <x:c r="C6" s="407" t="n">
        <x:f>'Hypothèses'!B8</x:f>
        <x:v>0.35</x:v>
      </x:c>
      <x:c r="D6" s="157" t="str">
        <x:v>Management</x:v>
      </x:c>
      <x:c r="E6" s="157" t="str">
        <x:v>À calibrer</x:v>
      </x:c>
      <x:c r="F6" s="157" t="str">
        <x:v>Risk/Finance</x:v>
      </x:c>
      <x:c r="G6" s="157" t="str">
        <x:v>2026-08-01</x:v>
      </x:c>
      <x:c r="H6" s="157" t="str">
        <x:v>Mesurer sur cohortes</x:v>
      </x:c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  <x:c r="AA6" s="161"/>
      <x:c r="AB6" s="161"/>
      <x:c r="AC6" s="161"/>
      <x:c r="AD6" s="161"/>
      <x:c r="AE6" s="161"/>
      <x:c r="AF6" s="161"/>
      <x:c r="AG6" s="161"/>
      <x:c r="AH6" s="161"/>
      <x:c r="AI6" s="161"/>
      <x:c r="AJ6" s="161"/>
      <x:c r="AK6" s="161"/>
      <x:c r="AL6" s="161"/>
      <x:c r="AM6" s="161"/>
      <x:c r="AN6" s="161"/>
      <x:c r="AO6" s="161"/>
      <x:c r="AP6" s="161"/>
      <x:c r="AQ6" s="161"/>
      <x:c r="AR6" s="161"/>
      <x:c r="AS6" s="161"/>
      <x:c r="AT6" s="161"/>
      <x:c r="AU6" s="161"/>
      <x:c r="AV6" s="161"/>
      <x:c r="AW6" s="161"/>
      <x:c r="AX6" s="161"/>
      <x:c r="AY6" s="161"/>
      <x:c r="AZ6" s="161"/>
    </x:row>
    <x:row r="7" ht="15" hidden="0" customHeight="1">
      <x:c r="A7" s="157" t="str">
        <x:v>AS-003</x:v>
      </x:c>
      <x:c r="B7" s="157" t="str">
        <x:v>Utilisation caps</x:v>
      </x:c>
      <x:c r="C7" s="407" t="n">
        <x:f>'Hypothèses'!B13</x:f>
        <x:v>0.7</x:v>
      </x:c>
      <x:c r="D7" s="157" t="str">
        <x:v>Management</x:v>
      </x:c>
      <x:c r="E7" s="157" t="str">
        <x:v>À calibrer</x:v>
      </x:c>
      <x:c r="F7" s="157" t="str">
        <x:v>Finance</x:v>
      </x:c>
      <x:c r="G7" s="157" t="str">
        <x:v>2026-08-01</x:v>
      </x:c>
      <x:c r="H7" s="157" t="str">
        <x:v>Mesurer après payouts</x:v>
      </x:c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  <x:c r="AA7" s="161"/>
      <x:c r="AB7" s="161"/>
      <x:c r="AC7" s="161"/>
      <x:c r="AD7" s="161"/>
      <x:c r="AE7" s="161"/>
      <x:c r="AF7" s="161"/>
      <x:c r="AG7" s="161"/>
      <x:c r="AH7" s="161"/>
      <x:c r="AI7" s="161"/>
      <x:c r="AJ7" s="161"/>
      <x:c r="AK7" s="161"/>
      <x:c r="AL7" s="161"/>
      <x:c r="AM7" s="161"/>
      <x:c r="AN7" s="161"/>
      <x:c r="AO7" s="161"/>
      <x:c r="AP7" s="161"/>
      <x:c r="AQ7" s="161"/>
      <x:c r="AR7" s="161"/>
      <x:c r="AS7" s="161"/>
      <x:c r="AT7" s="161"/>
      <x:c r="AU7" s="161"/>
      <x:c r="AV7" s="161"/>
      <x:c r="AW7" s="161"/>
      <x:c r="AX7" s="161"/>
      <x:c r="AY7" s="161"/>
      <x:c r="AZ7" s="161"/>
    </x:row>
    <x:row r="8" ht="15" hidden="0" customHeight="1">
      <x:c r="A8" s="157" t="str">
        <x:v>AS-004</x:v>
      </x:c>
      <x:c r="B8" s="157" t="str">
        <x:v>Chargebacks</x:v>
      </x:c>
      <x:c r="C8" s="407" t="n">
        <x:f>'Hypothèses'!B14</x:f>
        <x:v>0.015</x:v>
      </x:c>
      <x:c r="D8" s="157" t="str">
        <x:v>Management</x:v>
      </x:c>
      <x:c r="E8" s="157" t="str">
        <x:v>À confirmer</x:v>
      </x:c>
      <x:c r="F8" s="157" t="str">
        <x:v>Payments</x:v>
      </x:c>
      <x:c r="G8" s="157" t="str">
        <x:v>2026-08-01</x:v>
      </x:c>
      <x:c r="H8" s="157" t="str">
        <x:v>Obtenir devis PSP</x:v>
      </x:c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  <x:c r="AA8" s="161"/>
      <x:c r="AB8" s="161"/>
      <x:c r="AC8" s="161"/>
      <x:c r="AD8" s="161"/>
      <x:c r="AE8" s="161"/>
      <x:c r="AF8" s="161"/>
      <x:c r="AG8" s="161"/>
      <x:c r="AH8" s="161"/>
      <x:c r="AI8" s="161"/>
      <x:c r="AJ8" s="161"/>
      <x:c r="AK8" s="161"/>
      <x:c r="AL8" s="161"/>
      <x:c r="AM8" s="161"/>
      <x:c r="AN8" s="161"/>
      <x:c r="AO8" s="161"/>
      <x:c r="AP8" s="161"/>
      <x:c r="AQ8" s="161"/>
      <x:c r="AR8" s="161"/>
      <x:c r="AS8" s="161"/>
      <x:c r="AT8" s="161"/>
      <x:c r="AU8" s="161"/>
      <x:c r="AV8" s="161"/>
      <x:c r="AW8" s="161"/>
      <x:c r="AX8" s="161"/>
      <x:c r="AY8" s="161"/>
      <x:c r="AZ8" s="161"/>
    </x:row>
    <x:row r="9" ht="15" hidden="0" customHeight="1">
      <x:c r="A9" s="157" t="str">
        <x:v>AS-005</x:v>
      </x:c>
      <x:c r="B9" s="157" t="str">
        <x:v>Frais PSP</x:v>
      </x:c>
      <x:c r="C9" s="412" t="n">
        <x:f>'Hypothèses'!B15</x:f>
        <x:v>0.035</x:v>
      </x:c>
      <x:c r="D9" s="157" t="str">
        <x:v>Aucun devis</x:v>
      </x:c>
      <x:c r="E9" s="157" t="str">
        <x:v>OPEN</x:v>
      </x:c>
      <x:c r="F9" s="157" t="str">
        <x:v>Payments</x:v>
      </x:c>
      <x:c r="G9" s="157" t="str">
        <x:v>2026-08-01</x:v>
      </x:c>
      <x:c r="H9" s="157" t="str">
        <x:v>Négocier PSP</x:v>
      </x:c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  <x:c r="AA9" s="161"/>
      <x:c r="AB9" s="161"/>
      <x:c r="AC9" s="161"/>
      <x:c r="AD9" s="161"/>
      <x:c r="AE9" s="161"/>
      <x:c r="AF9" s="161"/>
      <x:c r="AG9" s="161"/>
      <x:c r="AH9" s="161"/>
      <x:c r="AI9" s="161"/>
      <x:c r="AJ9" s="161"/>
      <x:c r="AK9" s="161"/>
      <x:c r="AL9" s="161"/>
      <x:c r="AM9" s="161"/>
      <x:c r="AN9" s="161"/>
      <x:c r="AO9" s="161"/>
      <x:c r="AP9" s="161"/>
      <x:c r="AQ9" s="161"/>
      <x:c r="AR9" s="161"/>
      <x:c r="AS9" s="161"/>
      <x:c r="AT9" s="161"/>
      <x:c r="AU9" s="161"/>
      <x:c r="AV9" s="161"/>
      <x:c r="AW9" s="161"/>
      <x:c r="AX9" s="161"/>
      <x:c r="AY9" s="161"/>
      <x:c r="AZ9" s="161"/>
    </x:row>
    <x:row r="10" ht="15" hidden="0" customHeight="1">
      <x:c r="A10" s="157" t="str">
        <x:v>AS-006</x:v>
      </x:c>
      <x:c r="B10" s="157" t="str">
        <x:v>CAC</x:v>
      </x:c>
      <x:c r="C10" s="412" t="n">
        <x:f>'Hypothèses'!B16</x:f>
        <x:v>4500</x:v>
      </x:c>
      <x:c r="D10" s="157" t="str">
        <x:v>Management</x:v>
      </x:c>
      <x:c r="E10" s="157" t="str">
        <x:v>À calibrer</x:v>
      </x:c>
      <x:c r="F10" s="157" t="str">
        <x:v>Growth</x:v>
      </x:c>
      <x:c r="G10" s="157" t="str">
        <x:v>2026-08-01</x:v>
      </x:c>
      <x:c r="H10" s="157" t="str">
        <x:v>Tester acquisition</x:v>
      </x:c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  <x:c r="AA10" s="161"/>
      <x:c r="AB10" s="161"/>
      <x:c r="AC10" s="161"/>
      <x:c r="AD10" s="161"/>
      <x:c r="AE10" s="161"/>
      <x:c r="AF10" s="161"/>
      <x:c r="AG10" s="161"/>
      <x:c r="AH10" s="161"/>
      <x:c r="AI10" s="161"/>
      <x:c r="AJ10" s="161"/>
      <x:c r="AK10" s="161"/>
      <x:c r="AL10" s="161"/>
      <x:c r="AM10" s="161"/>
      <x:c r="AN10" s="161"/>
      <x:c r="AO10" s="161"/>
      <x:c r="AP10" s="161"/>
      <x:c r="AQ10" s="161"/>
      <x:c r="AR10" s="161"/>
      <x:c r="AS10" s="161"/>
      <x:c r="AT10" s="161"/>
      <x:c r="AU10" s="161"/>
      <x:c r="AV10" s="161"/>
      <x:c r="AW10" s="161"/>
      <x:c r="AX10" s="161"/>
      <x:c r="AY10" s="161"/>
      <x:c r="AZ10" s="161"/>
    </x:row>
    <x:row r="11" ht="15" hidden="0" customHeight="1">
      <x:c r="A11" s="157" t="str">
        <x:v>AS-007</x:v>
      </x:c>
      <x:c r="B11" s="157" t="str">
        <x:v>Coût KYC</x:v>
      </x:c>
      <x:c r="C11" s="412" t="n">
        <x:f>'Hypothèses'!B18</x:f>
        <x:v>2000</x:v>
      </x:c>
      <x:c r="D11" s="157" t="str">
        <x:v>Aucun devis</x:v>
      </x:c>
      <x:c r="E11" s="157" t="str">
        <x:v>OPEN</x:v>
      </x:c>
      <x:c r="F11" s="157" t="str">
        <x:v>Operations</x:v>
      </x:c>
      <x:c r="G11" s="157" t="str">
        <x:v>2026-08-01</x:v>
      </x:c>
      <x:c r="H11" s="157" t="str">
        <x:v>Choisir fournisseur</x:v>
      </x:c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  <x:c r="AA11" s="161"/>
      <x:c r="AB11" s="161"/>
      <x:c r="AC11" s="161"/>
      <x:c r="AD11" s="161"/>
      <x:c r="AE11" s="161"/>
      <x:c r="AF11" s="161"/>
      <x:c r="AG11" s="161"/>
      <x:c r="AH11" s="161"/>
      <x:c r="AI11" s="161"/>
      <x:c r="AJ11" s="161"/>
      <x:c r="AK11" s="161"/>
      <x:c r="AL11" s="161"/>
      <x:c r="AM11" s="161"/>
      <x:c r="AN11" s="161"/>
      <x:c r="AO11" s="161"/>
      <x:c r="AP11" s="161"/>
      <x:c r="AQ11" s="161"/>
      <x:c r="AR11" s="161"/>
      <x:c r="AS11" s="161"/>
      <x:c r="AT11" s="161"/>
      <x:c r="AU11" s="161"/>
      <x:c r="AV11" s="161"/>
      <x:c r="AW11" s="161"/>
      <x:c r="AX11" s="161"/>
      <x:c r="AY11" s="161"/>
      <x:c r="AZ11" s="161"/>
    </x:row>
    <x:row r="12" ht="15" hidden="0" customHeight="1">
      <x:c r="A12" s="157" t="str">
        <x:v>AS-008</x:v>
      </x:c>
      <x:c r="B12" s="157" t="str">
        <x:v>Frais payout</x:v>
      </x:c>
      <x:c r="C12" s="412" t="n">
        <x:f>'Hypothèses'!B19</x:f>
        <x:v>0.02</x:v>
      </x:c>
      <x:c r="D12" s="157" t="str">
        <x:v>Aucun devis</x:v>
      </x:c>
      <x:c r="E12" s="157" t="str">
        <x:v>OPEN</x:v>
      </x:c>
      <x:c r="F12" s="157" t="str">
        <x:v>Payments</x:v>
      </x:c>
      <x:c r="G12" s="157" t="str">
        <x:v>2026-08-01</x:v>
      </x:c>
      <x:c r="H12" s="157" t="str">
        <x:v>Choisir rails</x:v>
      </x:c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  <x:c r="AA12" s="161"/>
      <x:c r="AB12" s="161"/>
      <x:c r="AC12" s="161"/>
      <x:c r="AD12" s="161"/>
      <x:c r="AE12" s="161"/>
      <x:c r="AF12" s="161"/>
      <x:c r="AG12" s="161"/>
      <x:c r="AH12" s="161"/>
      <x:c r="AI12" s="161"/>
      <x:c r="AJ12" s="161"/>
      <x:c r="AK12" s="161"/>
      <x:c r="AL12" s="161"/>
      <x:c r="AM12" s="161"/>
      <x:c r="AN12" s="161"/>
      <x:c r="AO12" s="161"/>
      <x:c r="AP12" s="161"/>
      <x:c r="AQ12" s="161"/>
      <x:c r="AR12" s="161"/>
      <x:c r="AS12" s="161"/>
      <x:c r="AT12" s="161"/>
      <x:c r="AU12" s="161"/>
      <x:c r="AV12" s="161"/>
      <x:c r="AW12" s="161"/>
      <x:c r="AX12" s="161"/>
      <x:c r="AY12" s="161"/>
      <x:c r="AZ12" s="161"/>
    </x:row>
    <x:row r="13" ht="15" hidden="0" customHeight="1">
      <x:c r="A13" s="157" t="str">
        <x:v>AS-009</x:v>
      </x:c>
      <x:c r="B13" s="157" t="str">
        <x:v>Provision fiscale</x:v>
      </x:c>
      <x:c r="C13" s="407" t="n">
        <x:f>'Hypothèses'!B25</x:f>
        <x:v>0</x:v>
      </x:c>
      <x:c r="D13" s="157" t="str">
        <x:v>Non validé</x:v>
      </x:c>
      <x:c r="E13" s="157" t="str">
        <x:v>OPEN</x:v>
      </x:c>
      <x:c r="F13" s="157" t="str">
        <x:v>Legal/Finance</x:v>
      </x:c>
      <x:c r="G13" s="157" t="str">
        <x:v>2026-08-01</x:v>
      </x:c>
      <x:c r="H13" s="157" t="str">
        <x:v>Conseil fiscal</x:v>
      </x:c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  <x:c r="AA13" s="161"/>
      <x:c r="AB13" s="161"/>
      <x:c r="AC13" s="161"/>
      <x:c r="AD13" s="161"/>
      <x:c r="AE13" s="161"/>
      <x:c r="AF13" s="161"/>
      <x:c r="AG13" s="161"/>
      <x:c r="AH13" s="161"/>
      <x:c r="AI13" s="161"/>
      <x:c r="AJ13" s="161"/>
      <x:c r="AK13" s="161"/>
      <x:c r="AL13" s="161"/>
      <x:c r="AM13" s="161"/>
      <x:c r="AN13" s="161"/>
      <x:c r="AO13" s="161"/>
      <x:c r="AP13" s="161"/>
      <x:c r="AQ13" s="161"/>
      <x:c r="AR13" s="161"/>
      <x:c r="AS13" s="161"/>
      <x:c r="AT13" s="161"/>
      <x:c r="AU13" s="161"/>
      <x:c r="AV13" s="161"/>
      <x:c r="AW13" s="161"/>
      <x:c r="AX13" s="161"/>
      <x:c r="AY13" s="161"/>
      <x:c r="AZ13" s="161"/>
    </x:row>
    <x:row r="14" ht="15" hidden="0" customHeight="1">
      <x:c r="A14" s="157" t="str">
        <x:v>AS-010</x:v>
      </x:c>
      <x:c r="B14" s="157" t="str">
        <x:v>FX FCFA/USD</x:v>
      </x:c>
      <x:c r="C14" s="412" t="n">
        <x:f>'Hypothèses'!B35</x:f>
        <x:v>600</x:v>
      </x:c>
      <x:c r="D14" s="157" t="str">
        <x:v>Hypothèse arrondie</x:v>
      </x:c>
      <x:c r="E14" s="157" t="str">
        <x:v>À actualiser</x:v>
      </x:c>
      <x:c r="F14" s="157" t="str">
        <x:v>Finance</x:v>
      </x:c>
      <x:c r="G14" s="157" t="str">
        <x:v>2026-08-01</x:v>
      </x:c>
      <x:c r="H14" s="157" t="str">
        <x:v>Fixer source et méthode</x:v>
      </x:c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  <x:c r="AA14" s="161"/>
      <x:c r="AB14" s="161"/>
      <x:c r="AC14" s="161"/>
      <x:c r="AD14" s="161"/>
      <x:c r="AE14" s="161"/>
      <x:c r="AF14" s="161"/>
      <x:c r="AG14" s="161"/>
      <x:c r="AH14" s="161"/>
      <x:c r="AI14" s="161"/>
      <x:c r="AJ14" s="161"/>
      <x:c r="AK14" s="161"/>
      <x:c r="AL14" s="161"/>
      <x:c r="AM14" s="161"/>
      <x:c r="AN14" s="161"/>
      <x:c r="AO14" s="161"/>
      <x:c r="AP14" s="161"/>
      <x:c r="AQ14" s="161"/>
      <x:c r="AR14" s="161"/>
      <x:c r="AS14" s="161"/>
      <x:c r="AT14" s="161"/>
      <x:c r="AU14" s="161"/>
      <x:c r="AV14" s="161"/>
      <x:c r="AW14" s="161"/>
      <x:c r="AX14" s="161"/>
      <x:c r="AY14" s="161"/>
      <x:c r="AZ14" s="161"/>
    </x:row>
    <x:row r="15" ht="15" hidden="0" customHeight="1">
      <x:c r="A15" s="157"/>
      <x:c r="B15" s="157"/>
      <x:c r="C15" s="157"/>
      <x:c r="D15" s="157"/>
      <x:c r="E15" s="157"/>
      <x:c r="F15" s="157"/>
      <x:c r="G15" s="157"/>
      <x:c r="H15" s="157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  <x:c r="AA15" s="161"/>
      <x:c r="AB15" s="161"/>
      <x:c r="AC15" s="161"/>
      <x:c r="AD15" s="161"/>
      <x:c r="AE15" s="161"/>
      <x:c r="AF15" s="161"/>
      <x:c r="AG15" s="161"/>
      <x:c r="AH15" s="161"/>
      <x:c r="AI15" s="161"/>
      <x:c r="AJ15" s="161"/>
      <x:c r="AK15" s="161"/>
      <x:c r="AL15" s="161"/>
      <x:c r="AM15" s="161"/>
      <x:c r="AN15" s="161"/>
      <x:c r="AO15" s="161"/>
      <x:c r="AP15" s="161"/>
      <x:c r="AQ15" s="161"/>
      <x:c r="AR15" s="161"/>
      <x:c r="AS15" s="161"/>
      <x:c r="AT15" s="161"/>
      <x:c r="AU15" s="161"/>
      <x:c r="AV15" s="161"/>
      <x:c r="AW15" s="161"/>
      <x:c r="AX15" s="161"/>
      <x:c r="AY15" s="161"/>
      <x:c r="AZ15" s="161"/>
    </x:row>
    <x:row r="16" ht="15" hidden="0" customHeight="1">
      <x:c r="A16" s="157"/>
      <x:c r="B16" s="157"/>
      <x:c r="C16" s="157"/>
      <x:c r="D16" s="157"/>
      <x:c r="E16" s="157"/>
      <x:c r="F16" s="157"/>
      <x:c r="G16" s="157"/>
      <x:c r="H16" s="157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  <x:c r="AA16" s="161"/>
      <x:c r="AB16" s="161"/>
      <x:c r="AC16" s="161"/>
      <x:c r="AD16" s="161"/>
      <x:c r="AE16" s="161"/>
      <x:c r="AF16" s="161"/>
      <x:c r="AG16" s="161"/>
      <x:c r="AH16" s="161"/>
      <x:c r="AI16" s="161"/>
      <x:c r="AJ16" s="161"/>
      <x:c r="AK16" s="161"/>
      <x:c r="AL16" s="161"/>
      <x:c r="AM16" s="161"/>
      <x:c r="AN16" s="161"/>
      <x:c r="AO16" s="161"/>
      <x:c r="AP16" s="161"/>
      <x:c r="AQ16" s="161"/>
      <x:c r="AR16" s="161"/>
      <x:c r="AS16" s="161"/>
      <x:c r="AT16" s="161"/>
      <x:c r="AU16" s="161"/>
      <x:c r="AV16" s="161"/>
      <x:c r="AW16" s="161"/>
      <x:c r="AX16" s="161"/>
      <x:c r="AY16" s="161"/>
      <x:c r="AZ16" s="161"/>
    </x:row>
    <x:row r="17" ht="15" hidden="0" customHeight="1">
      <x:c r="A17" s="157"/>
      <x:c r="B17" s="157"/>
      <x:c r="C17" s="157"/>
      <x:c r="D17" s="157"/>
      <x:c r="E17" s="157"/>
      <x:c r="F17" s="157"/>
      <x:c r="G17" s="157"/>
      <x:c r="H17" s="157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  <x:c r="AA17" s="161"/>
      <x:c r="AB17" s="161"/>
      <x:c r="AC17" s="161"/>
      <x:c r="AD17" s="161"/>
      <x:c r="AE17" s="161"/>
      <x:c r="AF17" s="161"/>
      <x:c r="AG17" s="161"/>
      <x:c r="AH17" s="161"/>
      <x:c r="AI17" s="161"/>
      <x:c r="AJ17" s="161"/>
      <x:c r="AK17" s="161"/>
      <x:c r="AL17" s="161"/>
      <x:c r="AM17" s="161"/>
      <x:c r="AN17" s="161"/>
      <x:c r="AO17" s="161"/>
      <x:c r="AP17" s="161"/>
      <x:c r="AQ17" s="161"/>
      <x:c r="AR17" s="161"/>
      <x:c r="AS17" s="161"/>
      <x:c r="AT17" s="161"/>
      <x:c r="AU17" s="161"/>
      <x:c r="AV17" s="161"/>
      <x:c r="AW17" s="161"/>
      <x:c r="AX17" s="161"/>
      <x:c r="AY17" s="161"/>
      <x:c r="AZ17" s="161"/>
    </x:row>
    <x:row r="18" ht="15" hidden="0" customHeight="1">
      <x:c r="A18" s="157"/>
      <x:c r="B18" s="157"/>
      <x:c r="C18" s="157"/>
      <x:c r="D18" s="157"/>
      <x:c r="E18" s="157"/>
      <x:c r="F18" s="157"/>
      <x:c r="G18" s="157"/>
      <x:c r="H18" s="157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  <x:c r="AA18" s="161"/>
      <x:c r="AB18" s="161"/>
      <x:c r="AC18" s="161"/>
      <x:c r="AD18" s="161"/>
      <x:c r="AE18" s="161"/>
      <x:c r="AF18" s="161"/>
      <x:c r="AG18" s="161"/>
      <x:c r="AH18" s="161"/>
      <x:c r="AI18" s="161"/>
      <x:c r="AJ18" s="161"/>
      <x:c r="AK18" s="161"/>
      <x:c r="AL18" s="161"/>
      <x:c r="AM18" s="161"/>
      <x:c r="AN18" s="161"/>
      <x:c r="AO18" s="161"/>
      <x:c r="AP18" s="161"/>
      <x:c r="AQ18" s="161"/>
      <x:c r="AR18" s="161"/>
      <x:c r="AS18" s="161"/>
      <x:c r="AT18" s="161"/>
      <x:c r="AU18" s="161"/>
      <x:c r="AV18" s="161"/>
      <x:c r="AW18" s="161"/>
      <x:c r="AX18" s="161"/>
      <x:c r="AY18" s="161"/>
      <x:c r="AZ18" s="161"/>
    </x:row>
    <x:row r="19" ht="15" hidden="0" customHeight="1">
      <x:c r="A19" s="157"/>
      <x:c r="B19" s="157"/>
      <x:c r="C19" s="157"/>
      <x:c r="D19" s="157"/>
      <x:c r="E19" s="157"/>
      <x:c r="F19" s="157"/>
      <x:c r="G19" s="157"/>
      <x:c r="H19" s="157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  <x:c r="AA19" s="161"/>
      <x:c r="AB19" s="161"/>
      <x:c r="AC19" s="161"/>
      <x:c r="AD19" s="161"/>
      <x:c r="AE19" s="161"/>
      <x:c r="AF19" s="161"/>
      <x:c r="AG19" s="161"/>
      <x:c r="AH19" s="161"/>
      <x:c r="AI19" s="161"/>
      <x:c r="AJ19" s="161"/>
      <x:c r="AK19" s="161"/>
      <x:c r="AL19" s="161"/>
      <x:c r="AM19" s="161"/>
      <x:c r="AN19" s="161"/>
      <x:c r="AO19" s="161"/>
      <x:c r="AP19" s="161"/>
      <x:c r="AQ19" s="161"/>
      <x:c r="AR19" s="161"/>
      <x:c r="AS19" s="161"/>
      <x:c r="AT19" s="161"/>
      <x:c r="AU19" s="161"/>
      <x:c r="AV19" s="161"/>
      <x:c r="AW19" s="161"/>
      <x:c r="AX19" s="161"/>
      <x:c r="AY19" s="161"/>
      <x:c r="AZ19" s="161"/>
    </x:row>
    <x:row r="20" ht="15" hidden="0" customHeight="1">
      <x:c r="A20" s="157"/>
      <x:c r="B20" s="157"/>
      <x:c r="C20" s="157"/>
      <x:c r="D20" s="157"/>
      <x:c r="E20" s="157"/>
      <x:c r="F20" s="157"/>
      <x:c r="G20" s="157"/>
      <x:c r="H20" s="157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  <x:c r="AA20" s="161"/>
      <x:c r="AB20" s="161"/>
      <x:c r="AC20" s="161"/>
      <x:c r="AD20" s="161"/>
      <x:c r="AE20" s="161"/>
      <x:c r="AF20" s="161"/>
      <x:c r="AG20" s="161"/>
      <x:c r="AH20" s="161"/>
      <x:c r="AI20" s="161"/>
      <x:c r="AJ20" s="161"/>
      <x:c r="AK20" s="161"/>
      <x:c r="AL20" s="161"/>
      <x:c r="AM20" s="161"/>
      <x:c r="AN20" s="161"/>
      <x:c r="AO20" s="161"/>
      <x:c r="AP20" s="161"/>
      <x:c r="AQ20" s="161"/>
      <x:c r="AR20" s="161"/>
      <x:c r="AS20" s="161"/>
      <x:c r="AT20" s="161"/>
      <x:c r="AU20" s="161"/>
      <x:c r="AV20" s="161"/>
      <x:c r="AW20" s="161"/>
      <x:c r="AX20" s="161"/>
      <x:c r="AY20" s="161"/>
      <x:c r="AZ20" s="161"/>
    </x:row>
    <x:row r="21" ht="15" hidden="0" customHeight="1">
      <x:c r="A21" s="161"/>
      <x:c r="B21" s="161"/>
      <x:c r="C21" s="161"/>
      <x:c r="D21" s="161"/>
      <x:c r="E21" s="161"/>
      <x:c r="F21" s="161"/>
      <x:c r="G21" s="161"/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  <x:c r="AA21" s="161"/>
      <x:c r="AB21" s="161"/>
      <x:c r="AC21" s="161"/>
      <x:c r="AD21" s="161"/>
      <x:c r="AE21" s="161"/>
      <x:c r="AF21" s="161"/>
      <x:c r="AG21" s="161"/>
      <x:c r="AH21" s="161"/>
      <x:c r="AI21" s="161"/>
      <x:c r="AJ21" s="161"/>
      <x:c r="AK21" s="161"/>
      <x:c r="AL21" s="161"/>
      <x:c r="AM21" s="161"/>
      <x:c r="AN21" s="161"/>
      <x:c r="AO21" s="161"/>
      <x:c r="AP21" s="161"/>
      <x:c r="AQ21" s="161"/>
      <x:c r="AR21" s="161"/>
      <x:c r="AS21" s="161"/>
      <x:c r="AT21" s="161"/>
      <x:c r="AU21" s="161"/>
      <x:c r="AV21" s="161"/>
      <x:c r="AW21" s="161"/>
      <x:c r="AX21" s="161"/>
      <x:c r="AY21" s="161"/>
      <x:c r="AZ21" s="161"/>
    </x:row>
    <x:row r="22" ht="15" hidden="0" customHeight="1">
      <x:c r="A22" s="161"/>
      <x:c r="B22" s="161"/>
      <x:c r="C22" s="161"/>
      <x:c r="D22" s="161"/>
      <x:c r="E22" s="161"/>
      <x:c r="F22" s="161"/>
      <x:c r="G22" s="161"/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  <x:c r="AA22" s="161"/>
      <x:c r="AB22" s="161"/>
      <x:c r="AC22" s="161"/>
      <x:c r="AD22" s="161"/>
      <x:c r="AE22" s="161"/>
      <x:c r="AF22" s="161"/>
      <x:c r="AG22" s="161"/>
      <x:c r="AH22" s="161"/>
      <x:c r="AI22" s="161"/>
      <x:c r="AJ22" s="161"/>
      <x:c r="AK22" s="161"/>
      <x:c r="AL22" s="161"/>
      <x:c r="AM22" s="161"/>
      <x:c r="AN22" s="161"/>
      <x:c r="AO22" s="161"/>
      <x:c r="AP22" s="161"/>
      <x:c r="AQ22" s="161"/>
      <x:c r="AR22" s="161"/>
      <x:c r="AS22" s="161"/>
      <x:c r="AT22" s="161"/>
      <x:c r="AU22" s="161"/>
      <x:c r="AV22" s="161"/>
      <x:c r="AW22" s="161"/>
      <x:c r="AX22" s="161"/>
      <x:c r="AY22" s="161"/>
      <x:c r="AZ22" s="161"/>
    </x:row>
    <x:row r="23" ht="15" hidden="0" customHeight="1">
      <x:c r="A23" s="161"/>
      <x:c r="B23" s="161"/>
      <x:c r="C23" s="161"/>
      <x:c r="D23" s="161"/>
      <x:c r="E23" s="161"/>
      <x:c r="F23" s="161"/>
      <x:c r="G23" s="161"/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  <x:c r="AA23" s="161"/>
      <x:c r="AB23" s="161"/>
      <x:c r="AC23" s="161"/>
      <x:c r="AD23" s="161"/>
      <x:c r="AE23" s="161"/>
      <x:c r="AF23" s="161"/>
      <x:c r="AG23" s="161"/>
      <x:c r="AH23" s="161"/>
      <x:c r="AI23" s="161"/>
      <x:c r="AJ23" s="161"/>
      <x:c r="AK23" s="161"/>
      <x:c r="AL23" s="161"/>
      <x:c r="AM23" s="161"/>
      <x:c r="AN23" s="161"/>
      <x:c r="AO23" s="161"/>
      <x:c r="AP23" s="161"/>
      <x:c r="AQ23" s="161"/>
      <x:c r="AR23" s="161"/>
      <x:c r="AS23" s="161"/>
      <x:c r="AT23" s="161"/>
      <x:c r="AU23" s="161"/>
      <x:c r="AV23" s="161"/>
      <x:c r="AW23" s="161"/>
      <x:c r="AX23" s="161"/>
      <x:c r="AY23" s="161"/>
      <x:c r="AZ23" s="161"/>
    </x:row>
    <x:row r="24" ht="15" hidden="0" customHeight="1">
      <x:c r="A24" s="161"/>
      <x:c r="B24" s="161"/>
      <x:c r="C24" s="161"/>
      <x:c r="D24" s="161"/>
      <x:c r="E24" s="161"/>
      <x:c r="F24" s="161"/>
      <x:c r="G24" s="161"/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  <x:c r="AA24" s="161"/>
      <x:c r="AB24" s="161"/>
      <x:c r="AC24" s="161"/>
      <x:c r="AD24" s="161"/>
      <x:c r="AE24" s="161"/>
      <x:c r="AF24" s="161"/>
      <x:c r="AG24" s="161"/>
      <x:c r="AH24" s="161"/>
      <x:c r="AI24" s="161"/>
      <x:c r="AJ24" s="161"/>
      <x:c r="AK24" s="161"/>
      <x:c r="AL24" s="161"/>
      <x:c r="AM24" s="161"/>
      <x:c r="AN24" s="161"/>
      <x:c r="AO24" s="161"/>
      <x:c r="AP24" s="161"/>
      <x:c r="AQ24" s="161"/>
      <x:c r="AR24" s="161"/>
      <x:c r="AS24" s="161"/>
      <x:c r="AT24" s="161"/>
      <x:c r="AU24" s="161"/>
      <x:c r="AV24" s="161"/>
      <x:c r="AW24" s="161"/>
      <x:c r="AX24" s="161"/>
      <x:c r="AY24" s="161"/>
      <x:c r="AZ24" s="161"/>
    </x:row>
    <x:row r="25" ht="15" hidden="0" customHeight="1">
      <x:c r="A25" s="161"/>
      <x:c r="B25" s="161"/>
      <x:c r="C25" s="161"/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  <x:c r="AA25" s="161"/>
      <x:c r="AB25" s="161"/>
      <x:c r="AC25" s="161"/>
      <x:c r="AD25" s="161"/>
      <x:c r="AE25" s="161"/>
      <x:c r="AF25" s="161"/>
      <x:c r="AG25" s="161"/>
      <x:c r="AH25" s="161"/>
      <x:c r="AI25" s="161"/>
      <x:c r="AJ25" s="161"/>
      <x:c r="AK25" s="161"/>
      <x:c r="AL25" s="161"/>
      <x:c r="AM25" s="161"/>
      <x:c r="AN25" s="161"/>
      <x:c r="AO25" s="161"/>
      <x:c r="AP25" s="161"/>
      <x:c r="AQ25" s="161"/>
      <x:c r="AR25" s="161"/>
      <x:c r="AS25" s="161"/>
      <x:c r="AT25" s="161"/>
      <x:c r="AU25" s="161"/>
      <x:c r="AV25" s="161"/>
      <x:c r="AW25" s="161"/>
      <x:c r="AX25" s="161"/>
      <x:c r="AY25" s="161"/>
      <x:c r="AZ25" s="161"/>
    </x:row>
    <x:row r="26" ht="15" hidden="0" customHeight="1">
      <x:c r="A26" s="161"/>
      <x:c r="B26" s="161"/>
      <x:c r="C26" s="161"/>
      <x:c r="D26" s="161"/>
      <x:c r="E26" s="161"/>
      <x:c r="F26" s="161"/>
      <x:c r="G26" s="161"/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  <x:c r="AA26" s="161"/>
      <x:c r="AB26" s="161"/>
      <x:c r="AC26" s="161"/>
      <x:c r="AD26" s="161"/>
      <x:c r="AE26" s="161"/>
      <x:c r="AF26" s="161"/>
      <x:c r="AG26" s="161"/>
      <x:c r="AH26" s="161"/>
      <x:c r="AI26" s="161"/>
      <x:c r="AJ26" s="161"/>
      <x:c r="AK26" s="161"/>
      <x:c r="AL26" s="161"/>
      <x:c r="AM26" s="161"/>
      <x:c r="AN26" s="161"/>
      <x:c r="AO26" s="161"/>
      <x:c r="AP26" s="161"/>
      <x:c r="AQ26" s="161"/>
      <x:c r="AR26" s="161"/>
      <x:c r="AS26" s="161"/>
      <x:c r="AT26" s="161"/>
      <x:c r="AU26" s="161"/>
      <x:c r="AV26" s="161"/>
      <x:c r="AW26" s="161"/>
      <x:c r="AX26" s="161"/>
      <x:c r="AY26" s="161"/>
      <x:c r="AZ26" s="161"/>
    </x:row>
    <x:row r="27" ht="15" hidden="0" customHeight="1">
      <x:c r="A27" s="161"/>
      <x:c r="B27" s="161"/>
      <x:c r="C27" s="161"/>
      <x:c r="D27" s="161"/>
      <x:c r="E27" s="161"/>
      <x:c r="F27" s="161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  <x:c r="AA27" s="161"/>
      <x:c r="AB27" s="161"/>
      <x:c r="AC27" s="161"/>
      <x:c r="AD27" s="161"/>
      <x:c r="AE27" s="161"/>
      <x:c r="AF27" s="161"/>
      <x:c r="AG27" s="161"/>
      <x:c r="AH27" s="161"/>
      <x:c r="AI27" s="161"/>
      <x:c r="AJ27" s="161"/>
      <x:c r="AK27" s="161"/>
      <x:c r="AL27" s="161"/>
      <x:c r="AM27" s="161"/>
      <x:c r="AN27" s="161"/>
      <x:c r="AO27" s="161"/>
      <x:c r="AP27" s="161"/>
      <x:c r="AQ27" s="161"/>
      <x:c r="AR27" s="161"/>
      <x:c r="AS27" s="161"/>
      <x:c r="AT27" s="161"/>
      <x:c r="AU27" s="161"/>
      <x:c r="AV27" s="161"/>
      <x:c r="AW27" s="161"/>
      <x:c r="AX27" s="161"/>
      <x:c r="AY27" s="161"/>
      <x:c r="AZ27" s="161"/>
    </x:row>
    <x:row r="28" ht="15" hidden="0" customHeight="1">
      <x:c r="A28" s="161"/>
      <x:c r="B28" s="161"/>
      <x:c r="C28" s="161"/>
      <x:c r="D28" s="161"/>
      <x:c r="E28" s="161"/>
      <x:c r="F28" s="161"/>
      <x:c r="G28" s="161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1"/>
      <x:c r="AJ28" s="161"/>
      <x:c r="AK28" s="161"/>
      <x:c r="AL28" s="161"/>
      <x:c r="AM28" s="161"/>
      <x:c r="AN28" s="161"/>
      <x:c r="AO28" s="161"/>
      <x:c r="AP28" s="161"/>
      <x:c r="AQ28" s="161"/>
      <x:c r="AR28" s="161"/>
      <x:c r="AS28" s="161"/>
      <x:c r="AT28" s="161"/>
      <x:c r="AU28" s="161"/>
      <x:c r="AV28" s="161"/>
      <x:c r="AW28" s="161"/>
      <x:c r="AX28" s="161"/>
      <x:c r="AY28" s="161"/>
      <x:c r="AZ28" s="161"/>
    </x:row>
    <x:row r="29" ht="15" hidden="0" customHeight="1">
      <x:c r="A29" s="161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  <x:c r="AA29" s="161"/>
      <x:c r="AB29" s="161"/>
      <x:c r="AC29" s="161"/>
      <x:c r="AD29" s="161"/>
      <x:c r="AE29" s="161"/>
      <x:c r="AF29" s="161"/>
      <x:c r="AG29" s="161"/>
      <x:c r="AH29" s="161"/>
      <x:c r="AI29" s="161"/>
      <x:c r="AJ29" s="161"/>
      <x:c r="AK29" s="161"/>
      <x:c r="AL29" s="161"/>
      <x:c r="AM29" s="161"/>
      <x:c r="AN29" s="161"/>
      <x:c r="AO29" s="161"/>
      <x:c r="AP29" s="161"/>
      <x:c r="AQ29" s="161"/>
      <x:c r="AR29" s="161"/>
      <x:c r="AS29" s="161"/>
      <x:c r="AT29" s="161"/>
      <x:c r="AU29" s="161"/>
      <x:c r="AV29" s="161"/>
      <x:c r="AW29" s="161"/>
      <x:c r="AX29" s="161"/>
      <x:c r="AY29" s="161"/>
      <x:c r="AZ29" s="161"/>
    </x:row>
    <x:row r="30" ht="15" hidden="0" customHeight="1">
      <x:c r="A30" s="161"/>
      <x:c r="B30" s="161"/>
      <x:c r="C30" s="161"/>
      <x:c r="D30" s="161"/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  <x:c r="AA30" s="161"/>
      <x:c r="AB30" s="161"/>
      <x:c r="AC30" s="161"/>
      <x:c r="AD30" s="161"/>
      <x:c r="AE30" s="161"/>
      <x:c r="AF30" s="161"/>
      <x:c r="AG30" s="161"/>
      <x:c r="AH30" s="161"/>
      <x:c r="AI30" s="161"/>
      <x:c r="AJ30" s="161"/>
      <x:c r="AK30" s="161"/>
      <x:c r="AL30" s="161"/>
      <x:c r="AM30" s="161"/>
      <x:c r="AN30" s="161"/>
      <x:c r="AO30" s="161"/>
      <x:c r="AP30" s="161"/>
      <x:c r="AQ30" s="161"/>
      <x:c r="AR30" s="161"/>
      <x:c r="AS30" s="161"/>
      <x:c r="AT30" s="161"/>
      <x:c r="AU30" s="161"/>
      <x:c r="AV30" s="161"/>
      <x:c r="AW30" s="161"/>
      <x:c r="AX30" s="161"/>
      <x:c r="AY30" s="161"/>
      <x:c r="AZ30" s="161"/>
    </x:row>
    <x:row r="31" ht="15" hidden="0" customHeight="1">
      <x:c r="A31" s="161"/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  <x:c r="AA31" s="161"/>
      <x:c r="AB31" s="161"/>
      <x:c r="AC31" s="161"/>
      <x:c r="AD31" s="161"/>
      <x:c r="AE31" s="161"/>
      <x:c r="AF31" s="161"/>
      <x:c r="AG31" s="161"/>
      <x:c r="AH31" s="161"/>
      <x:c r="AI31" s="161"/>
      <x:c r="AJ31" s="161"/>
      <x:c r="AK31" s="161"/>
      <x:c r="AL31" s="161"/>
      <x:c r="AM31" s="161"/>
      <x:c r="AN31" s="161"/>
      <x:c r="AO31" s="161"/>
      <x:c r="AP31" s="161"/>
      <x:c r="AQ31" s="161"/>
      <x:c r="AR31" s="161"/>
      <x:c r="AS31" s="161"/>
      <x:c r="AT31" s="161"/>
      <x:c r="AU31" s="161"/>
      <x:c r="AV31" s="161"/>
      <x:c r="AW31" s="161"/>
      <x:c r="AX31" s="161"/>
      <x:c r="AY31" s="161"/>
      <x:c r="AZ31" s="161"/>
    </x:row>
    <x:row r="32" ht="15" hidden="0" customHeight="1">
      <x:c r="A32" s="161"/>
      <x:c r="B32" s="161"/>
      <x:c r="C32" s="161"/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  <x:c r="AA32" s="161"/>
      <x:c r="AB32" s="161"/>
      <x:c r="AC32" s="161"/>
      <x:c r="AD32" s="161"/>
      <x:c r="AE32" s="161"/>
      <x:c r="AF32" s="161"/>
      <x:c r="AG32" s="161"/>
      <x:c r="AH32" s="161"/>
      <x:c r="AI32" s="161"/>
      <x:c r="AJ32" s="161"/>
      <x:c r="AK32" s="161"/>
      <x:c r="AL32" s="161"/>
      <x:c r="AM32" s="161"/>
      <x:c r="AN32" s="161"/>
      <x:c r="AO32" s="161"/>
      <x:c r="AP32" s="161"/>
      <x:c r="AQ32" s="161"/>
      <x:c r="AR32" s="161"/>
      <x:c r="AS32" s="161"/>
      <x:c r="AT32" s="161"/>
      <x:c r="AU32" s="161"/>
      <x:c r="AV32" s="161"/>
      <x:c r="AW32" s="161"/>
      <x:c r="AX32" s="161"/>
      <x:c r="AY32" s="161"/>
      <x:c r="AZ32" s="161"/>
    </x:row>
    <x:row r="33" ht="15" hidden="0" customHeight="1">
      <x:c r="A33" s="161"/>
      <x:c r="B33" s="161"/>
      <x:c r="C33" s="161"/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  <x:c r="AA33" s="161"/>
      <x:c r="AB33" s="161"/>
      <x:c r="AC33" s="161"/>
      <x:c r="AD33" s="161"/>
      <x:c r="AE33" s="161"/>
      <x:c r="AF33" s="161"/>
      <x:c r="AG33" s="161"/>
      <x:c r="AH33" s="161"/>
      <x:c r="AI33" s="161"/>
      <x:c r="AJ33" s="161"/>
      <x:c r="AK33" s="161"/>
      <x:c r="AL33" s="161"/>
      <x:c r="AM33" s="161"/>
      <x:c r="AN33" s="161"/>
      <x:c r="AO33" s="161"/>
      <x:c r="AP33" s="161"/>
      <x:c r="AQ33" s="161"/>
      <x:c r="AR33" s="161"/>
      <x:c r="AS33" s="161"/>
      <x:c r="AT33" s="161"/>
      <x:c r="AU33" s="161"/>
      <x:c r="AV33" s="161"/>
      <x:c r="AW33" s="161"/>
      <x:c r="AX33" s="161"/>
      <x:c r="AY33" s="161"/>
      <x:c r="AZ33" s="161"/>
    </x:row>
    <x:row r="34" ht="15" hidden="0" customHeight="1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  <x:c r="AA34" s="161"/>
      <x:c r="AB34" s="161"/>
      <x:c r="AC34" s="161"/>
      <x:c r="AD34" s="161"/>
      <x:c r="AE34" s="161"/>
      <x:c r="AF34" s="161"/>
      <x:c r="AG34" s="161"/>
      <x:c r="AH34" s="161"/>
      <x:c r="AI34" s="161"/>
      <x:c r="AJ34" s="161"/>
      <x:c r="AK34" s="161"/>
      <x:c r="AL34" s="161"/>
      <x:c r="AM34" s="161"/>
      <x:c r="AN34" s="161"/>
      <x:c r="AO34" s="161"/>
      <x:c r="AP34" s="161"/>
      <x:c r="AQ34" s="161"/>
      <x:c r="AR34" s="161"/>
      <x:c r="AS34" s="161"/>
      <x:c r="AT34" s="161"/>
      <x:c r="AU34" s="161"/>
      <x:c r="AV34" s="161"/>
      <x:c r="AW34" s="161"/>
      <x:c r="AX34" s="161"/>
      <x:c r="AY34" s="161"/>
      <x:c r="AZ34" s="161"/>
    </x:row>
    <x:row r="35" ht="15" hidden="0" customHeight="1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  <x:c r="AA35" s="161"/>
      <x:c r="AB35" s="161"/>
      <x:c r="AC35" s="161"/>
      <x:c r="AD35" s="161"/>
      <x:c r="AE35" s="161"/>
      <x:c r="AF35" s="161"/>
      <x:c r="AG35" s="161"/>
      <x:c r="AH35" s="161"/>
      <x:c r="AI35" s="161"/>
      <x:c r="AJ35" s="161"/>
      <x:c r="AK35" s="161"/>
      <x:c r="AL35" s="161"/>
      <x:c r="AM35" s="161"/>
      <x:c r="AN35" s="161"/>
      <x:c r="AO35" s="161"/>
      <x:c r="AP35" s="161"/>
      <x:c r="AQ35" s="161"/>
      <x:c r="AR35" s="161"/>
      <x:c r="AS35" s="161"/>
      <x:c r="AT35" s="161"/>
      <x:c r="AU35" s="161"/>
      <x:c r="AV35" s="161"/>
      <x:c r="AW35" s="161"/>
      <x:c r="AX35" s="161"/>
      <x:c r="AY35" s="161"/>
      <x:c r="AZ35" s="161"/>
    </x:row>
    <x:row r="36" ht="15" hidden="0" customHeight="1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  <x:c r="AA36" s="161"/>
      <x:c r="AB36" s="161"/>
      <x:c r="AC36" s="161"/>
      <x:c r="AD36" s="161"/>
      <x:c r="AE36" s="161"/>
      <x:c r="AF36" s="161"/>
      <x:c r="AG36" s="161"/>
      <x:c r="AH36" s="161"/>
      <x:c r="AI36" s="161"/>
      <x:c r="AJ36" s="161"/>
      <x:c r="AK36" s="161"/>
      <x:c r="AL36" s="161"/>
      <x:c r="AM36" s="161"/>
      <x:c r="AN36" s="161"/>
      <x:c r="AO36" s="161"/>
      <x:c r="AP36" s="161"/>
      <x:c r="AQ36" s="161"/>
      <x:c r="AR36" s="161"/>
      <x:c r="AS36" s="161"/>
      <x:c r="AT36" s="161"/>
      <x:c r="AU36" s="161"/>
      <x:c r="AV36" s="161"/>
      <x:c r="AW36" s="161"/>
      <x:c r="AX36" s="161"/>
      <x:c r="AY36" s="161"/>
      <x:c r="AZ36" s="161"/>
    </x:row>
    <x:row r="37" ht="15" hidden="0" customHeight="1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  <x:c r="AA37" s="161"/>
      <x:c r="AB37" s="161"/>
      <x:c r="AC37" s="161"/>
      <x:c r="AD37" s="161"/>
      <x:c r="AE37" s="161"/>
      <x:c r="AF37" s="161"/>
      <x:c r="AG37" s="161"/>
      <x:c r="AH37" s="161"/>
      <x:c r="AI37" s="161"/>
      <x:c r="AJ37" s="161"/>
      <x:c r="AK37" s="161"/>
      <x:c r="AL37" s="161"/>
      <x:c r="AM37" s="161"/>
      <x:c r="AN37" s="161"/>
      <x:c r="AO37" s="161"/>
      <x:c r="AP37" s="161"/>
      <x:c r="AQ37" s="161"/>
      <x:c r="AR37" s="161"/>
      <x:c r="AS37" s="161"/>
      <x:c r="AT37" s="161"/>
      <x:c r="AU37" s="161"/>
      <x:c r="AV37" s="161"/>
      <x:c r="AW37" s="161"/>
      <x:c r="AX37" s="161"/>
      <x:c r="AY37" s="161"/>
      <x:c r="AZ37" s="161"/>
    </x:row>
    <x:row r="38" ht="15" hidden="0" customHeight="1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  <x:c r="AA38" s="161"/>
      <x:c r="AB38" s="161"/>
      <x:c r="AC38" s="161"/>
      <x:c r="AD38" s="161"/>
      <x:c r="AE38" s="161"/>
      <x:c r="AF38" s="161"/>
      <x:c r="AG38" s="161"/>
      <x:c r="AH38" s="161"/>
      <x:c r="AI38" s="161"/>
      <x:c r="AJ38" s="161"/>
      <x:c r="AK38" s="161"/>
      <x:c r="AL38" s="161"/>
      <x:c r="AM38" s="161"/>
      <x:c r="AN38" s="161"/>
      <x:c r="AO38" s="161"/>
      <x:c r="AP38" s="161"/>
      <x:c r="AQ38" s="161"/>
      <x:c r="AR38" s="161"/>
      <x:c r="AS38" s="161"/>
      <x:c r="AT38" s="161"/>
      <x:c r="AU38" s="161"/>
      <x:c r="AV38" s="161"/>
      <x:c r="AW38" s="161"/>
      <x:c r="AX38" s="161"/>
      <x:c r="AY38" s="161"/>
      <x:c r="AZ38" s="161"/>
    </x:row>
    <x:row r="39" ht="15" hidden="0" customHeight="1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  <x:c r="AA39" s="161"/>
      <x:c r="AB39" s="161"/>
      <x:c r="AC39" s="161"/>
      <x:c r="AD39" s="161"/>
      <x:c r="AE39" s="161"/>
      <x:c r="AF39" s="161"/>
      <x:c r="AG39" s="161"/>
      <x:c r="AH39" s="161"/>
      <x:c r="AI39" s="161"/>
      <x:c r="AJ39" s="161"/>
      <x:c r="AK39" s="161"/>
      <x:c r="AL39" s="161"/>
      <x:c r="AM39" s="161"/>
      <x:c r="AN39" s="161"/>
      <x:c r="AO39" s="161"/>
      <x:c r="AP39" s="161"/>
      <x:c r="AQ39" s="161"/>
      <x:c r="AR39" s="161"/>
      <x:c r="AS39" s="161"/>
      <x:c r="AT39" s="161"/>
      <x:c r="AU39" s="161"/>
      <x:c r="AV39" s="161"/>
      <x:c r="AW39" s="161"/>
      <x:c r="AX39" s="161"/>
      <x:c r="AY39" s="161"/>
      <x:c r="AZ39" s="161"/>
    </x:row>
    <x:row r="40" ht="15" hidden="0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  <x:c r="AA40" s="161"/>
      <x:c r="AB40" s="161"/>
      <x:c r="AC40" s="161"/>
      <x:c r="AD40" s="161"/>
      <x:c r="AE40" s="161"/>
      <x:c r="AF40" s="161"/>
      <x:c r="AG40" s="161"/>
      <x:c r="AH40" s="161"/>
      <x:c r="AI40" s="161"/>
      <x:c r="AJ40" s="161"/>
      <x:c r="AK40" s="161"/>
      <x:c r="AL40" s="161"/>
      <x:c r="AM40" s="161"/>
      <x:c r="AN40" s="161"/>
      <x:c r="AO40" s="161"/>
      <x:c r="AP40" s="161"/>
      <x:c r="AQ40" s="161"/>
      <x:c r="AR40" s="161"/>
      <x:c r="AS40" s="161"/>
      <x:c r="AT40" s="161"/>
      <x:c r="AU40" s="161"/>
      <x:c r="AV40" s="161"/>
      <x:c r="AW40" s="161"/>
      <x:c r="AX40" s="161"/>
      <x:c r="AY40" s="161"/>
      <x:c r="AZ40" s="161"/>
    </x:row>
    <x:row r="41" ht="15" hidden="0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  <x:c r="AA41" s="161"/>
      <x:c r="AB41" s="161"/>
      <x:c r="AC41" s="161"/>
      <x:c r="AD41" s="161"/>
      <x:c r="AE41" s="161"/>
      <x:c r="AF41" s="161"/>
      <x:c r="AG41" s="161"/>
      <x:c r="AH41" s="161"/>
      <x:c r="AI41" s="161"/>
      <x:c r="AJ41" s="161"/>
      <x:c r="AK41" s="161"/>
      <x:c r="AL41" s="161"/>
      <x:c r="AM41" s="161"/>
      <x:c r="AN41" s="161"/>
      <x:c r="AO41" s="161"/>
      <x:c r="AP41" s="161"/>
      <x:c r="AQ41" s="161"/>
      <x:c r="AR41" s="161"/>
      <x:c r="AS41" s="161"/>
      <x:c r="AT41" s="161"/>
      <x:c r="AU41" s="161"/>
      <x:c r="AV41" s="161"/>
      <x:c r="AW41" s="161"/>
      <x:c r="AX41" s="161"/>
      <x:c r="AY41" s="161"/>
      <x:c r="AZ41" s="161"/>
    </x:row>
    <x:row r="42" ht="15" hidden="0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  <x:c r="AA42" s="161"/>
      <x:c r="AB42" s="161"/>
      <x:c r="AC42" s="161"/>
      <x:c r="AD42" s="161"/>
      <x:c r="AE42" s="161"/>
      <x:c r="AF42" s="161"/>
      <x:c r="AG42" s="161"/>
      <x:c r="AH42" s="161"/>
      <x:c r="AI42" s="161"/>
      <x:c r="AJ42" s="161"/>
      <x:c r="AK42" s="161"/>
      <x:c r="AL42" s="161"/>
      <x:c r="AM42" s="161"/>
      <x:c r="AN42" s="161"/>
      <x:c r="AO42" s="161"/>
      <x:c r="AP42" s="161"/>
      <x:c r="AQ42" s="161"/>
      <x:c r="AR42" s="161"/>
      <x:c r="AS42" s="161"/>
      <x:c r="AT42" s="161"/>
      <x:c r="AU42" s="161"/>
      <x:c r="AV42" s="161"/>
      <x:c r="AW42" s="161"/>
      <x:c r="AX42" s="161"/>
      <x:c r="AY42" s="161"/>
      <x:c r="AZ42" s="161"/>
    </x:row>
    <x:row r="43" ht="15" hidden="0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  <x:c r="AA43" s="161"/>
      <x:c r="AB43" s="161"/>
      <x:c r="AC43" s="161"/>
      <x:c r="AD43" s="161"/>
      <x:c r="AE43" s="161"/>
      <x:c r="AF43" s="161"/>
      <x:c r="AG43" s="161"/>
      <x:c r="AH43" s="161"/>
      <x:c r="AI43" s="161"/>
      <x:c r="AJ43" s="161"/>
      <x:c r="AK43" s="161"/>
      <x:c r="AL43" s="161"/>
      <x:c r="AM43" s="161"/>
      <x:c r="AN43" s="161"/>
      <x:c r="AO43" s="161"/>
      <x:c r="AP43" s="161"/>
      <x:c r="AQ43" s="161"/>
      <x:c r="AR43" s="161"/>
      <x:c r="AS43" s="161"/>
      <x:c r="AT43" s="161"/>
      <x:c r="AU43" s="161"/>
      <x:c r="AV43" s="161"/>
      <x:c r="AW43" s="161"/>
      <x:c r="AX43" s="161"/>
      <x:c r="AY43" s="161"/>
      <x:c r="AZ43" s="161"/>
    </x:row>
    <x:row r="44" ht="15" hidden="0" customHeight="1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  <x:c r="AA44" s="161"/>
      <x:c r="AB44" s="161"/>
      <x:c r="AC44" s="161"/>
      <x:c r="AD44" s="161"/>
      <x:c r="AE44" s="161"/>
      <x:c r="AF44" s="161"/>
      <x:c r="AG44" s="161"/>
      <x:c r="AH44" s="161"/>
      <x:c r="AI44" s="161"/>
      <x:c r="AJ44" s="161"/>
      <x:c r="AK44" s="161"/>
      <x:c r="AL44" s="161"/>
      <x:c r="AM44" s="161"/>
      <x:c r="AN44" s="161"/>
      <x:c r="AO44" s="161"/>
      <x:c r="AP44" s="161"/>
      <x:c r="AQ44" s="161"/>
      <x:c r="AR44" s="161"/>
      <x:c r="AS44" s="161"/>
      <x:c r="AT44" s="161"/>
      <x:c r="AU44" s="161"/>
      <x:c r="AV44" s="161"/>
      <x:c r="AW44" s="161"/>
      <x:c r="AX44" s="161"/>
      <x:c r="AY44" s="161"/>
      <x:c r="AZ44" s="161"/>
    </x:row>
    <x:row r="45" ht="15" hidden="0" customHeight="1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  <x:c r="AA45" s="161"/>
      <x:c r="AB45" s="161"/>
      <x:c r="AC45" s="161"/>
      <x:c r="AD45" s="161"/>
      <x:c r="AE45" s="161"/>
      <x:c r="AF45" s="161"/>
      <x:c r="AG45" s="161"/>
      <x:c r="AH45" s="161"/>
      <x:c r="AI45" s="161"/>
      <x:c r="AJ45" s="161"/>
      <x:c r="AK45" s="161"/>
      <x:c r="AL45" s="161"/>
      <x:c r="AM45" s="161"/>
      <x:c r="AN45" s="161"/>
      <x:c r="AO45" s="161"/>
      <x:c r="AP45" s="161"/>
      <x:c r="AQ45" s="161"/>
      <x:c r="AR45" s="161"/>
      <x:c r="AS45" s="161"/>
      <x:c r="AT45" s="161"/>
      <x:c r="AU45" s="161"/>
      <x:c r="AV45" s="161"/>
      <x:c r="AW45" s="161"/>
      <x:c r="AX45" s="161"/>
      <x:c r="AY45" s="161"/>
      <x:c r="AZ45" s="161"/>
    </x:row>
    <x:row r="46" ht="15" hidden="0" customHeight="1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  <x:c r="AA46" s="161"/>
      <x:c r="AB46" s="161"/>
      <x:c r="AC46" s="161"/>
      <x:c r="AD46" s="161"/>
      <x:c r="AE46" s="161"/>
      <x:c r="AF46" s="161"/>
      <x:c r="AG46" s="161"/>
      <x:c r="AH46" s="161"/>
      <x:c r="AI46" s="161"/>
      <x:c r="AJ46" s="161"/>
      <x:c r="AK46" s="161"/>
      <x:c r="AL46" s="161"/>
      <x:c r="AM46" s="161"/>
      <x:c r="AN46" s="161"/>
      <x:c r="AO46" s="161"/>
      <x:c r="AP46" s="161"/>
      <x:c r="AQ46" s="161"/>
      <x:c r="AR46" s="161"/>
      <x:c r="AS46" s="161"/>
      <x:c r="AT46" s="161"/>
      <x:c r="AU46" s="161"/>
      <x:c r="AV46" s="161"/>
      <x:c r="AW46" s="161"/>
      <x:c r="AX46" s="161"/>
      <x:c r="AY46" s="161"/>
      <x:c r="AZ46" s="161"/>
    </x:row>
    <x:row r="47" ht="15" hidden="0" customHeight="1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  <x:c r="AA47" s="161"/>
      <x:c r="AB47" s="161"/>
      <x:c r="AC47" s="161"/>
      <x:c r="AD47" s="161"/>
      <x:c r="AE47" s="161"/>
      <x:c r="AF47" s="161"/>
      <x:c r="AG47" s="161"/>
      <x:c r="AH47" s="161"/>
      <x:c r="AI47" s="161"/>
      <x:c r="AJ47" s="161"/>
      <x:c r="AK47" s="161"/>
      <x:c r="AL47" s="161"/>
      <x:c r="AM47" s="161"/>
      <x:c r="AN47" s="161"/>
      <x:c r="AO47" s="161"/>
      <x:c r="AP47" s="161"/>
      <x:c r="AQ47" s="161"/>
      <x:c r="AR47" s="161"/>
      <x:c r="AS47" s="161"/>
      <x:c r="AT47" s="161"/>
      <x:c r="AU47" s="161"/>
      <x:c r="AV47" s="161"/>
      <x:c r="AW47" s="161"/>
      <x:c r="AX47" s="161"/>
      <x:c r="AY47" s="161"/>
      <x:c r="AZ47" s="161"/>
    </x:row>
    <x:row r="48" ht="15" hidden="0" customHeight="1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  <x:c r="AA48" s="161"/>
      <x:c r="AB48" s="161"/>
      <x:c r="AC48" s="161"/>
      <x:c r="AD48" s="161"/>
      <x:c r="AE48" s="161"/>
      <x:c r="AF48" s="161"/>
      <x:c r="AG48" s="161"/>
      <x:c r="AH48" s="161"/>
      <x:c r="AI48" s="161"/>
      <x:c r="AJ48" s="161"/>
      <x:c r="AK48" s="161"/>
      <x:c r="AL48" s="161"/>
      <x:c r="AM48" s="161"/>
      <x:c r="AN48" s="161"/>
      <x:c r="AO48" s="161"/>
      <x:c r="AP48" s="161"/>
      <x:c r="AQ48" s="161"/>
      <x:c r="AR48" s="161"/>
      <x:c r="AS48" s="161"/>
      <x:c r="AT48" s="161"/>
      <x:c r="AU48" s="161"/>
      <x:c r="AV48" s="161"/>
      <x:c r="AW48" s="161"/>
      <x:c r="AX48" s="161"/>
      <x:c r="AY48" s="161"/>
      <x:c r="AZ48" s="161"/>
    </x:row>
    <x:row r="49" ht="15" hidden="0" customHeight="1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  <x:c r="AA49" s="161"/>
      <x:c r="AB49" s="161"/>
      <x:c r="AC49" s="161"/>
      <x:c r="AD49" s="161"/>
      <x:c r="AE49" s="161"/>
      <x:c r="AF49" s="161"/>
      <x:c r="AG49" s="161"/>
      <x:c r="AH49" s="161"/>
      <x:c r="AI49" s="161"/>
      <x:c r="AJ49" s="161"/>
      <x:c r="AK49" s="161"/>
      <x:c r="AL49" s="161"/>
      <x:c r="AM49" s="161"/>
      <x:c r="AN49" s="161"/>
      <x:c r="AO49" s="161"/>
      <x:c r="AP49" s="161"/>
      <x:c r="AQ49" s="161"/>
      <x:c r="AR49" s="161"/>
      <x:c r="AS49" s="161"/>
      <x:c r="AT49" s="161"/>
      <x:c r="AU49" s="161"/>
      <x:c r="AV49" s="161"/>
      <x:c r="AW49" s="161"/>
      <x:c r="AX49" s="161"/>
      <x:c r="AY49" s="161"/>
      <x:c r="AZ49" s="161"/>
    </x:row>
    <x:row r="50" ht="15" hidden="0" customHeight="1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  <x:c r="AA50" s="161"/>
      <x:c r="AB50" s="161"/>
      <x:c r="AC50" s="161"/>
      <x:c r="AD50" s="161"/>
      <x:c r="AE50" s="161"/>
      <x:c r="AF50" s="161"/>
      <x:c r="AG50" s="161"/>
      <x:c r="AH50" s="161"/>
      <x:c r="AI50" s="161"/>
      <x:c r="AJ50" s="161"/>
      <x:c r="AK50" s="161"/>
      <x:c r="AL50" s="161"/>
      <x:c r="AM50" s="161"/>
      <x:c r="AN50" s="161"/>
      <x:c r="AO50" s="161"/>
      <x:c r="AP50" s="161"/>
      <x:c r="AQ50" s="161"/>
      <x:c r="AR50" s="161"/>
      <x:c r="AS50" s="161"/>
      <x:c r="AT50" s="161"/>
      <x:c r="AU50" s="161"/>
      <x:c r="AV50" s="161"/>
      <x:c r="AW50" s="161"/>
      <x:c r="AX50" s="161"/>
      <x:c r="AY50" s="161"/>
      <x:c r="AZ50" s="161"/>
    </x:row>
    <x:row r="51" ht="15" hidden="0" customHeight="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  <x:c r="AA51" s="161"/>
      <x:c r="AB51" s="161"/>
      <x:c r="AC51" s="161"/>
      <x:c r="AD51" s="161"/>
      <x:c r="AE51" s="161"/>
      <x:c r="AF51" s="161"/>
      <x:c r="AG51" s="161"/>
      <x:c r="AH51" s="161"/>
      <x:c r="AI51" s="161"/>
      <x:c r="AJ51" s="161"/>
      <x:c r="AK51" s="161"/>
      <x:c r="AL51" s="161"/>
      <x:c r="AM51" s="161"/>
      <x:c r="AN51" s="161"/>
      <x:c r="AO51" s="161"/>
      <x:c r="AP51" s="161"/>
      <x:c r="AQ51" s="161"/>
      <x:c r="AR51" s="161"/>
      <x:c r="AS51" s="161"/>
      <x:c r="AT51" s="161"/>
      <x:c r="AU51" s="161"/>
      <x:c r="AV51" s="161"/>
      <x:c r="AW51" s="161"/>
      <x:c r="AX51" s="161"/>
      <x:c r="AY51" s="161"/>
      <x:c r="AZ51" s="161"/>
    </x:row>
    <x:row r="52" ht="15" hidden="0" customHeight="1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1"/>
      <x:c r="AM52" s="161"/>
      <x:c r="AN52" s="161"/>
      <x:c r="AO52" s="161"/>
      <x:c r="AP52" s="161"/>
      <x:c r="AQ52" s="161"/>
      <x:c r="AR52" s="161"/>
      <x:c r="AS52" s="161"/>
      <x:c r="AT52" s="161"/>
      <x:c r="AU52" s="161"/>
      <x:c r="AV52" s="161"/>
      <x:c r="AW52" s="161"/>
      <x:c r="AX52" s="161"/>
      <x:c r="AY52" s="161"/>
      <x:c r="AZ52" s="161"/>
    </x:row>
    <x:row r="53" ht="15" hidden="0" customHeight="1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  <x:c r="AA53" s="161"/>
      <x:c r="AB53" s="161"/>
      <x:c r="AC53" s="161"/>
      <x:c r="AD53" s="161"/>
      <x:c r="AE53" s="161"/>
      <x:c r="AF53" s="161"/>
      <x:c r="AG53" s="161"/>
      <x:c r="AH53" s="161"/>
      <x:c r="AI53" s="161"/>
      <x:c r="AJ53" s="161"/>
      <x:c r="AK53" s="161"/>
      <x:c r="AL53" s="161"/>
      <x:c r="AM53" s="161"/>
      <x:c r="AN53" s="161"/>
      <x:c r="AO53" s="161"/>
      <x:c r="AP53" s="161"/>
      <x:c r="AQ53" s="161"/>
      <x:c r="AR53" s="161"/>
      <x:c r="AS53" s="161"/>
      <x:c r="AT53" s="161"/>
      <x:c r="AU53" s="161"/>
      <x:c r="AV53" s="161"/>
      <x:c r="AW53" s="161"/>
      <x:c r="AX53" s="161"/>
      <x:c r="AY53" s="161"/>
      <x:c r="AZ53" s="161"/>
    </x:row>
    <x:row r="54" ht="15" hidden="0" customHeight="1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  <x:c r="AA54" s="161"/>
      <x:c r="AB54" s="161"/>
      <x:c r="AC54" s="161"/>
      <x:c r="AD54" s="161"/>
      <x:c r="AE54" s="161"/>
      <x:c r="AF54" s="161"/>
      <x:c r="AG54" s="161"/>
      <x:c r="AH54" s="161"/>
      <x:c r="AI54" s="161"/>
      <x:c r="AJ54" s="161"/>
      <x:c r="AK54" s="161"/>
      <x:c r="AL54" s="161"/>
      <x:c r="AM54" s="161"/>
      <x:c r="AN54" s="161"/>
      <x:c r="AO54" s="161"/>
      <x:c r="AP54" s="161"/>
      <x:c r="AQ54" s="161"/>
      <x:c r="AR54" s="161"/>
      <x:c r="AS54" s="161"/>
      <x:c r="AT54" s="161"/>
      <x:c r="AU54" s="161"/>
      <x:c r="AV54" s="161"/>
      <x:c r="AW54" s="161"/>
      <x:c r="AX54" s="161"/>
      <x:c r="AY54" s="161"/>
      <x:c r="AZ54" s="161"/>
    </x:row>
    <x:row r="55" ht="15" hidden="0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  <x:c r="AA55" s="161"/>
      <x:c r="AB55" s="161"/>
      <x:c r="AC55" s="161"/>
      <x:c r="AD55" s="161"/>
      <x:c r="AE55" s="161"/>
      <x:c r="AF55" s="161"/>
      <x:c r="AG55" s="161"/>
      <x:c r="AH55" s="161"/>
      <x:c r="AI55" s="161"/>
      <x:c r="AJ55" s="161"/>
      <x:c r="AK55" s="161"/>
      <x:c r="AL55" s="161"/>
      <x:c r="AM55" s="161"/>
      <x:c r="AN55" s="161"/>
      <x:c r="AO55" s="161"/>
      <x:c r="AP55" s="161"/>
      <x:c r="AQ55" s="161"/>
      <x:c r="AR55" s="161"/>
      <x:c r="AS55" s="161"/>
      <x:c r="AT55" s="161"/>
      <x:c r="AU55" s="161"/>
      <x:c r="AV55" s="161"/>
      <x:c r="AW55" s="161"/>
      <x:c r="AX55" s="161"/>
      <x:c r="AY55" s="161"/>
      <x:c r="AZ55" s="161"/>
    </x:row>
    <x:row r="56" ht="15" hidden="0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  <x:c r="AA56" s="161"/>
      <x:c r="AB56" s="161"/>
      <x:c r="AC56" s="161"/>
      <x:c r="AD56" s="161"/>
      <x:c r="AE56" s="161"/>
      <x:c r="AF56" s="161"/>
      <x:c r="AG56" s="161"/>
      <x:c r="AH56" s="161"/>
      <x:c r="AI56" s="161"/>
      <x:c r="AJ56" s="161"/>
      <x:c r="AK56" s="161"/>
      <x:c r="AL56" s="161"/>
      <x:c r="AM56" s="161"/>
      <x:c r="AN56" s="161"/>
      <x:c r="AO56" s="161"/>
      <x:c r="AP56" s="161"/>
      <x:c r="AQ56" s="161"/>
      <x:c r="AR56" s="161"/>
      <x:c r="AS56" s="161"/>
      <x:c r="AT56" s="161"/>
      <x:c r="AU56" s="161"/>
      <x:c r="AV56" s="161"/>
      <x:c r="AW56" s="161"/>
      <x:c r="AX56" s="161"/>
      <x:c r="AY56" s="161"/>
      <x:c r="AZ56" s="161"/>
    </x:row>
    <x:row r="57" ht="15" hidden="0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  <x:c r="AA57" s="161"/>
      <x:c r="AB57" s="161"/>
      <x:c r="AC57" s="161"/>
      <x:c r="AD57" s="161"/>
      <x:c r="AE57" s="161"/>
      <x:c r="AF57" s="161"/>
      <x:c r="AG57" s="161"/>
      <x:c r="AH57" s="161"/>
      <x:c r="AI57" s="161"/>
      <x:c r="AJ57" s="161"/>
      <x:c r="AK57" s="161"/>
      <x:c r="AL57" s="161"/>
      <x:c r="AM57" s="161"/>
      <x:c r="AN57" s="161"/>
      <x:c r="AO57" s="161"/>
      <x:c r="AP57" s="161"/>
      <x:c r="AQ57" s="161"/>
      <x:c r="AR57" s="161"/>
      <x:c r="AS57" s="161"/>
      <x:c r="AT57" s="161"/>
      <x:c r="AU57" s="161"/>
      <x:c r="AV57" s="161"/>
      <x:c r="AW57" s="161"/>
      <x:c r="AX57" s="161"/>
      <x:c r="AY57" s="161"/>
      <x:c r="AZ57" s="161"/>
    </x:row>
    <x:row r="58" ht="15" hidden="0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  <x:c r="AA58" s="161"/>
      <x:c r="AB58" s="161"/>
      <x:c r="AC58" s="161"/>
      <x:c r="AD58" s="161"/>
      <x:c r="AE58" s="161"/>
      <x:c r="AF58" s="161"/>
      <x:c r="AG58" s="161"/>
      <x:c r="AH58" s="161"/>
      <x:c r="AI58" s="161"/>
      <x:c r="AJ58" s="161"/>
      <x:c r="AK58" s="161"/>
      <x:c r="AL58" s="161"/>
      <x:c r="AM58" s="161"/>
      <x:c r="AN58" s="161"/>
      <x:c r="AO58" s="161"/>
      <x:c r="AP58" s="161"/>
      <x:c r="AQ58" s="161"/>
      <x:c r="AR58" s="161"/>
      <x:c r="AS58" s="161"/>
      <x:c r="AT58" s="161"/>
      <x:c r="AU58" s="161"/>
      <x:c r="AV58" s="161"/>
      <x:c r="AW58" s="161"/>
      <x:c r="AX58" s="161"/>
      <x:c r="AY58" s="161"/>
      <x:c r="AZ58" s="161"/>
    </x:row>
    <x:row r="59" ht="15" hidden="0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  <x:c r="AA59" s="161"/>
      <x:c r="AB59" s="161"/>
      <x:c r="AC59" s="161"/>
      <x:c r="AD59" s="161"/>
      <x:c r="AE59" s="161"/>
      <x:c r="AF59" s="161"/>
      <x:c r="AG59" s="161"/>
      <x:c r="AH59" s="161"/>
      <x:c r="AI59" s="161"/>
      <x:c r="AJ59" s="161"/>
      <x:c r="AK59" s="161"/>
      <x:c r="AL59" s="161"/>
      <x:c r="AM59" s="161"/>
      <x:c r="AN59" s="161"/>
      <x:c r="AO59" s="161"/>
      <x:c r="AP59" s="161"/>
      <x:c r="AQ59" s="161"/>
      <x:c r="AR59" s="161"/>
      <x:c r="AS59" s="161"/>
      <x:c r="AT59" s="161"/>
      <x:c r="AU59" s="161"/>
      <x:c r="AV59" s="161"/>
      <x:c r="AW59" s="161"/>
      <x:c r="AX59" s="161"/>
      <x:c r="AY59" s="161"/>
      <x:c r="AZ59" s="161"/>
    </x:row>
    <x:row r="60" ht="15" hidden="0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  <x:c r="AA60" s="161"/>
      <x:c r="AB60" s="161"/>
      <x:c r="AC60" s="161"/>
      <x:c r="AD60" s="161"/>
      <x:c r="AE60" s="161"/>
      <x:c r="AF60" s="161"/>
      <x:c r="AG60" s="161"/>
      <x:c r="AH60" s="161"/>
      <x:c r="AI60" s="161"/>
      <x:c r="AJ60" s="161"/>
      <x:c r="AK60" s="161"/>
      <x:c r="AL60" s="161"/>
      <x:c r="AM60" s="161"/>
      <x:c r="AN60" s="161"/>
      <x:c r="AO60" s="161"/>
      <x:c r="AP60" s="161"/>
      <x:c r="AQ60" s="161"/>
      <x:c r="AR60" s="161"/>
      <x:c r="AS60" s="161"/>
      <x:c r="AT60" s="161"/>
      <x:c r="AU60" s="161"/>
      <x:c r="AV60" s="161"/>
      <x:c r="AW60" s="161"/>
      <x:c r="AX60" s="161"/>
      <x:c r="AY60" s="161"/>
      <x:c r="AZ60" s="161"/>
    </x:row>
    <x:row r="61" ht="15" hidden="0" customHeight="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  <x:c r="AA61" s="161"/>
      <x:c r="AB61" s="161"/>
      <x:c r="AC61" s="161"/>
      <x:c r="AD61" s="161"/>
      <x:c r="AE61" s="161"/>
      <x:c r="AF61" s="161"/>
      <x:c r="AG61" s="161"/>
      <x:c r="AH61" s="161"/>
      <x:c r="AI61" s="161"/>
      <x:c r="AJ61" s="161"/>
      <x:c r="AK61" s="161"/>
      <x:c r="AL61" s="161"/>
      <x:c r="AM61" s="161"/>
      <x:c r="AN61" s="161"/>
      <x:c r="AO61" s="161"/>
      <x:c r="AP61" s="161"/>
      <x:c r="AQ61" s="161"/>
      <x:c r="AR61" s="161"/>
      <x:c r="AS61" s="161"/>
      <x:c r="AT61" s="161"/>
      <x:c r="AU61" s="161"/>
      <x:c r="AV61" s="161"/>
      <x:c r="AW61" s="161"/>
      <x:c r="AX61" s="161"/>
      <x:c r="AY61" s="161"/>
      <x:c r="AZ61" s="161"/>
    </x:row>
    <x:row r="62" ht="15" hidden="0" customHeight="1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  <x:c r="AA62" s="161"/>
      <x:c r="AB62" s="161"/>
      <x:c r="AC62" s="161"/>
      <x:c r="AD62" s="161"/>
      <x:c r="AE62" s="161"/>
      <x:c r="AF62" s="161"/>
      <x:c r="AG62" s="161"/>
      <x:c r="AH62" s="161"/>
      <x:c r="AI62" s="161"/>
      <x:c r="AJ62" s="161"/>
      <x:c r="AK62" s="161"/>
      <x:c r="AL62" s="161"/>
      <x:c r="AM62" s="161"/>
      <x:c r="AN62" s="161"/>
      <x:c r="AO62" s="161"/>
      <x:c r="AP62" s="161"/>
      <x:c r="AQ62" s="161"/>
      <x:c r="AR62" s="161"/>
      <x:c r="AS62" s="161"/>
      <x:c r="AT62" s="161"/>
      <x:c r="AU62" s="161"/>
      <x:c r="AV62" s="161"/>
      <x:c r="AW62" s="161"/>
      <x:c r="AX62" s="161"/>
      <x:c r="AY62" s="161"/>
      <x:c r="AZ62" s="161"/>
    </x:row>
    <x:row r="63" ht="15" hidden="0" customHeight="1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  <x:c r="AA63" s="161"/>
      <x:c r="AB63" s="161"/>
      <x:c r="AC63" s="161"/>
      <x:c r="AD63" s="161"/>
      <x:c r="AE63" s="161"/>
      <x:c r="AF63" s="161"/>
      <x:c r="AG63" s="161"/>
      <x:c r="AH63" s="161"/>
      <x:c r="AI63" s="161"/>
      <x:c r="AJ63" s="161"/>
      <x:c r="AK63" s="161"/>
      <x:c r="AL63" s="161"/>
      <x:c r="AM63" s="161"/>
      <x:c r="AN63" s="161"/>
      <x:c r="AO63" s="161"/>
      <x:c r="AP63" s="161"/>
      <x:c r="AQ63" s="161"/>
      <x:c r="AR63" s="161"/>
      <x:c r="AS63" s="161"/>
      <x:c r="AT63" s="161"/>
      <x:c r="AU63" s="161"/>
      <x:c r="AV63" s="161"/>
      <x:c r="AW63" s="161"/>
      <x:c r="AX63" s="161"/>
      <x:c r="AY63" s="161"/>
      <x:c r="AZ63" s="161"/>
    </x:row>
    <x:row r="64" ht="15" hidden="0" customHeight="1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  <x:c r="AA64" s="161"/>
      <x:c r="AB64" s="161"/>
      <x:c r="AC64" s="161"/>
      <x:c r="AD64" s="161"/>
      <x:c r="AE64" s="161"/>
      <x:c r="AF64" s="161"/>
      <x:c r="AG64" s="161"/>
      <x:c r="AH64" s="161"/>
      <x:c r="AI64" s="161"/>
      <x:c r="AJ64" s="161"/>
      <x:c r="AK64" s="161"/>
      <x:c r="AL64" s="161"/>
      <x:c r="AM64" s="161"/>
      <x:c r="AN64" s="161"/>
      <x:c r="AO64" s="161"/>
      <x:c r="AP64" s="161"/>
      <x:c r="AQ64" s="161"/>
      <x:c r="AR64" s="161"/>
      <x:c r="AS64" s="161"/>
      <x:c r="AT64" s="161"/>
      <x:c r="AU64" s="161"/>
      <x:c r="AV64" s="161"/>
      <x:c r="AW64" s="161"/>
      <x:c r="AX64" s="161"/>
      <x:c r="AY64" s="161"/>
      <x:c r="AZ64" s="161"/>
    </x:row>
    <x:row r="65" ht="15" hidden="0" customHeight="1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  <x:c r="AA65" s="161"/>
      <x:c r="AB65" s="161"/>
      <x:c r="AC65" s="161"/>
      <x:c r="AD65" s="161"/>
      <x:c r="AE65" s="161"/>
      <x:c r="AF65" s="161"/>
      <x:c r="AG65" s="161"/>
      <x:c r="AH65" s="161"/>
      <x:c r="AI65" s="161"/>
      <x:c r="AJ65" s="161"/>
      <x:c r="AK65" s="161"/>
      <x:c r="AL65" s="161"/>
      <x:c r="AM65" s="161"/>
      <x:c r="AN65" s="161"/>
      <x:c r="AO65" s="161"/>
      <x:c r="AP65" s="161"/>
      <x:c r="AQ65" s="161"/>
      <x:c r="AR65" s="161"/>
      <x:c r="AS65" s="161"/>
      <x:c r="AT65" s="161"/>
      <x:c r="AU65" s="161"/>
      <x:c r="AV65" s="161"/>
      <x:c r="AW65" s="161"/>
      <x:c r="AX65" s="161"/>
      <x:c r="AY65" s="161"/>
      <x:c r="AZ65" s="161"/>
    </x:row>
    <x:row r="66" ht="15" hidden="0" customHeight="1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  <x:c r="AA66" s="161"/>
      <x:c r="AB66" s="161"/>
      <x:c r="AC66" s="161"/>
      <x:c r="AD66" s="161"/>
      <x:c r="AE66" s="161"/>
      <x:c r="AF66" s="161"/>
      <x:c r="AG66" s="161"/>
      <x:c r="AH66" s="161"/>
      <x:c r="AI66" s="161"/>
      <x:c r="AJ66" s="161"/>
      <x:c r="AK66" s="161"/>
      <x:c r="AL66" s="161"/>
      <x:c r="AM66" s="161"/>
      <x:c r="AN66" s="161"/>
      <x:c r="AO66" s="161"/>
      <x:c r="AP66" s="161"/>
      <x:c r="AQ66" s="161"/>
      <x:c r="AR66" s="161"/>
      <x:c r="AS66" s="161"/>
      <x:c r="AT66" s="161"/>
      <x:c r="AU66" s="161"/>
      <x:c r="AV66" s="161"/>
      <x:c r="AW66" s="161"/>
      <x:c r="AX66" s="161"/>
      <x:c r="AY66" s="161"/>
      <x:c r="AZ66" s="161"/>
    </x:row>
    <x:row r="67" ht="15" hidden="0" customHeight="1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  <x:c r="AA67" s="161"/>
      <x:c r="AB67" s="161"/>
      <x:c r="AC67" s="161"/>
      <x:c r="AD67" s="161"/>
      <x:c r="AE67" s="161"/>
      <x:c r="AF67" s="161"/>
      <x:c r="AG67" s="161"/>
      <x:c r="AH67" s="161"/>
      <x:c r="AI67" s="161"/>
      <x:c r="AJ67" s="161"/>
      <x:c r="AK67" s="161"/>
      <x:c r="AL67" s="161"/>
      <x:c r="AM67" s="161"/>
      <x:c r="AN67" s="161"/>
      <x:c r="AO67" s="161"/>
      <x:c r="AP67" s="161"/>
      <x:c r="AQ67" s="161"/>
      <x:c r="AR67" s="161"/>
      <x:c r="AS67" s="161"/>
      <x:c r="AT67" s="161"/>
      <x:c r="AU67" s="161"/>
      <x:c r="AV67" s="161"/>
      <x:c r="AW67" s="161"/>
      <x:c r="AX67" s="161"/>
      <x:c r="AY67" s="161"/>
      <x:c r="AZ67" s="161"/>
    </x:row>
    <x:row r="68" ht="15" hidden="0" customHeight="1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  <x:c r="AA68" s="161"/>
      <x:c r="AB68" s="161"/>
      <x:c r="AC68" s="161"/>
      <x:c r="AD68" s="161"/>
      <x:c r="AE68" s="161"/>
      <x:c r="AF68" s="161"/>
      <x:c r="AG68" s="161"/>
      <x:c r="AH68" s="161"/>
      <x:c r="AI68" s="161"/>
      <x:c r="AJ68" s="161"/>
      <x:c r="AK68" s="161"/>
      <x:c r="AL68" s="161"/>
      <x:c r="AM68" s="161"/>
      <x:c r="AN68" s="161"/>
      <x:c r="AO68" s="161"/>
      <x:c r="AP68" s="161"/>
      <x:c r="AQ68" s="161"/>
      <x:c r="AR68" s="161"/>
      <x:c r="AS68" s="161"/>
      <x:c r="AT68" s="161"/>
      <x:c r="AU68" s="161"/>
      <x:c r="AV68" s="161"/>
      <x:c r="AW68" s="161"/>
      <x:c r="AX68" s="161"/>
      <x:c r="AY68" s="161"/>
      <x:c r="AZ68" s="161"/>
    </x:row>
    <x:row r="69" ht="15" hidden="0" customHeight="1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  <x:c r="AA69" s="161"/>
      <x:c r="AB69" s="161"/>
      <x:c r="AC69" s="161"/>
      <x:c r="AD69" s="161"/>
      <x:c r="AE69" s="161"/>
      <x:c r="AF69" s="161"/>
      <x:c r="AG69" s="161"/>
      <x:c r="AH69" s="161"/>
      <x:c r="AI69" s="161"/>
      <x:c r="AJ69" s="161"/>
      <x:c r="AK69" s="161"/>
      <x:c r="AL69" s="161"/>
      <x:c r="AM69" s="161"/>
      <x:c r="AN69" s="161"/>
      <x:c r="AO69" s="161"/>
      <x:c r="AP69" s="161"/>
      <x:c r="AQ69" s="161"/>
      <x:c r="AR69" s="161"/>
      <x:c r="AS69" s="161"/>
      <x:c r="AT69" s="161"/>
      <x:c r="AU69" s="161"/>
      <x:c r="AV69" s="161"/>
      <x:c r="AW69" s="161"/>
      <x:c r="AX69" s="161"/>
      <x:c r="AY69" s="161"/>
      <x:c r="AZ69" s="161"/>
    </x:row>
    <x:row r="70" ht="15" hidden="0" customHeight="1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  <x:c r="AA70" s="161"/>
      <x:c r="AB70" s="161"/>
      <x:c r="AC70" s="161"/>
      <x:c r="AD70" s="161"/>
      <x:c r="AE70" s="161"/>
      <x:c r="AF70" s="161"/>
      <x:c r="AG70" s="161"/>
      <x:c r="AH70" s="161"/>
      <x:c r="AI70" s="161"/>
      <x:c r="AJ70" s="161"/>
      <x:c r="AK70" s="161"/>
      <x:c r="AL70" s="161"/>
      <x:c r="AM70" s="161"/>
      <x:c r="AN70" s="161"/>
      <x:c r="AO70" s="161"/>
      <x:c r="AP70" s="161"/>
      <x:c r="AQ70" s="161"/>
      <x:c r="AR70" s="161"/>
      <x:c r="AS70" s="161"/>
      <x:c r="AT70" s="161"/>
      <x:c r="AU70" s="161"/>
      <x:c r="AV70" s="161"/>
      <x:c r="AW70" s="161"/>
      <x:c r="AX70" s="161"/>
      <x:c r="AY70" s="161"/>
      <x:c r="AZ70" s="161"/>
    </x:row>
    <x:row r="71" ht="15" hidden="0" customHeight="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  <x:c r="AA71" s="161"/>
      <x:c r="AB71" s="161"/>
      <x:c r="AC71" s="161"/>
      <x:c r="AD71" s="161"/>
      <x:c r="AE71" s="161"/>
      <x:c r="AF71" s="161"/>
      <x:c r="AG71" s="161"/>
      <x:c r="AH71" s="161"/>
      <x:c r="AI71" s="161"/>
      <x:c r="AJ71" s="161"/>
      <x:c r="AK71" s="161"/>
      <x:c r="AL71" s="161"/>
      <x:c r="AM71" s="161"/>
      <x:c r="AN71" s="161"/>
      <x:c r="AO71" s="161"/>
      <x:c r="AP71" s="161"/>
      <x:c r="AQ71" s="161"/>
      <x:c r="AR71" s="161"/>
      <x:c r="AS71" s="161"/>
      <x:c r="AT71" s="161"/>
      <x:c r="AU71" s="161"/>
      <x:c r="AV71" s="161"/>
      <x:c r="AW71" s="161"/>
      <x:c r="AX71" s="161"/>
      <x:c r="AY71" s="161"/>
      <x:c r="AZ71" s="161"/>
    </x:row>
    <x:row r="72" ht="15" hidden="0" customHeight="1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  <x:c r="AA72" s="161"/>
      <x:c r="AB72" s="161"/>
      <x:c r="AC72" s="161"/>
      <x:c r="AD72" s="161"/>
      <x:c r="AE72" s="161"/>
      <x:c r="AF72" s="161"/>
      <x:c r="AG72" s="161"/>
      <x:c r="AH72" s="161"/>
      <x:c r="AI72" s="161"/>
      <x:c r="AJ72" s="161"/>
      <x:c r="AK72" s="161"/>
      <x:c r="AL72" s="161"/>
      <x:c r="AM72" s="161"/>
      <x:c r="AN72" s="161"/>
      <x:c r="AO72" s="161"/>
      <x:c r="AP72" s="161"/>
      <x:c r="AQ72" s="161"/>
      <x:c r="AR72" s="161"/>
      <x:c r="AS72" s="161"/>
      <x:c r="AT72" s="161"/>
      <x:c r="AU72" s="161"/>
      <x:c r="AV72" s="161"/>
      <x:c r="AW72" s="161"/>
      <x:c r="AX72" s="161"/>
      <x:c r="AY72" s="161"/>
      <x:c r="AZ72" s="161"/>
    </x:row>
    <x:row r="73" ht="15" hidden="0" customHeight="1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  <x:c r="AA73" s="161"/>
      <x:c r="AB73" s="161"/>
      <x:c r="AC73" s="161"/>
      <x:c r="AD73" s="161"/>
      <x:c r="AE73" s="161"/>
      <x:c r="AF73" s="161"/>
      <x:c r="AG73" s="161"/>
      <x:c r="AH73" s="161"/>
      <x:c r="AI73" s="161"/>
      <x:c r="AJ73" s="161"/>
      <x:c r="AK73" s="161"/>
      <x:c r="AL73" s="161"/>
      <x:c r="AM73" s="161"/>
      <x:c r="AN73" s="161"/>
      <x:c r="AO73" s="161"/>
      <x:c r="AP73" s="161"/>
      <x:c r="AQ73" s="161"/>
      <x:c r="AR73" s="161"/>
      <x:c r="AS73" s="161"/>
      <x:c r="AT73" s="161"/>
      <x:c r="AU73" s="161"/>
      <x:c r="AV73" s="161"/>
      <x:c r="AW73" s="161"/>
      <x:c r="AX73" s="161"/>
      <x:c r="AY73" s="161"/>
      <x:c r="AZ73" s="161"/>
    </x:row>
    <x:row r="74" ht="15" hidden="0" customHeight="1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  <x:c r="AA74" s="161"/>
      <x:c r="AB74" s="161"/>
      <x:c r="AC74" s="161"/>
      <x:c r="AD74" s="161"/>
      <x:c r="AE74" s="161"/>
      <x:c r="AF74" s="161"/>
      <x:c r="AG74" s="161"/>
      <x:c r="AH74" s="161"/>
      <x:c r="AI74" s="161"/>
      <x:c r="AJ74" s="161"/>
      <x:c r="AK74" s="161"/>
      <x:c r="AL74" s="161"/>
      <x:c r="AM74" s="161"/>
      <x:c r="AN74" s="161"/>
      <x:c r="AO74" s="161"/>
      <x:c r="AP74" s="161"/>
      <x:c r="AQ74" s="161"/>
      <x:c r="AR74" s="161"/>
      <x:c r="AS74" s="161"/>
      <x:c r="AT74" s="161"/>
      <x:c r="AU74" s="161"/>
      <x:c r="AV74" s="161"/>
      <x:c r="AW74" s="161"/>
      <x:c r="AX74" s="161"/>
      <x:c r="AY74" s="161"/>
      <x:c r="AZ74" s="161"/>
    </x:row>
    <x:row r="75" ht="15" hidden="0" customHeight="1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  <x:c r="AA75" s="161"/>
      <x:c r="AB75" s="161"/>
      <x:c r="AC75" s="161"/>
      <x:c r="AD75" s="161"/>
      <x:c r="AE75" s="161"/>
      <x:c r="AF75" s="161"/>
      <x:c r="AG75" s="161"/>
      <x:c r="AH75" s="161"/>
      <x:c r="AI75" s="161"/>
      <x:c r="AJ75" s="161"/>
      <x:c r="AK75" s="161"/>
      <x:c r="AL75" s="161"/>
      <x:c r="AM75" s="161"/>
      <x:c r="AN75" s="161"/>
      <x:c r="AO75" s="161"/>
      <x:c r="AP75" s="161"/>
      <x:c r="AQ75" s="161"/>
      <x:c r="AR75" s="161"/>
      <x:c r="AS75" s="161"/>
      <x:c r="AT75" s="161"/>
      <x:c r="AU75" s="161"/>
      <x:c r="AV75" s="161"/>
      <x:c r="AW75" s="161"/>
      <x:c r="AX75" s="161"/>
      <x:c r="AY75" s="161"/>
      <x:c r="AZ75" s="161"/>
    </x:row>
    <x:row r="76" ht="15" hidden="0" customHeight="1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  <x:c r="AA76" s="161"/>
      <x:c r="AB76" s="161"/>
      <x:c r="AC76" s="161"/>
      <x:c r="AD76" s="161"/>
      <x:c r="AE76" s="161"/>
      <x:c r="AF76" s="161"/>
      <x:c r="AG76" s="161"/>
      <x:c r="AH76" s="161"/>
      <x:c r="AI76" s="161"/>
      <x:c r="AJ76" s="161"/>
      <x:c r="AK76" s="161"/>
      <x:c r="AL76" s="161"/>
      <x:c r="AM76" s="161"/>
      <x:c r="AN76" s="161"/>
      <x:c r="AO76" s="161"/>
      <x:c r="AP76" s="161"/>
      <x:c r="AQ76" s="161"/>
      <x:c r="AR76" s="161"/>
      <x:c r="AS76" s="161"/>
      <x:c r="AT76" s="161"/>
      <x:c r="AU76" s="161"/>
      <x:c r="AV76" s="161"/>
      <x:c r="AW76" s="161"/>
      <x:c r="AX76" s="161"/>
      <x:c r="AY76" s="161"/>
      <x:c r="AZ76" s="161"/>
    </x:row>
    <x:row r="77" ht="15" hidden="0" customHeight="1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  <x:c r="AA77" s="161"/>
      <x:c r="AB77" s="161"/>
      <x:c r="AC77" s="161"/>
      <x:c r="AD77" s="161"/>
      <x:c r="AE77" s="161"/>
      <x:c r="AF77" s="161"/>
      <x:c r="AG77" s="161"/>
      <x:c r="AH77" s="161"/>
      <x:c r="AI77" s="161"/>
      <x:c r="AJ77" s="161"/>
      <x:c r="AK77" s="161"/>
      <x:c r="AL77" s="161"/>
      <x:c r="AM77" s="161"/>
      <x:c r="AN77" s="161"/>
      <x:c r="AO77" s="161"/>
      <x:c r="AP77" s="161"/>
      <x:c r="AQ77" s="161"/>
      <x:c r="AR77" s="161"/>
      <x:c r="AS77" s="161"/>
      <x:c r="AT77" s="161"/>
      <x:c r="AU77" s="161"/>
      <x:c r="AV77" s="161"/>
      <x:c r="AW77" s="161"/>
      <x:c r="AX77" s="161"/>
      <x:c r="AY77" s="161"/>
      <x:c r="AZ77" s="161"/>
    </x:row>
    <x:row r="78" ht="15" hidden="0" customHeight="1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  <x:c r="AA78" s="161"/>
      <x:c r="AB78" s="161"/>
      <x:c r="AC78" s="161"/>
      <x:c r="AD78" s="161"/>
      <x:c r="AE78" s="161"/>
      <x:c r="AF78" s="161"/>
      <x:c r="AG78" s="161"/>
      <x:c r="AH78" s="161"/>
      <x:c r="AI78" s="161"/>
      <x:c r="AJ78" s="161"/>
      <x:c r="AK78" s="161"/>
      <x:c r="AL78" s="161"/>
      <x:c r="AM78" s="161"/>
      <x:c r="AN78" s="161"/>
      <x:c r="AO78" s="161"/>
      <x:c r="AP78" s="161"/>
      <x:c r="AQ78" s="161"/>
      <x:c r="AR78" s="161"/>
      <x:c r="AS78" s="161"/>
      <x:c r="AT78" s="161"/>
      <x:c r="AU78" s="161"/>
      <x:c r="AV78" s="161"/>
      <x:c r="AW78" s="161"/>
      <x:c r="AX78" s="161"/>
      <x:c r="AY78" s="161"/>
      <x:c r="AZ78" s="161"/>
    </x:row>
    <x:row r="79" ht="15" hidden="0" customHeight="1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  <x:c r="AA79" s="161"/>
      <x:c r="AB79" s="161"/>
      <x:c r="AC79" s="161"/>
      <x:c r="AD79" s="161"/>
      <x:c r="AE79" s="161"/>
      <x:c r="AF79" s="161"/>
      <x:c r="AG79" s="161"/>
      <x:c r="AH79" s="161"/>
      <x:c r="AI79" s="161"/>
      <x:c r="AJ79" s="161"/>
      <x:c r="AK79" s="161"/>
      <x:c r="AL79" s="161"/>
      <x:c r="AM79" s="161"/>
      <x:c r="AN79" s="161"/>
      <x:c r="AO79" s="161"/>
      <x:c r="AP79" s="161"/>
      <x:c r="AQ79" s="161"/>
      <x:c r="AR79" s="161"/>
      <x:c r="AS79" s="161"/>
      <x:c r="AT79" s="161"/>
      <x:c r="AU79" s="161"/>
      <x:c r="AV79" s="161"/>
      <x:c r="AW79" s="161"/>
      <x:c r="AX79" s="161"/>
      <x:c r="AY79" s="161"/>
      <x:c r="AZ79" s="161"/>
    </x:row>
    <x:row r="80" ht="15" hidden="0" customHeight="1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  <x:c r="AA80" s="161"/>
      <x:c r="AB80" s="161"/>
      <x:c r="AC80" s="161"/>
      <x:c r="AD80" s="161"/>
      <x:c r="AE80" s="161"/>
      <x:c r="AF80" s="161"/>
      <x:c r="AG80" s="161"/>
      <x:c r="AH80" s="161"/>
      <x:c r="AI80" s="161"/>
      <x:c r="AJ80" s="161"/>
      <x:c r="AK80" s="161"/>
      <x:c r="AL80" s="161"/>
      <x:c r="AM80" s="161"/>
      <x:c r="AN80" s="161"/>
      <x:c r="AO80" s="161"/>
      <x:c r="AP80" s="161"/>
      <x:c r="AQ80" s="161"/>
      <x:c r="AR80" s="161"/>
      <x:c r="AS80" s="161"/>
      <x:c r="AT80" s="161"/>
      <x:c r="AU80" s="161"/>
      <x:c r="AV80" s="161"/>
      <x:c r="AW80" s="161"/>
      <x:c r="AX80" s="161"/>
      <x:c r="AY80" s="161"/>
      <x:c r="AZ80" s="161"/>
    </x:row>
    <x:row r="81" ht="15" hidden="0" customHeight="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  <x:c r="AA81" s="161"/>
      <x:c r="AB81" s="161"/>
      <x:c r="AC81" s="161"/>
      <x:c r="AD81" s="161"/>
      <x:c r="AE81" s="161"/>
      <x:c r="AF81" s="161"/>
      <x:c r="AG81" s="161"/>
      <x:c r="AH81" s="161"/>
      <x:c r="AI81" s="161"/>
      <x:c r="AJ81" s="161"/>
      <x:c r="AK81" s="161"/>
      <x:c r="AL81" s="161"/>
      <x:c r="AM81" s="161"/>
      <x:c r="AN81" s="161"/>
      <x:c r="AO81" s="161"/>
      <x:c r="AP81" s="161"/>
      <x:c r="AQ81" s="161"/>
      <x:c r="AR81" s="161"/>
      <x:c r="AS81" s="161"/>
      <x:c r="AT81" s="161"/>
      <x:c r="AU81" s="161"/>
      <x:c r="AV81" s="161"/>
      <x:c r="AW81" s="161"/>
      <x:c r="AX81" s="161"/>
      <x:c r="AY81" s="161"/>
      <x:c r="AZ81" s="161"/>
    </x:row>
    <x:row r="82" ht="15" hidden="0" customHeight="1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  <x:c r="AA82" s="161"/>
      <x:c r="AB82" s="161"/>
      <x:c r="AC82" s="161"/>
      <x:c r="AD82" s="161"/>
      <x:c r="AE82" s="161"/>
      <x:c r="AF82" s="161"/>
      <x:c r="AG82" s="161"/>
      <x:c r="AH82" s="161"/>
      <x:c r="AI82" s="161"/>
      <x:c r="AJ82" s="161"/>
      <x:c r="AK82" s="161"/>
      <x:c r="AL82" s="161"/>
      <x:c r="AM82" s="161"/>
      <x:c r="AN82" s="161"/>
      <x:c r="AO82" s="161"/>
      <x:c r="AP82" s="161"/>
      <x:c r="AQ82" s="161"/>
      <x:c r="AR82" s="161"/>
      <x:c r="AS82" s="161"/>
      <x:c r="AT82" s="161"/>
      <x:c r="AU82" s="161"/>
      <x:c r="AV82" s="161"/>
      <x:c r="AW82" s="161"/>
      <x:c r="AX82" s="161"/>
      <x:c r="AY82" s="161"/>
      <x:c r="AZ82" s="161"/>
    </x:row>
    <x:row r="83" ht="15" hidden="0" customHeight="1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  <x:c r="AA83" s="161"/>
      <x:c r="AB83" s="161"/>
      <x:c r="AC83" s="161"/>
      <x:c r="AD83" s="161"/>
      <x:c r="AE83" s="161"/>
      <x:c r="AF83" s="161"/>
      <x:c r="AG83" s="161"/>
      <x:c r="AH83" s="161"/>
      <x:c r="AI83" s="161"/>
      <x:c r="AJ83" s="161"/>
      <x:c r="AK83" s="161"/>
      <x:c r="AL83" s="161"/>
      <x:c r="AM83" s="161"/>
      <x:c r="AN83" s="161"/>
      <x:c r="AO83" s="161"/>
      <x:c r="AP83" s="161"/>
      <x:c r="AQ83" s="161"/>
      <x:c r="AR83" s="161"/>
      <x:c r="AS83" s="161"/>
      <x:c r="AT83" s="161"/>
      <x:c r="AU83" s="161"/>
      <x:c r="AV83" s="161"/>
      <x:c r="AW83" s="161"/>
      <x:c r="AX83" s="161"/>
      <x:c r="AY83" s="161"/>
      <x:c r="AZ83" s="161"/>
    </x:row>
    <x:row r="84" ht="15" hidden="0" customHeight="1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  <x:c r="AA84" s="161"/>
      <x:c r="AB84" s="161"/>
      <x:c r="AC84" s="161"/>
      <x:c r="AD84" s="161"/>
      <x:c r="AE84" s="161"/>
      <x:c r="AF84" s="161"/>
      <x:c r="AG84" s="161"/>
      <x:c r="AH84" s="161"/>
      <x:c r="AI84" s="161"/>
      <x:c r="AJ84" s="161"/>
      <x:c r="AK84" s="161"/>
      <x:c r="AL84" s="161"/>
      <x:c r="AM84" s="161"/>
      <x:c r="AN84" s="161"/>
      <x:c r="AO84" s="161"/>
      <x:c r="AP84" s="161"/>
      <x:c r="AQ84" s="161"/>
      <x:c r="AR84" s="161"/>
      <x:c r="AS84" s="161"/>
      <x:c r="AT84" s="161"/>
      <x:c r="AU84" s="161"/>
      <x:c r="AV84" s="161"/>
      <x:c r="AW84" s="161"/>
      <x:c r="AX84" s="161"/>
      <x:c r="AY84" s="161"/>
      <x:c r="AZ84" s="161"/>
    </x:row>
    <x:row r="85" ht="15" hidden="0" customHeight="1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  <x:c r="AA85" s="161"/>
      <x:c r="AB85" s="161"/>
      <x:c r="AC85" s="161"/>
      <x:c r="AD85" s="161"/>
      <x:c r="AE85" s="161"/>
      <x:c r="AF85" s="161"/>
      <x:c r="AG85" s="161"/>
      <x:c r="AH85" s="161"/>
      <x:c r="AI85" s="161"/>
      <x:c r="AJ85" s="161"/>
      <x:c r="AK85" s="161"/>
      <x:c r="AL85" s="161"/>
      <x:c r="AM85" s="161"/>
      <x:c r="AN85" s="161"/>
      <x:c r="AO85" s="161"/>
      <x:c r="AP85" s="161"/>
      <x:c r="AQ85" s="161"/>
      <x:c r="AR85" s="161"/>
      <x:c r="AS85" s="161"/>
      <x:c r="AT85" s="161"/>
      <x:c r="AU85" s="161"/>
      <x:c r="AV85" s="161"/>
      <x:c r="AW85" s="161"/>
      <x:c r="AX85" s="161"/>
      <x:c r="AY85" s="161"/>
      <x:c r="AZ85" s="161"/>
    </x:row>
    <x:row r="86" ht="15" hidden="0" customHeight="1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  <x:c r="AA86" s="161"/>
      <x:c r="AB86" s="161"/>
      <x:c r="AC86" s="161"/>
      <x:c r="AD86" s="161"/>
      <x:c r="AE86" s="161"/>
      <x:c r="AF86" s="161"/>
      <x:c r="AG86" s="161"/>
      <x:c r="AH86" s="161"/>
      <x:c r="AI86" s="161"/>
      <x:c r="AJ86" s="161"/>
      <x:c r="AK86" s="161"/>
      <x:c r="AL86" s="161"/>
      <x:c r="AM86" s="161"/>
      <x:c r="AN86" s="161"/>
      <x:c r="AO86" s="161"/>
      <x:c r="AP86" s="161"/>
      <x:c r="AQ86" s="161"/>
      <x:c r="AR86" s="161"/>
      <x:c r="AS86" s="161"/>
      <x:c r="AT86" s="161"/>
      <x:c r="AU86" s="161"/>
      <x:c r="AV86" s="161"/>
      <x:c r="AW86" s="161"/>
      <x:c r="AX86" s="161"/>
      <x:c r="AY86" s="161"/>
      <x:c r="AZ86" s="161"/>
    </x:row>
    <x:row r="87" ht="15" hidden="0" customHeight="1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  <x:c r="AA87" s="161"/>
      <x:c r="AB87" s="161"/>
      <x:c r="AC87" s="161"/>
      <x:c r="AD87" s="161"/>
      <x:c r="AE87" s="161"/>
      <x:c r="AF87" s="161"/>
      <x:c r="AG87" s="161"/>
      <x:c r="AH87" s="161"/>
      <x:c r="AI87" s="161"/>
      <x:c r="AJ87" s="161"/>
      <x:c r="AK87" s="161"/>
      <x:c r="AL87" s="161"/>
      <x:c r="AM87" s="161"/>
      <x:c r="AN87" s="161"/>
      <x:c r="AO87" s="161"/>
      <x:c r="AP87" s="161"/>
      <x:c r="AQ87" s="161"/>
      <x:c r="AR87" s="161"/>
      <x:c r="AS87" s="161"/>
      <x:c r="AT87" s="161"/>
      <x:c r="AU87" s="161"/>
      <x:c r="AV87" s="161"/>
      <x:c r="AW87" s="161"/>
      <x:c r="AX87" s="161"/>
      <x:c r="AY87" s="161"/>
      <x:c r="AZ87" s="161"/>
    </x:row>
    <x:row r="88" ht="15" hidden="0" customHeight="1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  <x:c r="AA88" s="161"/>
      <x:c r="AB88" s="161"/>
      <x:c r="AC88" s="161"/>
      <x:c r="AD88" s="161"/>
      <x:c r="AE88" s="161"/>
      <x:c r="AF88" s="161"/>
      <x:c r="AG88" s="161"/>
      <x:c r="AH88" s="161"/>
      <x:c r="AI88" s="161"/>
      <x:c r="AJ88" s="161"/>
      <x:c r="AK88" s="161"/>
      <x:c r="AL88" s="161"/>
      <x:c r="AM88" s="161"/>
      <x:c r="AN88" s="161"/>
      <x:c r="AO88" s="161"/>
      <x:c r="AP88" s="161"/>
      <x:c r="AQ88" s="161"/>
      <x:c r="AR88" s="161"/>
      <x:c r="AS88" s="161"/>
      <x:c r="AT88" s="161"/>
      <x:c r="AU88" s="161"/>
      <x:c r="AV88" s="161"/>
      <x:c r="AW88" s="161"/>
      <x:c r="AX88" s="161"/>
      <x:c r="AY88" s="161"/>
      <x:c r="AZ88" s="161"/>
    </x:row>
    <x:row r="89" ht="15" hidden="0" customHeight="1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  <x:c r="AA89" s="161"/>
      <x:c r="AB89" s="161"/>
      <x:c r="AC89" s="161"/>
      <x:c r="AD89" s="161"/>
      <x:c r="AE89" s="161"/>
      <x:c r="AF89" s="161"/>
      <x:c r="AG89" s="161"/>
      <x:c r="AH89" s="161"/>
      <x:c r="AI89" s="161"/>
      <x:c r="AJ89" s="161"/>
      <x:c r="AK89" s="161"/>
      <x:c r="AL89" s="161"/>
      <x:c r="AM89" s="161"/>
      <x:c r="AN89" s="161"/>
      <x:c r="AO89" s="161"/>
      <x:c r="AP89" s="161"/>
      <x:c r="AQ89" s="161"/>
      <x:c r="AR89" s="161"/>
      <x:c r="AS89" s="161"/>
      <x:c r="AT89" s="161"/>
      <x:c r="AU89" s="161"/>
      <x:c r="AV89" s="161"/>
      <x:c r="AW89" s="161"/>
      <x:c r="AX89" s="161"/>
      <x:c r="AY89" s="161"/>
      <x:c r="AZ89" s="161"/>
    </x:row>
    <x:row r="90" ht="15" hidden="0" customHeight="1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  <x:c r="AA90" s="161"/>
      <x:c r="AB90" s="161"/>
      <x:c r="AC90" s="161"/>
      <x:c r="AD90" s="161"/>
      <x:c r="AE90" s="161"/>
      <x:c r="AF90" s="161"/>
      <x:c r="AG90" s="161"/>
      <x:c r="AH90" s="161"/>
      <x:c r="AI90" s="161"/>
      <x:c r="AJ90" s="161"/>
      <x:c r="AK90" s="161"/>
      <x:c r="AL90" s="161"/>
      <x:c r="AM90" s="161"/>
      <x:c r="AN90" s="161"/>
      <x:c r="AO90" s="161"/>
      <x:c r="AP90" s="161"/>
      <x:c r="AQ90" s="161"/>
      <x:c r="AR90" s="161"/>
      <x:c r="AS90" s="161"/>
      <x:c r="AT90" s="161"/>
      <x:c r="AU90" s="161"/>
      <x:c r="AV90" s="161"/>
      <x:c r="AW90" s="161"/>
      <x:c r="AX90" s="161"/>
      <x:c r="AY90" s="161"/>
      <x:c r="AZ90" s="161"/>
    </x:row>
    <x:row r="91" ht="15" hidden="0" customHeight="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  <x:c r="AA91" s="161"/>
      <x:c r="AB91" s="161"/>
      <x:c r="AC91" s="161"/>
      <x:c r="AD91" s="161"/>
      <x:c r="AE91" s="161"/>
      <x:c r="AF91" s="161"/>
      <x:c r="AG91" s="161"/>
      <x:c r="AH91" s="161"/>
      <x:c r="AI91" s="161"/>
      <x:c r="AJ91" s="161"/>
      <x:c r="AK91" s="161"/>
      <x:c r="AL91" s="161"/>
      <x:c r="AM91" s="161"/>
      <x:c r="AN91" s="161"/>
      <x:c r="AO91" s="161"/>
      <x:c r="AP91" s="161"/>
      <x:c r="AQ91" s="161"/>
      <x:c r="AR91" s="161"/>
      <x:c r="AS91" s="161"/>
      <x:c r="AT91" s="161"/>
      <x:c r="AU91" s="161"/>
      <x:c r="AV91" s="161"/>
      <x:c r="AW91" s="161"/>
      <x:c r="AX91" s="161"/>
      <x:c r="AY91" s="161"/>
      <x:c r="AZ91" s="161"/>
    </x:row>
    <x:row r="92" ht="15" hidden="0" customHeight="1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  <x:c r="AA92" s="161"/>
      <x:c r="AB92" s="161"/>
      <x:c r="AC92" s="161"/>
      <x:c r="AD92" s="161"/>
      <x:c r="AE92" s="161"/>
      <x:c r="AF92" s="161"/>
      <x:c r="AG92" s="161"/>
      <x:c r="AH92" s="161"/>
      <x:c r="AI92" s="161"/>
      <x:c r="AJ92" s="161"/>
      <x:c r="AK92" s="161"/>
      <x:c r="AL92" s="161"/>
      <x:c r="AM92" s="161"/>
      <x:c r="AN92" s="161"/>
      <x:c r="AO92" s="161"/>
      <x:c r="AP92" s="161"/>
      <x:c r="AQ92" s="161"/>
      <x:c r="AR92" s="161"/>
      <x:c r="AS92" s="161"/>
      <x:c r="AT92" s="161"/>
      <x:c r="AU92" s="161"/>
      <x:c r="AV92" s="161"/>
      <x:c r="AW92" s="161"/>
      <x:c r="AX92" s="161"/>
      <x:c r="AY92" s="161"/>
      <x:c r="AZ92" s="161"/>
    </x:row>
    <x:row r="93" ht="15" hidden="0" customHeight="1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  <x:c r="AA93" s="161"/>
      <x:c r="AB93" s="161"/>
      <x:c r="AC93" s="161"/>
      <x:c r="AD93" s="161"/>
      <x:c r="AE93" s="161"/>
      <x:c r="AF93" s="161"/>
      <x:c r="AG93" s="161"/>
      <x:c r="AH93" s="161"/>
      <x:c r="AI93" s="161"/>
      <x:c r="AJ93" s="161"/>
      <x:c r="AK93" s="161"/>
      <x:c r="AL93" s="161"/>
      <x:c r="AM93" s="161"/>
      <x:c r="AN93" s="161"/>
      <x:c r="AO93" s="161"/>
      <x:c r="AP93" s="161"/>
      <x:c r="AQ93" s="161"/>
      <x:c r="AR93" s="161"/>
      <x:c r="AS93" s="161"/>
      <x:c r="AT93" s="161"/>
      <x:c r="AU93" s="161"/>
      <x:c r="AV93" s="161"/>
      <x:c r="AW93" s="161"/>
      <x:c r="AX93" s="161"/>
      <x:c r="AY93" s="161"/>
      <x:c r="AZ93" s="161"/>
    </x:row>
    <x:row r="94" ht="15" hidden="0" customHeight="1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  <x:c r="AA94" s="161"/>
      <x:c r="AB94" s="161"/>
      <x:c r="AC94" s="161"/>
      <x:c r="AD94" s="161"/>
      <x:c r="AE94" s="161"/>
      <x:c r="AF94" s="161"/>
      <x:c r="AG94" s="161"/>
      <x:c r="AH94" s="161"/>
      <x:c r="AI94" s="161"/>
      <x:c r="AJ94" s="161"/>
      <x:c r="AK94" s="161"/>
      <x:c r="AL94" s="161"/>
      <x:c r="AM94" s="161"/>
      <x:c r="AN94" s="161"/>
      <x:c r="AO94" s="161"/>
      <x:c r="AP94" s="161"/>
      <x:c r="AQ94" s="161"/>
      <x:c r="AR94" s="161"/>
      <x:c r="AS94" s="161"/>
      <x:c r="AT94" s="161"/>
      <x:c r="AU94" s="161"/>
      <x:c r="AV94" s="161"/>
      <x:c r="AW94" s="161"/>
      <x:c r="AX94" s="161"/>
      <x:c r="AY94" s="161"/>
      <x:c r="AZ94" s="161"/>
    </x:row>
    <x:row r="95" ht="15" hidden="0" customHeight="1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  <x:c r="AA95" s="161"/>
      <x:c r="AB95" s="161"/>
      <x:c r="AC95" s="161"/>
      <x:c r="AD95" s="161"/>
      <x:c r="AE95" s="161"/>
      <x:c r="AF95" s="161"/>
      <x:c r="AG95" s="161"/>
      <x:c r="AH95" s="161"/>
      <x:c r="AI95" s="161"/>
      <x:c r="AJ95" s="161"/>
      <x:c r="AK95" s="161"/>
      <x:c r="AL95" s="161"/>
      <x:c r="AM95" s="161"/>
      <x:c r="AN95" s="161"/>
      <x:c r="AO95" s="161"/>
      <x:c r="AP95" s="161"/>
      <x:c r="AQ95" s="161"/>
      <x:c r="AR95" s="161"/>
      <x:c r="AS95" s="161"/>
      <x:c r="AT95" s="161"/>
      <x:c r="AU95" s="161"/>
      <x:c r="AV95" s="161"/>
      <x:c r="AW95" s="161"/>
      <x:c r="AX95" s="161"/>
      <x:c r="AY95" s="161"/>
      <x:c r="AZ95" s="161"/>
    </x:row>
    <x:row r="96" ht="15" hidden="0" customHeight="1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  <x:c r="AA96" s="161"/>
      <x:c r="AB96" s="161"/>
      <x:c r="AC96" s="161"/>
      <x:c r="AD96" s="161"/>
      <x:c r="AE96" s="161"/>
      <x:c r="AF96" s="161"/>
      <x:c r="AG96" s="161"/>
      <x:c r="AH96" s="161"/>
      <x:c r="AI96" s="161"/>
      <x:c r="AJ96" s="161"/>
      <x:c r="AK96" s="161"/>
      <x:c r="AL96" s="161"/>
      <x:c r="AM96" s="161"/>
      <x:c r="AN96" s="161"/>
      <x:c r="AO96" s="161"/>
      <x:c r="AP96" s="161"/>
      <x:c r="AQ96" s="161"/>
      <x:c r="AR96" s="161"/>
      <x:c r="AS96" s="161"/>
      <x:c r="AT96" s="161"/>
      <x:c r="AU96" s="161"/>
      <x:c r="AV96" s="161"/>
      <x:c r="AW96" s="161"/>
      <x:c r="AX96" s="161"/>
      <x:c r="AY96" s="161"/>
      <x:c r="AZ96" s="161"/>
    </x:row>
    <x:row r="97" ht="15" hidden="0" customHeight="1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  <x:c r="AA97" s="161"/>
      <x:c r="AB97" s="161"/>
      <x:c r="AC97" s="161"/>
      <x:c r="AD97" s="161"/>
      <x:c r="AE97" s="161"/>
      <x:c r="AF97" s="161"/>
      <x:c r="AG97" s="161"/>
      <x:c r="AH97" s="161"/>
      <x:c r="AI97" s="161"/>
      <x:c r="AJ97" s="161"/>
      <x:c r="AK97" s="161"/>
      <x:c r="AL97" s="161"/>
      <x:c r="AM97" s="161"/>
      <x:c r="AN97" s="161"/>
      <x:c r="AO97" s="161"/>
      <x:c r="AP97" s="161"/>
      <x:c r="AQ97" s="161"/>
      <x:c r="AR97" s="161"/>
      <x:c r="AS97" s="161"/>
      <x:c r="AT97" s="161"/>
      <x:c r="AU97" s="161"/>
      <x:c r="AV97" s="161"/>
      <x:c r="AW97" s="161"/>
      <x:c r="AX97" s="161"/>
      <x:c r="AY97" s="161"/>
      <x:c r="AZ97" s="161"/>
    </x:row>
    <x:row r="98" ht="15" hidden="0" customHeight="1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  <x:c r="AA98" s="161"/>
      <x:c r="AB98" s="161"/>
      <x:c r="AC98" s="161"/>
      <x:c r="AD98" s="161"/>
      <x:c r="AE98" s="161"/>
      <x:c r="AF98" s="161"/>
      <x:c r="AG98" s="161"/>
      <x:c r="AH98" s="161"/>
      <x:c r="AI98" s="161"/>
      <x:c r="AJ98" s="161"/>
      <x:c r="AK98" s="161"/>
      <x:c r="AL98" s="161"/>
      <x:c r="AM98" s="161"/>
      <x:c r="AN98" s="161"/>
      <x:c r="AO98" s="161"/>
      <x:c r="AP98" s="161"/>
      <x:c r="AQ98" s="161"/>
      <x:c r="AR98" s="161"/>
      <x:c r="AS98" s="161"/>
      <x:c r="AT98" s="161"/>
      <x:c r="AU98" s="161"/>
      <x:c r="AV98" s="161"/>
      <x:c r="AW98" s="161"/>
      <x:c r="AX98" s="161"/>
      <x:c r="AY98" s="161"/>
      <x:c r="AZ98" s="161"/>
    </x:row>
    <x:row r="99" ht="15" hidden="0" customHeight="1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  <x:c r="AA99" s="161"/>
      <x:c r="AB99" s="161"/>
      <x:c r="AC99" s="161"/>
      <x:c r="AD99" s="161"/>
      <x:c r="AE99" s="161"/>
      <x:c r="AF99" s="161"/>
      <x:c r="AG99" s="161"/>
      <x:c r="AH99" s="161"/>
      <x:c r="AI99" s="161"/>
      <x:c r="AJ99" s="161"/>
      <x:c r="AK99" s="161"/>
      <x:c r="AL99" s="161"/>
      <x:c r="AM99" s="161"/>
      <x:c r="AN99" s="161"/>
      <x:c r="AO99" s="161"/>
      <x:c r="AP99" s="161"/>
      <x:c r="AQ99" s="161"/>
      <x:c r="AR99" s="161"/>
      <x:c r="AS99" s="161"/>
      <x:c r="AT99" s="161"/>
      <x:c r="AU99" s="161"/>
      <x:c r="AV99" s="161"/>
      <x:c r="AW99" s="161"/>
      <x:c r="AX99" s="161"/>
      <x:c r="AY99" s="161"/>
      <x:c r="AZ99" s="161"/>
    </x:row>
    <x:row r="100" ht="15" hidden="0" customHeight="1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  <x:c r="AA100" s="161"/>
      <x:c r="AB100" s="161"/>
      <x:c r="AC100" s="161"/>
      <x:c r="AD100" s="161"/>
      <x:c r="AE100" s="161"/>
      <x:c r="AF100" s="161"/>
      <x:c r="AG100" s="161"/>
      <x:c r="AH100" s="161"/>
      <x:c r="AI100" s="161"/>
      <x:c r="AJ100" s="161"/>
      <x:c r="AK100" s="161"/>
      <x:c r="AL100" s="161"/>
      <x:c r="AM100" s="161"/>
      <x:c r="AN100" s="161"/>
      <x:c r="AO100" s="161"/>
      <x:c r="AP100" s="161"/>
      <x:c r="AQ100" s="161"/>
      <x:c r="AR100" s="161"/>
      <x:c r="AS100" s="161"/>
      <x:c r="AT100" s="161"/>
      <x:c r="AU100" s="161"/>
      <x:c r="AV100" s="161"/>
      <x:c r="AW100" s="161"/>
      <x:c r="AX100" s="161"/>
      <x:c r="AY100" s="161"/>
      <x:c r="AZ100" s="161"/>
    </x:row>
    <x:row r="101" ht="15" hidden="0" customHeight="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  <x:c r="AA101" s="161"/>
      <x:c r="AB101" s="161"/>
      <x:c r="AC101" s="161"/>
      <x:c r="AD101" s="161"/>
      <x:c r="AE101" s="161"/>
      <x:c r="AF101" s="161"/>
      <x:c r="AG101" s="161"/>
      <x:c r="AH101" s="161"/>
      <x:c r="AI101" s="161"/>
      <x:c r="AJ101" s="161"/>
      <x:c r="AK101" s="161"/>
      <x:c r="AL101" s="161"/>
      <x:c r="AM101" s="161"/>
      <x:c r="AN101" s="161"/>
      <x:c r="AO101" s="161"/>
      <x:c r="AP101" s="161"/>
      <x:c r="AQ101" s="161"/>
      <x:c r="AR101" s="161"/>
      <x:c r="AS101" s="161"/>
      <x:c r="AT101" s="161"/>
      <x:c r="AU101" s="161"/>
      <x:c r="AV101" s="161"/>
      <x:c r="AW101" s="161"/>
      <x:c r="AX101" s="161"/>
      <x:c r="AY101" s="161"/>
      <x:c r="AZ101" s="161"/>
    </x:row>
    <x:row r="102" ht="15" hidden="0" customHeight="1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  <x:c r="AA102" s="161"/>
      <x:c r="AB102" s="161"/>
      <x:c r="AC102" s="161"/>
      <x:c r="AD102" s="161"/>
      <x:c r="AE102" s="161"/>
      <x:c r="AF102" s="161"/>
      <x:c r="AG102" s="161"/>
      <x:c r="AH102" s="161"/>
      <x:c r="AI102" s="161"/>
      <x:c r="AJ102" s="161"/>
      <x:c r="AK102" s="161"/>
      <x:c r="AL102" s="161"/>
      <x:c r="AM102" s="161"/>
      <x:c r="AN102" s="161"/>
      <x:c r="AO102" s="161"/>
      <x:c r="AP102" s="161"/>
      <x:c r="AQ102" s="161"/>
      <x:c r="AR102" s="161"/>
      <x:c r="AS102" s="161"/>
      <x:c r="AT102" s="161"/>
      <x:c r="AU102" s="161"/>
      <x:c r="AV102" s="161"/>
      <x:c r="AW102" s="161"/>
      <x:c r="AX102" s="161"/>
      <x:c r="AY102" s="161"/>
      <x:c r="AZ102" s="161"/>
    </x:row>
    <x:row r="103" ht="15" hidden="0" customHeight="1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  <x:c r="AA103" s="161"/>
      <x:c r="AB103" s="161"/>
      <x:c r="AC103" s="161"/>
      <x:c r="AD103" s="161"/>
      <x:c r="AE103" s="161"/>
      <x:c r="AF103" s="161"/>
      <x:c r="AG103" s="161"/>
      <x:c r="AH103" s="161"/>
      <x:c r="AI103" s="161"/>
      <x:c r="AJ103" s="161"/>
      <x:c r="AK103" s="161"/>
      <x:c r="AL103" s="161"/>
      <x:c r="AM103" s="161"/>
      <x:c r="AN103" s="161"/>
      <x:c r="AO103" s="161"/>
      <x:c r="AP103" s="161"/>
      <x:c r="AQ103" s="161"/>
      <x:c r="AR103" s="161"/>
      <x:c r="AS103" s="161"/>
      <x:c r="AT103" s="161"/>
      <x:c r="AU103" s="161"/>
      <x:c r="AV103" s="161"/>
      <x:c r="AW103" s="161"/>
      <x:c r="AX103" s="161"/>
      <x:c r="AY103" s="161"/>
      <x:c r="AZ103" s="161"/>
    </x:row>
    <x:row r="104" ht="15" hidden="0" customHeight="1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  <x:c r="AA104" s="161"/>
      <x:c r="AB104" s="161"/>
      <x:c r="AC104" s="161"/>
      <x:c r="AD104" s="161"/>
      <x:c r="AE104" s="161"/>
      <x:c r="AF104" s="161"/>
      <x:c r="AG104" s="161"/>
      <x:c r="AH104" s="161"/>
      <x:c r="AI104" s="161"/>
      <x:c r="AJ104" s="161"/>
      <x:c r="AK104" s="161"/>
      <x:c r="AL104" s="161"/>
      <x:c r="AM104" s="161"/>
      <x:c r="AN104" s="161"/>
      <x:c r="AO104" s="161"/>
      <x:c r="AP104" s="161"/>
      <x:c r="AQ104" s="161"/>
      <x:c r="AR104" s="161"/>
      <x:c r="AS104" s="161"/>
      <x:c r="AT104" s="161"/>
      <x:c r="AU104" s="161"/>
      <x:c r="AV104" s="161"/>
      <x:c r="AW104" s="161"/>
      <x:c r="AX104" s="161"/>
      <x:c r="AY104" s="161"/>
      <x:c r="AZ104" s="161"/>
    </x:row>
    <x:row r="105" ht="15" hidden="0" customHeight="1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  <x:c r="AA105" s="161"/>
      <x:c r="AB105" s="161"/>
      <x:c r="AC105" s="161"/>
      <x:c r="AD105" s="161"/>
      <x:c r="AE105" s="161"/>
      <x:c r="AF105" s="161"/>
      <x:c r="AG105" s="161"/>
      <x:c r="AH105" s="161"/>
      <x:c r="AI105" s="161"/>
      <x:c r="AJ105" s="161"/>
      <x:c r="AK105" s="161"/>
      <x:c r="AL105" s="161"/>
      <x:c r="AM105" s="161"/>
      <x:c r="AN105" s="161"/>
      <x:c r="AO105" s="161"/>
      <x:c r="AP105" s="161"/>
      <x:c r="AQ105" s="161"/>
      <x:c r="AR105" s="161"/>
      <x:c r="AS105" s="161"/>
      <x:c r="AT105" s="161"/>
      <x:c r="AU105" s="161"/>
      <x:c r="AV105" s="161"/>
      <x:c r="AW105" s="161"/>
      <x:c r="AX105" s="161"/>
      <x:c r="AY105" s="161"/>
      <x:c r="AZ105" s="161"/>
    </x:row>
    <x:row r="106" ht="15" hidden="0" customHeight="1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  <x:c r="AA106" s="161"/>
      <x:c r="AB106" s="161"/>
      <x:c r="AC106" s="161"/>
      <x:c r="AD106" s="161"/>
      <x:c r="AE106" s="161"/>
      <x:c r="AF106" s="161"/>
      <x:c r="AG106" s="161"/>
      <x:c r="AH106" s="161"/>
      <x:c r="AI106" s="161"/>
      <x:c r="AJ106" s="161"/>
      <x:c r="AK106" s="161"/>
      <x:c r="AL106" s="161"/>
      <x:c r="AM106" s="161"/>
      <x:c r="AN106" s="161"/>
      <x:c r="AO106" s="161"/>
      <x:c r="AP106" s="161"/>
      <x:c r="AQ106" s="161"/>
      <x:c r="AR106" s="161"/>
      <x:c r="AS106" s="161"/>
      <x:c r="AT106" s="161"/>
      <x:c r="AU106" s="161"/>
      <x:c r="AV106" s="161"/>
      <x:c r="AW106" s="161"/>
      <x:c r="AX106" s="161"/>
      <x:c r="AY106" s="161"/>
      <x:c r="AZ106" s="161"/>
    </x:row>
    <x:row r="107" ht="15" hidden="0" customHeight="1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  <x:c r="AA107" s="161"/>
      <x:c r="AB107" s="161"/>
      <x:c r="AC107" s="161"/>
      <x:c r="AD107" s="161"/>
      <x:c r="AE107" s="161"/>
      <x:c r="AF107" s="161"/>
      <x:c r="AG107" s="161"/>
      <x:c r="AH107" s="161"/>
      <x:c r="AI107" s="161"/>
      <x:c r="AJ107" s="161"/>
      <x:c r="AK107" s="161"/>
      <x:c r="AL107" s="161"/>
      <x:c r="AM107" s="161"/>
      <x:c r="AN107" s="161"/>
      <x:c r="AO107" s="161"/>
      <x:c r="AP107" s="161"/>
      <x:c r="AQ107" s="161"/>
      <x:c r="AR107" s="161"/>
      <x:c r="AS107" s="161"/>
      <x:c r="AT107" s="161"/>
      <x:c r="AU107" s="161"/>
      <x:c r="AV107" s="161"/>
      <x:c r="AW107" s="161"/>
      <x:c r="AX107" s="161"/>
      <x:c r="AY107" s="161"/>
      <x:c r="AZ107" s="161"/>
    </x:row>
    <x:row r="108" ht="15" hidden="0" customHeight="1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  <x:c r="AA108" s="161"/>
      <x:c r="AB108" s="161"/>
      <x:c r="AC108" s="161"/>
      <x:c r="AD108" s="161"/>
      <x:c r="AE108" s="161"/>
      <x:c r="AF108" s="161"/>
      <x:c r="AG108" s="161"/>
      <x:c r="AH108" s="161"/>
      <x:c r="AI108" s="161"/>
      <x:c r="AJ108" s="161"/>
      <x:c r="AK108" s="161"/>
      <x:c r="AL108" s="161"/>
      <x:c r="AM108" s="161"/>
      <x:c r="AN108" s="161"/>
      <x:c r="AO108" s="161"/>
      <x:c r="AP108" s="161"/>
      <x:c r="AQ108" s="161"/>
      <x:c r="AR108" s="161"/>
      <x:c r="AS108" s="161"/>
      <x:c r="AT108" s="161"/>
      <x:c r="AU108" s="161"/>
      <x:c r="AV108" s="161"/>
      <x:c r="AW108" s="161"/>
      <x:c r="AX108" s="161"/>
      <x:c r="AY108" s="161"/>
      <x:c r="AZ108" s="161"/>
    </x:row>
    <x:row r="109" ht="15" hidden="0" customHeight="1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  <x:c r="AA109" s="161"/>
      <x:c r="AB109" s="161"/>
      <x:c r="AC109" s="161"/>
      <x:c r="AD109" s="161"/>
      <x:c r="AE109" s="161"/>
      <x:c r="AF109" s="161"/>
      <x:c r="AG109" s="161"/>
      <x:c r="AH109" s="161"/>
      <x:c r="AI109" s="161"/>
      <x:c r="AJ109" s="161"/>
      <x:c r="AK109" s="161"/>
      <x:c r="AL109" s="161"/>
      <x:c r="AM109" s="161"/>
      <x:c r="AN109" s="161"/>
      <x:c r="AO109" s="161"/>
      <x:c r="AP109" s="161"/>
      <x:c r="AQ109" s="161"/>
      <x:c r="AR109" s="161"/>
      <x:c r="AS109" s="161"/>
      <x:c r="AT109" s="161"/>
      <x:c r="AU109" s="161"/>
      <x:c r="AV109" s="161"/>
      <x:c r="AW109" s="161"/>
      <x:c r="AX109" s="161"/>
      <x:c r="AY109" s="161"/>
      <x:c r="AZ109" s="161"/>
    </x:row>
    <x:row r="110" ht="15" hidden="0" customHeight="1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  <x:c r="AA110" s="161"/>
      <x:c r="AB110" s="161"/>
      <x:c r="AC110" s="161"/>
      <x:c r="AD110" s="161"/>
      <x:c r="AE110" s="161"/>
      <x:c r="AF110" s="161"/>
      <x:c r="AG110" s="161"/>
      <x:c r="AH110" s="161"/>
      <x:c r="AI110" s="161"/>
      <x:c r="AJ110" s="161"/>
      <x:c r="AK110" s="161"/>
      <x:c r="AL110" s="161"/>
      <x:c r="AM110" s="161"/>
      <x:c r="AN110" s="161"/>
      <x:c r="AO110" s="161"/>
      <x:c r="AP110" s="161"/>
      <x:c r="AQ110" s="161"/>
      <x:c r="AR110" s="161"/>
      <x:c r="AS110" s="161"/>
      <x:c r="AT110" s="161"/>
      <x:c r="AU110" s="161"/>
      <x:c r="AV110" s="161"/>
      <x:c r="AW110" s="161"/>
      <x:c r="AX110" s="161"/>
      <x:c r="AY110" s="161"/>
      <x:c r="AZ110" s="161"/>
    </x:row>
    <x:row r="111" ht="15" hidden="0" customHeight="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  <x:c r="AA111" s="161"/>
      <x:c r="AB111" s="161"/>
      <x:c r="AC111" s="161"/>
      <x:c r="AD111" s="161"/>
      <x:c r="AE111" s="161"/>
      <x:c r="AF111" s="161"/>
      <x:c r="AG111" s="161"/>
      <x:c r="AH111" s="161"/>
      <x:c r="AI111" s="161"/>
      <x:c r="AJ111" s="161"/>
      <x:c r="AK111" s="161"/>
      <x:c r="AL111" s="161"/>
      <x:c r="AM111" s="161"/>
      <x:c r="AN111" s="161"/>
      <x:c r="AO111" s="161"/>
      <x:c r="AP111" s="161"/>
      <x:c r="AQ111" s="161"/>
      <x:c r="AR111" s="161"/>
      <x:c r="AS111" s="161"/>
      <x:c r="AT111" s="161"/>
      <x:c r="AU111" s="161"/>
      <x:c r="AV111" s="161"/>
      <x:c r="AW111" s="161"/>
      <x:c r="AX111" s="161"/>
      <x:c r="AY111" s="161"/>
      <x:c r="AZ111" s="161"/>
    </x:row>
    <x:row r="112" ht="15" hidden="0" customHeight="1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  <x:c r="AA112" s="161"/>
      <x:c r="AB112" s="161"/>
      <x:c r="AC112" s="161"/>
      <x:c r="AD112" s="161"/>
      <x:c r="AE112" s="161"/>
      <x:c r="AF112" s="161"/>
      <x:c r="AG112" s="161"/>
      <x:c r="AH112" s="161"/>
      <x:c r="AI112" s="161"/>
      <x:c r="AJ112" s="161"/>
      <x:c r="AK112" s="161"/>
      <x:c r="AL112" s="161"/>
      <x:c r="AM112" s="161"/>
      <x:c r="AN112" s="161"/>
      <x:c r="AO112" s="161"/>
      <x:c r="AP112" s="161"/>
      <x:c r="AQ112" s="161"/>
      <x:c r="AR112" s="161"/>
      <x:c r="AS112" s="161"/>
      <x:c r="AT112" s="161"/>
      <x:c r="AU112" s="161"/>
      <x:c r="AV112" s="161"/>
      <x:c r="AW112" s="161"/>
      <x:c r="AX112" s="161"/>
      <x:c r="AY112" s="161"/>
      <x:c r="AZ112" s="161"/>
    </x:row>
    <x:row r="113" ht="15" hidden="0" customHeight="1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  <x:c r="AA113" s="161"/>
      <x:c r="AB113" s="161"/>
      <x:c r="AC113" s="161"/>
      <x:c r="AD113" s="161"/>
      <x:c r="AE113" s="161"/>
      <x:c r="AF113" s="161"/>
      <x:c r="AG113" s="161"/>
      <x:c r="AH113" s="161"/>
      <x:c r="AI113" s="161"/>
      <x:c r="AJ113" s="161"/>
      <x:c r="AK113" s="161"/>
      <x:c r="AL113" s="161"/>
      <x:c r="AM113" s="161"/>
      <x:c r="AN113" s="161"/>
      <x:c r="AO113" s="161"/>
      <x:c r="AP113" s="161"/>
      <x:c r="AQ113" s="161"/>
      <x:c r="AR113" s="161"/>
      <x:c r="AS113" s="161"/>
      <x:c r="AT113" s="161"/>
      <x:c r="AU113" s="161"/>
      <x:c r="AV113" s="161"/>
      <x:c r="AW113" s="161"/>
      <x:c r="AX113" s="161"/>
      <x:c r="AY113" s="161"/>
      <x:c r="AZ113" s="161"/>
    </x:row>
    <x:row r="114" ht="15" hidden="0" customHeight="1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  <x:c r="AA114" s="161"/>
      <x:c r="AB114" s="161"/>
      <x:c r="AC114" s="161"/>
      <x:c r="AD114" s="161"/>
      <x:c r="AE114" s="161"/>
      <x:c r="AF114" s="161"/>
      <x:c r="AG114" s="161"/>
      <x:c r="AH114" s="161"/>
      <x:c r="AI114" s="161"/>
      <x:c r="AJ114" s="161"/>
      <x:c r="AK114" s="161"/>
      <x:c r="AL114" s="161"/>
      <x:c r="AM114" s="161"/>
      <x:c r="AN114" s="161"/>
      <x:c r="AO114" s="161"/>
      <x:c r="AP114" s="161"/>
      <x:c r="AQ114" s="161"/>
      <x:c r="AR114" s="161"/>
      <x:c r="AS114" s="161"/>
      <x:c r="AT114" s="161"/>
      <x:c r="AU114" s="161"/>
      <x:c r="AV114" s="161"/>
      <x:c r="AW114" s="161"/>
      <x:c r="AX114" s="161"/>
      <x:c r="AY114" s="161"/>
      <x:c r="AZ114" s="161"/>
    </x:row>
    <x:row r="115" ht="15" hidden="0" customHeight="1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  <x:c r="AA115" s="161"/>
      <x:c r="AB115" s="161"/>
      <x:c r="AC115" s="161"/>
      <x:c r="AD115" s="161"/>
      <x:c r="AE115" s="161"/>
      <x:c r="AF115" s="161"/>
      <x:c r="AG115" s="161"/>
      <x:c r="AH115" s="161"/>
      <x:c r="AI115" s="161"/>
      <x:c r="AJ115" s="161"/>
      <x:c r="AK115" s="161"/>
      <x:c r="AL115" s="161"/>
      <x:c r="AM115" s="161"/>
      <x:c r="AN115" s="161"/>
      <x:c r="AO115" s="161"/>
      <x:c r="AP115" s="161"/>
      <x:c r="AQ115" s="161"/>
      <x:c r="AR115" s="161"/>
      <x:c r="AS115" s="161"/>
      <x:c r="AT115" s="161"/>
      <x:c r="AU115" s="161"/>
      <x:c r="AV115" s="161"/>
      <x:c r="AW115" s="161"/>
      <x:c r="AX115" s="161"/>
      <x:c r="AY115" s="161"/>
      <x:c r="AZ115" s="161"/>
    </x:row>
    <x:row r="116" ht="15" hidden="0" customHeight="1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  <x:c r="AA116" s="161"/>
      <x:c r="AB116" s="161"/>
      <x:c r="AC116" s="161"/>
      <x:c r="AD116" s="161"/>
      <x:c r="AE116" s="161"/>
      <x:c r="AF116" s="161"/>
      <x:c r="AG116" s="161"/>
      <x:c r="AH116" s="161"/>
      <x:c r="AI116" s="161"/>
      <x:c r="AJ116" s="161"/>
      <x:c r="AK116" s="161"/>
      <x:c r="AL116" s="161"/>
      <x:c r="AM116" s="161"/>
      <x:c r="AN116" s="161"/>
      <x:c r="AO116" s="161"/>
      <x:c r="AP116" s="161"/>
      <x:c r="AQ116" s="161"/>
      <x:c r="AR116" s="161"/>
      <x:c r="AS116" s="161"/>
      <x:c r="AT116" s="161"/>
      <x:c r="AU116" s="161"/>
      <x:c r="AV116" s="161"/>
      <x:c r="AW116" s="161"/>
      <x:c r="AX116" s="161"/>
      <x:c r="AY116" s="161"/>
      <x:c r="AZ116" s="161"/>
    </x:row>
    <x:row r="117" ht="15" hidden="0" customHeight="1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  <x:c r="AA117" s="161"/>
      <x:c r="AB117" s="161"/>
      <x:c r="AC117" s="161"/>
      <x:c r="AD117" s="161"/>
      <x:c r="AE117" s="161"/>
      <x:c r="AF117" s="161"/>
      <x:c r="AG117" s="161"/>
      <x:c r="AH117" s="161"/>
      <x:c r="AI117" s="161"/>
      <x:c r="AJ117" s="161"/>
      <x:c r="AK117" s="161"/>
      <x:c r="AL117" s="161"/>
      <x:c r="AM117" s="161"/>
      <x:c r="AN117" s="161"/>
      <x:c r="AO117" s="161"/>
      <x:c r="AP117" s="161"/>
      <x:c r="AQ117" s="161"/>
      <x:c r="AR117" s="161"/>
      <x:c r="AS117" s="161"/>
      <x:c r="AT117" s="161"/>
      <x:c r="AU117" s="161"/>
      <x:c r="AV117" s="161"/>
      <x:c r="AW117" s="161"/>
      <x:c r="AX117" s="161"/>
      <x:c r="AY117" s="161"/>
      <x:c r="AZ117" s="161"/>
    </x:row>
    <x:row r="118" ht="15" hidden="0" customHeight="1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  <x:c r="AA118" s="161"/>
      <x:c r="AB118" s="161"/>
      <x:c r="AC118" s="161"/>
      <x:c r="AD118" s="161"/>
      <x:c r="AE118" s="161"/>
      <x:c r="AF118" s="161"/>
      <x:c r="AG118" s="161"/>
      <x:c r="AH118" s="161"/>
      <x:c r="AI118" s="161"/>
      <x:c r="AJ118" s="161"/>
      <x:c r="AK118" s="161"/>
      <x:c r="AL118" s="161"/>
      <x:c r="AM118" s="161"/>
      <x:c r="AN118" s="161"/>
      <x:c r="AO118" s="161"/>
      <x:c r="AP118" s="161"/>
      <x:c r="AQ118" s="161"/>
      <x:c r="AR118" s="161"/>
      <x:c r="AS118" s="161"/>
      <x:c r="AT118" s="161"/>
      <x:c r="AU118" s="161"/>
      <x:c r="AV118" s="161"/>
      <x:c r="AW118" s="161"/>
      <x:c r="AX118" s="161"/>
      <x:c r="AY118" s="161"/>
      <x:c r="AZ118" s="161"/>
    </x:row>
    <x:row r="119" ht="15" hidden="0" customHeight="1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  <x:c r="AA119" s="161"/>
      <x:c r="AB119" s="161"/>
      <x:c r="AC119" s="161"/>
      <x:c r="AD119" s="161"/>
      <x:c r="AE119" s="161"/>
      <x:c r="AF119" s="161"/>
      <x:c r="AG119" s="161"/>
      <x:c r="AH119" s="161"/>
      <x:c r="AI119" s="161"/>
      <x:c r="AJ119" s="161"/>
      <x:c r="AK119" s="161"/>
      <x:c r="AL119" s="161"/>
      <x:c r="AM119" s="161"/>
      <x:c r="AN119" s="161"/>
      <x:c r="AO119" s="161"/>
      <x:c r="AP119" s="161"/>
      <x:c r="AQ119" s="161"/>
      <x:c r="AR119" s="161"/>
      <x:c r="AS119" s="161"/>
      <x:c r="AT119" s="161"/>
      <x:c r="AU119" s="161"/>
      <x:c r="AV119" s="161"/>
      <x:c r="AW119" s="161"/>
      <x:c r="AX119" s="161"/>
      <x:c r="AY119" s="161"/>
      <x:c r="AZ119" s="161"/>
    </x:row>
    <x:row r="120" ht="15" hidden="0" customHeight="1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  <x:c r="AA120" s="161"/>
      <x:c r="AB120" s="161"/>
      <x:c r="AC120" s="161"/>
      <x:c r="AD120" s="161"/>
      <x:c r="AE120" s="161"/>
      <x:c r="AF120" s="161"/>
      <x:c r="AG120" s="161"/>
      <x:c r="AH120" s="161"/>
      <x:c r="AI120" s="161"/>
      <x:c r="AJ120" s="161"/>
      <x:c r="AK120" s="161"/>
      <x:c r="AL120" s="161"/>
      <x:c r="AM120" s="161"/>
      <x:c r="AN120" s="161"/>
      <x:c r="AO120" s="161"/>
      <x:c r="AP120" s="161"/>
      <x:c r="AQ120" s="161"/>
      <x:c r="AR120" s="161"/>
      <x:c r="AS120" s="161"/>
      <x:c r="AT120" s="161"/>
      <x:c r="AU120" s="161"/>
      <x:c r="AV120" s="161"/>
      <x:c r="AW120" s="161"/>
      <x:c r="AX120" s="161"/>
      <x:c r="AY120" s="161"/>
      <x:c r="AZ120" s="161"/>
    </x:row>
    <x:row r="121" ht="15" hidden="0" customHeight="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  <x:c r="AA121" s="161"/>
      <x:c r="AB121" s="161"/>
      <x:c r="AC121" s="161"/>
      <x:c r="AD121" s="161"/>
      <x:c r="AE121" s="161"/>
      <x:c r="AF121" s="161"/>
      <x:c r="AG121" s="161"/>
      <x:c r="AH121" s="161"/>
      <x:c r="AI121" s="161"/>
      <x:c r="AJ121" s="161"/>
      <x:c r="AK121" s="161"/>
      <x:c r="AL121" s="161"/>
      <x:c r="AM121" s="161"/>
      <x:c r="AN121" s="161"/>
      <x:c r="AO121" s="161"/>
      <x:c r="AP121" s="161"/>
      <x:c r="AQ121" s="161"/>
      <x:c r="AR121" s="161"/>
      <x:c r="AS121" s="161"/>
      <x:c r="AT121" s="161"/>
      <x:c r="AU121" s="161"/>
      <x:c r="AV121" s="161"/>
      <x:c r="AW121" s="161"/>
      <x:c r="AX121" s="161"/>
      <x:c r="AY121" s="161"/>
      <x:c r="AZ121" s="161"/>
    </x:row>
    <x:row r="122" ht="15" hidden="0" customHeight="1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  <x:c r="AA122" s="161"/>
      <x:c r="AB122" s="161"/>
      <x:c r="AC122" s="161"/>
      <x:c r="AD122" s="161"/>
      <x:c r="AE122" s="161"/>
      <x:c r="AF122" s="161"/>
      <x:c r="AG122" s="161"/>
      <x:c r="AH122" s="161"/>
      <x:c r="AI122" s="161"/>
      <x:c r="AJ122" s="161"/>
      <x:c r="AK122" s="161"/>
      <x:c r="AL122" s="161"/>
      <x:c r="AM122" s="161"/>
      <x:c r="AN122" s="161"/>
      <x:c r="AO122" s="161"/>
      <x:c r="AP122" s="161"/>
      <x:c r="AQ122" s="161"/>
      <x:c r="AR122" s="161"/>
      <x:c r="AS122" s="161"/>
      <x:c r="AT122" s="161"/>
      <x:c r="AU122" s="161"/>
      <x:c r="AV122" s="161"/>
      <x:c r="AW122" s="161"/>
      <x:c r="AX122" s="161"/>
      <x:c r="AY122" s="161"/>
      <x:c r="AZ122" s="161"/>
    </x:row>
    <x:row r="123" ht="15" hidden="0" customHeight="1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  <x:c r="AA123" s="161"/>
      <x:c r="AB123" s="161"/>
      <x:c r="AC123" s="161"/>
      <x:c r="AD123" s="161"/>
      <x:c r="AE123" s="161"/>
      <x:c r="AF123" s="161"/>
      <x:c r="AG123" s="161"/>
      <x:c r="AH123" s="161"/>
      <x:c r="AI123" s="161"/>
      <x:c r="AJ123" s="161"/>
      <x:c r="AK123" s="161"/>
      <x:c r="AL123" s="161"/>
      <x:c r="AM123" s="161"/>
      <x:c r="AN123" s="161"/>
      <x:c r="AO123" s="161"/>
      <x:c r="AP123" s="161"/>
      <x:c r="AQ123" s="161"/>
      <x:c r="AR123" s="161"/>
      <x:c r="AS123" s="161"/>
      <x:c r="AT123" s="161"/>
      <x:c r="AU123" s="161"/>
      <x:c r="AV123" s="161"/>
      <x:c r="AW123" s="161"/>
      <x:c r="AX123" s="161"/>
      <x:c r="AY123" s="161"/>
      <x:c r="AZ123" s="161"/>
    </x:row>
    <x:row r="124" ht="15" hidden="0" customHeight="1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  <x:c r="AA124" s="161"/>
      <x:c r="AB124" s="161"/>
      <x:c r="AC124" s="161"/>
      <x:c r="AD124" s="161"/>
      <x:c r="AE124" s="161"/>
      <x:c r="AF124" s="161"/>
      <x:c r="AG124" s="161"/>
      <x:c r="AH124" s="161"/>
      <x:c r="AI124" s="161"/>
      <x:c r="AJ124" s="161"/>
      <x:c r="AK124" s="161"/>
      <x:c r="AL124" s="161"/>
      <x:c r="AM124" s="161"/>
      <x:c r="AN124" s="161"/>
      <x:c r="AO124" s="161"/>
      <x:c r="AP124" s="161"/>
      <x:c r="AQ124" s="161"/>
      <x:c r="AR124" s="161"/>
      <x:c r="AS124" s="161"/>
      <x:c r="AT124" s="161"/>
      <x:c r="AU124" s="161"/>
      <x:c r="AV124" s="161"/>
      <x:c r="AW124" s="161"/>
      <x:c r="AX124" s="161"/>
      <x:c r="AY124" s="161"/>
      <x:c r="AZ124" s="161"/>
    </x:row>
    <x:row r="125" ht="15" hidden="0" customHeight="1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  <x:c r="AA125" s="161"/>
      <x:c r="AB125" s="161"/>
      <x:c r="AC125" s="161"/>
      <x:c r="AD125" s="161"/>
      <x:c r="AE125" s="161"/>
      <x:c r="AF125" s="161"/>
      <x:c r="AG125" s="161"/>
      <x:c r="AH125" s="161"/>
      <x:c r="AI125" s="161"/>
      <x:c r="AJ125" s="161"/>
      <x:c r="AK125" s="161"/>
      <x:c r="AL125" s="161"/>
      <x:c r="AM125" s="161"/>
      <x:c r="AN125" s="161"/>
      <x:c r="AO125" s="161"/>
      <x:c r="AP125" s="161"/>
      <x:c r="AQ125" s="161"/>
      <x:c r="AR125" s="161"/>
      <x:c r="AS125" s="161"/>
      <x:c r="AT125" s="161"/>
      <x:c r="AU125" s="161"/>
      <x:c r="AV125" s="161"/>
      <x:c r="AW125" s="161"/>
      <x:c r="AX125" s="161"/>
      <x:c r="AY125" s="161"/>
      <x:c r="AZ125" s="161"/>
    </x:row>
    <x:row r="126" ht="15" hidden="0" customHeight="1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  <x:c r="AA126" s="161"/>
      <x:c r="AB126" s="161"/>
      <x:c r="AC126" s="161"/>
      <x:c r="AD126" s="161"/>
      <x:c r="AE126" s="161"/>
      <x:c r="AF126" s="161"/>
      <x:c r="AG126" s="161"/>
      <x:c r="AH126" s="161"/>
      <x:c r="AI126" s="161"/>
      <x:c r="AJ126" s="161"/>
      <x:c r="AK126" s="161"/>
      <x:c r="AL126" s="161"/>
      <x:c r="AM126" s="161"/>
      <x:c r="AN126" s="161"/>
      <x:c r="AO126" s="161"/>
      <x:c r="AP126" s="161"/>
      <x:c r="AQ126" s="161"/>
      <x:c r="AR126" s="161"/>
      <x:c r="AS126" s="161"/>
      <x:c r="AT126" s="161"/>
      <x:c r="AU126" s="161"/>
      <x:c r="AV126" s="161"/>
      <x:c r="AW126" s="161"/>
      <x:c r="AX126" s="161"/>
      <x:c r="AY126" s="161"/>
      <x:c r="AZ126" s="161"/>
    </x:row>
    <x:row r="127" ht="15" hidden="0" customHeight="1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  <x:c r="AA127" s="161"/>
      <x:c r="AB127" s="161"/>
      <x:c r="AC127" s="161"/>
      <x:c r="AD127" s="161"/>
      <x:c r="AE127" s="161"/>
      <x:c r="AF127" s="161"/>
      <x:c r="AG127" s="161"/>
      <x:c r="AH127" s="161"/>
      <x:c r="AI127" s="161"/>
      <x:c r="AJ127" s="161"/>
      <x:c r="AK127" s="161"/>
      <x:c r="AL127" s="161"/>
      <x:c r="AM127" s="161"/>
      <x:c r="AN127" s="161"/>
      <x:c r="AO127" s="161"/>
      <x:c r="AP127" s="161"/>
      <x:c r="AQ127" s="161"/>
      <x:c r="AR127" s="161"/>
      <x:c r="AS127" s="161"/>
      <x:c r="AT127" s="161"/>
      <x:c r="AU127" s="161"/>
      <x:c r="AV127" s="161"/>
      <x:c r="AW127" s="161"/>
      <x:c r="AX127" s="161"/>
      <x:c r="AY127" s="161"/>
      <x:c r="AZ127" s="161"/>
    </x:row>
    <x:row r="128" ht="15" hidden="0" customHeight="1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  <x:c r="AA128" s="161"/>
      <x:c r="AB128" s="161"/>
      <x:c r="AC128" s="161"/>
      <x:c r="AD128" s="161"/>
      <x:c r="AE128" s="161"/>
      <x:c r="AF128" s="161"/>
      <x:c r="AG128" s="161"/>
      <x:c r="AH128" s="161"/>
      <x:c r="AI128" s="161"/>
      <x:c r="AJ128" s="161"/>
      <x:c r="AK128" s="161"/>
      <x:c r="AL128" s="161"/>
      <x:c r="AM128" s="161"/>
      <x:c r="AN128" s="161"/>
      <x:c r="AO128" s="161"/>
      <x:c r="AP128" s="161"/>
      <x:c r="AQ128" s="161"/>
      <x:c r="AR128" s="161"/>
      <x:c r="AS128" s="161"/>
      <x:c r="AT128" s="161"/>
      <x:c r="AU128" s="161"/>
      <x:c r="AV128" s="161"/>
      <x:c r="AW128" s="161"/>
      <x:c r="AX128" s="161"/>
      <x:c r="AY128" s="161"/>
      <x:c r="AZ128" s="161"/>
    </x:row>
    <x:row r="129" ht="15" hidden="0" customHeight="1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  <x:c r="AA129" s="161"/>
      <x:c r="AB129" s="161"/>
      <x:c r="AC129" s="161"/>
      <x:c r="AD129" s="161"/>
      <x:c r="AE129" s="161"/>
      <x:c r="AF129" s="161"/>
      <x:c r="AG129" s="161"/>
      <x:c r="AH129" s="161"/>
      <x:c r="AI129" s="161"/>
      <x:c r="AJ129" s="161"/>
      <x:c r="AK129" s="161"/>
      <x:c r="AL129" s="161"/>
      <x:c r="AM129" s="161"/>
      <x:c r="AN129" s="161"/>
      <x:c r="AO129" s="161"/>
      <x:c r="AP129" s="161"/>
      <x:c r="AQ129" s="161"/>
      <x:c r="AR129" s="161"/>
      <x:c r="AS129" s="161"/>
      <x:c r="AT129" s="161"/>
      <x:c r="AU129" s="161"/>
      <x:c r="AV129" s="161"/>
      <x:c r="AW129" s="161"/>
      <x:c r="AX129" s="161"/>
      <x:c r="AY129" s="161"/>
      <x:c r="AZ129" s="161"/>
    </x:row>
    <x:row r="130" ht="15" hidden="0" customHeight="1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  <x:c r="AA130" s="161"/>
      <x:c r="AB130" s="161"/>
      <x:c r="AC130" s="161"/>
      <x:c r="AD130" s="161"/>
      <x:c r="AE130" s="161"/>
      <x:c r="AF130" s="161"/>
      <x:c r="AG130" s="161"/>
      <x:c r="AH130" s="161"/>
      <x:c r="AI130" s="161"/>
      <x:c r="AJ130" s="161"/>
      <x:c r="AK130" s="161"/>
      <x:c r="AL130" s="161"/>
      <x:c r="AM130" s="161"/>
      <x:c r="AN130" s="161"/>
      <x:c r="AO130" s="161"/>
      <x:c r="AP130" s="161"/>
      <x:c r="AQ130" s="161"/>
      <x:c r="AR130" s="161"/>
      <x:c r="AS130" s="161"/>
      <x:c r="AT130" s="161"/>
      <x:c r="AU130" s="161"/>
      <x:c r="AV130" s="161"/>
      <x:c r="AW130" s="161"/>
      <x:c r="AX130" s="161"/>
      <x:c r="AY130" s="161"/>
      <x:c r="AZ130" s="161"/>
    </x:row>
    <x:row r="131" ht="15" hidden="0" customHeight="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  <x:c r="AA131" s="161"/>
      <x:c r="AB131" s="161"/>
      <x:c r="AC131" s="161"/>
      <x:c r="AD131" s="161"/>
      <x:c r="AE131" s="161"/>
      <x:c r="AF131" s="161"/>
      <x:c r="AG131" s="161"/>
      <x:c r="AH131" s="161"/>
      <x:c r="AI131" s="161"/>
      <x:c r="AJ131" s="161"/>
      <x:c r="AK131" s="161"/>
      <x:c r="AL131" s="161"/>
      <x:c r="AM131" s="161"/>
      <x:c r="AN131" s="161"/>
      <x:c r="AO131" s="161"/>
      <x:c r="AP131" s="161"/>
      <x:c r="AQ131" s="161"/>
      <x:c r="AR131" s="161"/>
      <x:c r="AS131" s="161"/>
      <x:c r="AT131" s="161"/>
      <x:c r="AU131" s="161"/>
      <x:c r="AV131" s="161"/>
      <x:c r="AW131" s="161"/>
      <x:c r="AX131" s="161"/>
      <x:c r="AY131" s="161"/>
      <x:c r="AZ131" s="161"/>
    </x:row>
    <x:row r="132" ht="15" hidden="0" customHeight="1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  <x:c r="AA132" s="161"/>
      <x:c r="AB132" s="161"/>
      <x:c r="AC132" s="161"/>
      <x:c r="AD132" s="161"/>
      <x:c r="AE132" s="161"/>
      <x:c r="AF132" s="161"/>
      <x:c r="AG132" s="161"/>
      <x:c r="AH132" s="161"/>
      <x:c r="AI132" s="161"/>
      <x:c r="AJ132" s="161"/>
      <x:c r="AK132" s="161"/>
      <x:c r="AL132" s="161"/>
      <x:c r="AM132" s="161"/>
      <x:c r="AN132" s="161"/>
      <x:c r="AO132" s="161"/>
      <x:c r="AP132" s="161"/>
      <x:c r="AQ132" s="161"/>
      <x:c r="AR132" s="161"/>
      <x:c r="AS132" s="161"/>
      <x:c r="AT132" s="161"/>
      <x:c r="AU132" s="161"/>
      <x:c r="AV132" s="161"/>
      <x:c r="AW132" s="161"/>
      <x:c r="AX132" s="161"/>
      <x:c r="AY132" s="161"/>
      <x:c r="AZ132" s="161"/>
    </x:row>
    <x:row r="133" ht="15" hidden="0" customHeight="1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  <x:c r="AA133" s="161"/>
      <x:c r="AB133" s="161"/>
      <x:c r="AC133" s="161"/>
      <x:c r="AD133" s="161"/>
      <x:c r="AE133" s="161"/>
      <x:c r="AF133" s="161"/>
      <x:c r="AG133" s="161"/>
      <x:c r="AH133" s="161"/>
      <x:c r="AI133" s="161"/>
      <x:c r="AJ133" s="161"/>
      <x:c r="AK133" s="161"/>
      <x:c r="AL133" s="161"/>
      <x:c r="AM133" s="161"/>
      <x:c r="AN133" s="161"/>
      <x:c r="AO133" s="161"/>
      <x:c r="AP133" s="161"/>
      <x:c r="AQ133" s="161"/>
      <x:c r="AR133" s="161"/>
      <x:c r="AS133" s="161"/>
      <x:c r="AT133" s="161"/>
      <x:c r="AU133" s="161"/>
      <x:c r="AV133" s="161"/>
      <x:c r="AW133" s="161"/>
      <x:c r="AX133" s="161"/>
      <x:c r="AY133" s="161"/>
      <x:c r="AZ133" s="161"/>
    </x:row>
    <x:row r="134" ht="15" hidden="0" customHeight="1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  <x:c r="AA134" s="161"/>
      <x:c r="AB134" s="161"/>
      <x:c r="AC134" s="161"/>
      <x:c r="AD134" s="161"/>
      <x:c r="AE134" s="161"/>
      <x:c r="AF134" s="161"/>
      <x:c r="AG134" s="161"/>
      <x:c r="AH134" s="161"/>
      <x:c r="AI134" s="161"/>
      <x:c r="AJ134" s="161"/>
      <x:c r="AK134" s="161"/>
      <x:c r="AL134" s="161"/>
      <x:c r="AM134" s="161"/>
      <x:c r="AN134" s="161"/>
      <x:c r="AO134" s="161"/>
      <x:c r="AP134" s="161"/>
      <x:c r="AQ134" s="161"/>
      <x:c r="AR134" s="161"/>
      <x:c r="AS134" s="161"/>
      <x:c r="AT134" s="161"/>
      <x:c r="AU134" s="161"/>
      <x:c r="AV134" s="161"/>
      <x:c r="AW134" s="161"/>
      <x:c r="AX134" s="161"/>
      <x:c r="AY134" s="161"/>
      <x:c r="AZ134" s="161"/>
    </x:row>
    <x:row r="135" ht="15" hidden="0" customHeight="1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  <x:c r="AA135" s="161"/>
      <x:c r="AB135" s="161"/>
      <x:c r="AC135" s="161"/>
      <x:c r="AD135" s="161"/>
      <x:c r="AE135" s="161"/>
      <x:c r="AF135" s="161"/>
      <x:c r="AG135" s="161"/>
      <x:c r="AH135" s="161"/>
      <x:c r="AI135" s="161"/>
      <x:c r="AJ135" s="161"/>
      <x:c r="AK135" s="161"/>
      <x:c r="AL135" s="161"/>
      <x:c r="AM135" s="161"/>
      <x:c r="AN135" s="161"/>
      <x:c r="AO135" s="161"/>
      <x:c r="AP135" s="161"/>
      <x:c r="AQ135" s="161"/>
      <x:c r="AR135" s="161"/>
      <x:c r="AS135" s="161"/>
      <x:c r="AT135" s="161"/>
      <x:c r="AU135" s="161"/>
      <x:c r="AV135" s="161"/>
      <x:c r="AW135" s="161"/>
      <x:c r="AX135" s="161"/>
      <x:c r="AY135" s="161"/>
      <x:c r="AZ135" s="161"/>
    </x:row>
    <x:row r="136" ht="15" hidden="0" customHeight="1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  <x:c r="AA136" s="161"/>
      <x:c r="AB136" s="161"/>
      <x:c r="AC136" s="161"/>
      <x:c r="AD136" s="161"/>
      <x:c r="AE136" s="161"/>
      <x:c r="AF136" s="161"/>
      <x:c r="AG136" s="161"/>
      <x:c r="AH136" s="161"/>
      <x:c r="AI136" s="161"/>
      <x:c r="AJ136" s="161"/>
      <x:c r="AK136" s="161"/>
      <x:c r="AL136" s="161"/>
      <x:c r="AM136" s="161"/>
      <x:c r="AN136" s="161"/>
      <x:c r="AO136" s="161"/>
      <x:c r="AP136" s="161"/>
      <x:c r="AQ136" s="161"/>
      <x:c r="AR136" s="161"/>
      <x:c r="AS136" s="161"/>
      <x:c r="AT136" s="161"/>
      <x:c r="AU136" s="161"/>
      <x:c r="AV136" s="161"/>
      <x:c r="AW136" s="161"/>
      <x:c r="AX136" s="161"/>
      <x:c r="AY136" s="161"/>
      <x:c r="AZ136" s="161"/>
    </x:row>
    <x:row r="137" ht="15" hidden="0" customHeight="1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  <x:c r="AA137" s="161"/>
      <x:c r="AB137" s="161"/>
      <x:c r="AC137" s="161"/>
      <x:c r="AD137" s="161"/>
      <x:c r="AE137" s="161"/>
      <x:c r="AF137" s="161"/>
      <x:c r="AG137" s="161"/>
      <x:c r="AH137" s="161"/>
      <x:c r="AI137" s="161"/>
      <x:c r="AJ137" s="161"/>
      <x:c r="AK137" s="161"/>
      <x:c r="AL137" s="161"/>
      <x:c r="AM137" s="161"/>
      <x:c r="AN137" s="161"/>
      <x:c r="AO137" s="161"/>
      <x:c r="AP137" s="161"/>
      <x:c r="AQ137" s="161"/>
      <x:c r="AR137" s="161"/>
      <x:c r="AS137" s="161"/>
      <x:c r="AT137" s="161"/>
      <x:c r="AU137" s="161"/>
      <x:c r="AV137" s="161"/>
      <x:c r="AW137" s="161"/>
      <x:c r="AX137" s="161"/>
      <x:c r="AY137" s="161"/>
      <x:c r="AZ137" s="161"/>
    </x:row>
    <x:row r="138" ht="15" hidden="0" customHeight="1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  <x:c r="AA138" s="161"/>
      <x:c r="AB138" s="161"/>
      <x:c r="AC138" s="161"/>
      <x:c r="AD138" s="161"/>
      <x:c r="AE138" s="161"/>
      <x:c r="AF138" s="161"/>
      <x:c r="AG138" s="161"/>
      <x:c r="AH138" s="161"/>
      <x:c r="AI138" s="161"/>
      <x:c r="AJ138" s="161"/>
      <x:c r="AK138" s="161"/>
      <x:c r="AL138" s="161"/>
      <x:c r="AM138" s="161"/>
      <x:c r="AN138" s="161"/>
      <x:c r="AO138" s="161"/>
      <x:c r="AP138" s="161"/>
      <x:c r="AQ138" s="161"/>
      <x:c r="AR138" s="161"/>
      <x:c r="AS138" s="161"/>
      <x:c r="AT138" s="161"/>
      <x:c r="AU138" s="161"/>
      <x:c r="AV138" s="161"/>
      <x:c r="AW138" s="161"/>
      <x:c r="AX138" s="161"/>
      <x:c r="AY138" s="161"/>
      <x:c r="AZ138" s="161"/>
    </x:row>
    <x:row r="139" ht="15" hidden="0" customHeight="1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  <x:c r="AA139" s="161"/>
      <x:c r="AB139" s="161"/>
      <x:c r="AC139" s="161"/>
      <x:c r="AD139" s="161"/>
      <x:c r="AE139" s="161"/>
      <x:c r="AF139" s="161"/>
      <x:c r="AG139" s="161"/>
      <x:c r="AH139" s="161"/>
      <x:c r="AI139" s="161"/>
      <x:c r="AJ139" s="161"/>
      <x:c r="AK139" s="161"/>
      <x:c r="AL139" s="161"/>
      <x:c r="AM139" s="161"/>
      <x:c r="AN139" s="161"/>
      <x:c r="AO139" s="161"/>
      <x:c r="AP139" s="161"/>
      <x:c r="AQ139" s="161"/>
      <x:c r="AR139" s="161"/>
      <x:c r="AS139" s="161"/>
      <x:c r="AT139" s="161"/>
      <x:c r="AU139" s="161"/>
      <x:c r="AV139" s="161"/>
      <x:c r="AW139" s="161"/>
      <x:c r="AX139" s="161"/>
      <x:c r="AY139" s="161"/>
      <x:c r="AZ139" s="161"/>
    </x:row>
    <x:row r="140" ht="15" hidden="0" customHeight="1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  <x:c r="AA140" s="161"/>
      <x:c r="AB140" s="161"/>
      <x:c r="AC140" s="161"/>
      <x:c r="AD140" s="161"/>
      <x:c r="AE140" s="161"/>
      <x:c r="AF140" s="161"/>
      <x:c r="AG140" s="161"/>
      <x:c r="AH140" s="161"/>
      <x:c r="AI140" s="161"/>
      <x:c r="AJ140" s="161"/>
      <x:c r="AK140" s="161"/>
      <x:c r="AL140" s="161"/>
      <x:c r="AM140" s="161"/>
      <x:c r="AN140" s="161"/>
      <x:c r="AO140" s="161"/>
      <x:c r="AP140" s="161"/>
      <x:c r="AQ140" s="161"/>
      <x:c r="AR140" s="161"/>
      <x:c r="AS140" s="161"/>
      <x:c r="AT140" s="161"/>
      <x:c r="AU140" s="161"/>
      <x:c r="AV140" s="161"/>
      <x:c r="AW140" s="161"/>
      <x:c r="AX140" s="161"/>
      <x:c r="AY140" s="161"/>
      <x:c r="AZ140" s="161"/>
    </x:row>
    <x:row r="141" ht="15" hidden="0" customHeight="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  <x:c r="AA141" s="161"/>
      <x:c r="AB141" s="161"/>
      <x:c r="AC141" s="161"/>
      <x:c r="AD141" s="161"/>
      <x:c r="AE141" s="161"/>
      <x:c r="AF141" s="161"/>
      <x:c r="AG141" s="161"/>
      <x:c r="AH141" s="161"/>
      <x:c r="AI141" s="161"/>
      <x:c r="AJ141" s="161"/>
      <x:c r="AK141" s="161"/>
      <x:c r="AL141" s="161"/>
      <x:c r="AM141" s="161"/>
      <x:c r="AN141" s="161"/>
      <x:c r="AO141" s="161"/>
      <x:c r="AP141" s="161"/>
      <x:c r="AQ141" s="161"/>
      <x:c r="AR141" s="161"/>
      <x:c r="AS141" s="161"/>
      <x:c r="AT141" s="161"/>
      <x:c r="AU141" s="161"/>
      <x:c r="AV141" s="161"/>
      <x:c r="AW141" s="161"/>
      <x:c r="AX141" s="161"/>
      <x:c r="AY141" s="161"/>
      <x:c r="AZ141" s="161"/>
    </x:row>
    <x:row r="142" ht="15" hidden="0" customHeight="1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  <x:c r="AA142" s="161"/>
      <x:c r="AB142" s="161"/>
      <x:c r="AC142" s="161"/>
      <x:c r="AD142" s="161"/>
      <x:c r="AE142" s="161"/>
      <x:c r="AF142" s="161"/>
      <x:c r="AG142" s="161"/>
      <x:c r="AH142" s="161"/>
      <x:c r="AI142" s="161"/>
      <x:c r="AJ142" s="161"/>
      <x:c r="AK142" s="161"/>
      <x:c r="AL142" s="161"/>
      <x:c r="AM142" s="161"/>
      <x:c r="AN142" s="161"/>
      <x:c r="AO142" s="161"/>
      <x:c r="AP142" s="161"/>
      <x:c r="AQ142" s="161"/>
      <x:c r="AR142" s="161"/>
      <x:c r="AS142" s="161"/>
      <x:c r="AT142" s="161"/>
      <x:c r="AU142" s="161"/>
      <x:c r="AV142" s="161"/>
      <x:c r="AW142" s="161"/>
      <x:c r="AX142" s="161"/>
      <x:c r="AY142" s="161"/>
      <x:c r="AZ142" s="161"/>
    </x:row>
    <x:row r="143" ht="15" hidden="0" customHeight="1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  <x:c r="AA143" s="161"/>
      <x:c r="AB143" s="161"/>
      <x:c r="AC143" s="161"/>
      <x:c r="AD143" s="161"/>
      <x:c r="AE143" s="161"/>
      <x:c r="AF143" s="161"/>
      <x:c r="AG143" s="161"/>
      <x:c r="AH143" s="161"/>
      <x:c r="AI143" s="161"/>
      <x:c r="AJ143" s="161"/>
      <x:c r="AK143" s="161"/>
      <x:c r="AL143" s="161"/>
      <x:c r="AM143" s="161"/>
      <x:c r="AN143" s="161"/>
      <x:c r="AO143" s="161"/>
      <x:c r="AP143" s="161"/>
      <x:c r="AQ143" s="161"/>
      <x:c r="AR143" s="161"/>
      <x:c r="AS143" s="161"/>
      <x:c r="AT143" s="161"/>
      <x:c r="AU143" s="161"/>
      <x:c r="AV143" s="161"/>
      <x:c r="AW143" s="161"/>
      <x:c r="AX143" s="161"/>
      <x:c r="AY143" s="161"/>
      <x:c r="AZ143" s="161"/>
    </x:row>
    <x:row r="144" ht="15" hidden="0" customHeight="1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  <x:c r="AA144" s="161"/>
      <x:c r="AB144" s="161"/>
      <x:c r="AC144" s="161"/>
      <x:c r="AD144" s="161"/>
      <x:c r="AE144" s="161"/>
      <x:c r="AF144" s="161"/>
      <x:c r="AG144" s="161"/>
      <x:c r="AH144" s="161"/>
      <x:c r="AI144" s="161"/>
      <x:c r="AJ144" s="161"/>
      <x:c r="AK144" s="161"/>
      <x:c r="AL144" s="161"/>
      <x:c r="AM144" s="161"/>
      <x:c r="AN144" s="161"/>
      <x:c r="AO144" s="161"/>
      <x:c r="AP144" s="161"/>
      <x:c r="AQ144" s="161"/>
      <x:c r="AR144" s="161"/>
      <x:c r="AS144" s="161"/>
      <x:c r="AT144" s="161"/>
      <x:c r="AU144" s="161"/>
      <x:c r="AV144" s="161"/>
      <x:c r="AW144" s="161"/>
      <x:c r="AX144" s="161"/>
      <x:c r="AY144" s="161"/>
      <x:c r="AZ144" s="161"/>
    </x:row>
    <x:row r="145" ht="15" hidden="0" customHeight="1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  <x:c r="AA145" s="161"/>
      <x:c r="AB145" s="161"/>
      <x:c r="AC145" s="161"/>
      <x:c r="AD145" s="161"/>
      <x:c r="AE145" s="161"/>
      <x:c r="AF145" s="161"/>
      <x:c r="AG145" s="161"/>
      <x:c r="AH145" s="161"/>
      <x:c r="AI145" s="161"/>
      <x:c r="AJ145" s="161"/>
      <x:c r="AK145" s="161"/>
      <x:c r="AL145" s="161"/>
      <x:c r="AM145" s="161"/>
      <x:c r="AN145" s="161"/>
      <x:c r="AO145" s="161"/>
      <x:c r="AP145" s="161"/>
      <x:c r="AQ145" s="161"/>
      <x:c r="AR145" s="161"/>
      <x:c r="AS145" s="161"/>
      <x:c r="AT145" s="161"/>
      <x:c r="AU145" s="161"/>
      <x:c r="AV145" s="161"/>
      <x:c r="AW145" s="161"/>
      <x:c r="AX145" s="161"/>
      <x:c r="AY145" s="161"/>
      <x:c r="AZ145" s="161"/>
    </x:row>
    <x:row r="146" ht="15" hidden="0" customHeight="1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  <x:c r="AA146" s="161"/>
      <x:c r="AB146" s="161"/>
      <x:c r="AC146" s="161"/>
      <x:c r="AD146" s="161"/>
      <x:c r="AE146" s="161"/>
      <x:c r="AF146" s="161"/>
      <x:c r="AG146" s="161"/>
      <x:c r="AH146" s="161"/>
      <x:c r="AI146" s="161"/>
      <x:c r="AJ146" s="161"/>
      <x:c r="AK146" s="161"/>
      <x:c r="AL146" s="161"/>
      <x:c r="AM146" s="161"/>
      <x:c r="AN146" s="161"/>
      <x:c r="AO146" s="161"/>
      <x:c r="AP146" s="161"/>
      <x:c r="AQ146" s="161"/>
      <x:c r="AR146" s="161"/>
      <x:c r="AS146" s="161"/>
      <x:c r="AT146" s="161"/>
      <x:c r="AU146" s="161"/>
      <x:c r="AV146" s="161"/>
      <x:c r="AW146" s="161"/>
      <x:c r="AX146" s="161"/>
      <x:c r="AY146" s="161"/>
      <x:c r="AZ146" s="161"/>
    </x:row>
    <x:row r="147" ht="15" hidden="0" customHeight="1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  <x:c r="AA147" s="161"/>
      <x:c r="AB147" s="161"/>
      <x:c r="AC147" s="161"/>
      <x:c r="AD147" s="161"/>
      <x:c r="AE147" s="161"/>
      <x:c r="AF147" s="161"/>
      <x:c r="AG147" s="161"/>
      <x:c r="AH147" s="161"/>
      <x:c r="AI147" s="161"/>
      <x:c r="AJ147" s="161"/>
      <x:c r="AK147" s="161"/>
      <x:c r="AL147" s="161"/>
      <x:c r="AM147" s="161"/>
      <x:c r="AN147" s="161"/>
      <x:c r="AO147" s="161"/>
      <x:c r="AP147" s="161"/>
      <x:c r="AQ147" s="161"/>
      <x:c r="AR147" s="161"/>
      <x:c r="AS147" s="161"/>
      <x:c r="AT147" s="161"/>
      <x:c r="AU147" s="161"/>
      <x:c r="AV147" s="161"/>
      <x:c r="AW147" s="161"/>
      <x:c r="AX147" s="161"/>
      <x:c r="AY147" s="161"/>
      <x:c r="AZ147" s="161"/>
    </x:row>
    <x:row r="148" ht="15" hidden="0" customHeight="1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  <x:c r="AA148" s="161"/>
      <x:c r="AB148" s="161"/>
      <x:c r="AC148" s="161"/>
      <x:c r="AD148" s="161"/>
      <x:c r="AE148" s="161"/>
      <x:c r="AF148" s="161"/>
      <x:c r="AG148" s="161"/>
      <x:c r="AH148" s="161"/>
      <x:c r="AI148" s="161"/>
      <x:c r="AJ148" s="161"/>
      <x:c r="AK148" s="161"/>
      <x:c r="AL148" s="161"/>
      <x:c r="AM148" s="161"/>
      <x:c r="AN148" s="161"/>
      <x:c r="AO148" s="161"/>
      <x:c r="AP148" s="161"/>
      <x:c r="AQ148" s="161"/>
      <x:c r="AR148" s="161"/>
      <x:c r="AS148" s="161"/>
      <x:c r="AT148" s="161"/>
      <x:c r="AU148" s="161"/>
      <x:c r="AV148" s="161"/>
      <x:c r="AW148" s="161"/>
      <x:c r="AX148" s="161"/>
      <x:c r="AY148" s="161"/>
      <x:c r="AZ148" s="161"/>
    </x:row>
    <x:row r="149" ht="15" hidden="0" customHeight="1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  <x:c r="AA149" s="161"/>
      <x:c r="AB149" s="161"/>
      <x:c r="AC149" s="161"/>
      <x:c r="AD149" s="161"/>
      <x:c r="AE149" s="161"/>
      <x:c r="AF149" s="161"/>
      <x:c r="AG149" s="161"/>
      <x:c r="AH149" s="161"/>
      <x:c r="AI149" s="161"/>
      <x:c r="AJ149" s="161"/>
      <x:c r="AK149" s="161"/>
      <x:c r="AL149" s="161"/>
      <x:c r="AM149" s="161"/>
      <x:c r="AN149" s="161"/>
      <x:c r="AO149" s="161"/>
      <x:c r="AP149" s="161"/>
      <x:c r="AQ149" s="161"/>
      <x:c r="AR149" s="161"/>
      <x:c r="AS149" s="161"/>
      <x:c r="AT149" s="161"/>
      <x:c r="AU149" s="161"/>
      <x:c r="AV149" s="161"/>
      <x:c r="AW149" s="161"/>
      <x:c r="AX149" s="161"/>
      <x:c r="AY149" s="161"/>
      <x:c r="AZ149" s="161"/>
    </x:row>
    <x:row r="150" ht="15" hidden="0" customHeight="1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  <x:c r="AA150" s="161"/>
      <x:c r="AB150" s="161"/>
      <x:c r="AC150" s="161"/>
      <x:c r="AD150" s="161"/>
      <x:c r="AE150" s="161"/>
      <x:c r="AF150" s="161"/>
      <x:c r="AG150" s="161"/>
      <x:c r="AH150" s="161"/>
      <x:c r="AI150" s="161"/>
      <x:c r="AJ150" s="161"/>
      <x:c r="AK150" s="161"/>
      <x:c r="AL150" s="161"/>
      <x:c r="AM150" s="161"/>
      <x:c r="AN150" s="161"/>
      <x:c r="AO150" s="161"/>
      <x:c r="AP150" s="161"/>
      <x:c r="AQ150" s="161"/>
      <x:c r="AR150" s="161"/>
      <x:c r="AS150" s="161"/>
      <x:c r="AT150" s="161"/>
      <x:c r="AU150" s="161"/>
      <x:c r="AV150" s="161"/>
      <x:c r="AW150" s="161"/>
      <x:c r="AX150" s="161"/>
      <x:c r="AY150" s="161"/>
      <x:c r="AZ150" s="161"/>
    </x:row>
    <x:row r="151" ht="15" hidden="0" customHeight="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  <x:c r="AA151" s="161"/>
      <x:c r="AB151" s="161"/>
      <x:c r="AC151" s="161"/>
      <x:c r="AD151" s="161"/>
      <x:c r="AE151" s="161"/>
      <x:c r="AF151" s="161"/>
      <x:c r="AG151" s="161"/>
      <x:c r="AH151" s="161"/>
      <x:c r="AI151" s="161"/>
      <x:c r="AJ151" s="161"/>
      <x:c r="AK151" s="161"/>
      <x:c r="AL151" s="161"/>
      <x:c r="AM151" s="161"/>
      <x:c r="AN151" s="161"/>
      <x:c r="AO151" s="161"/>
      <x:c r="AP151" s="161"/>
      <x:c r="AQ151" s="161"/>
      <x:c r="AR151" s="161"/>
      <x:c r="AS151" s="161"/>
      <x:c r="AT151" s="161"/>
      <x:c r="AU151" s="161"/>
      <x:c r="AV151" s="161"/>
      <x:c r="AW151" s="161"/>
      <x:c r="AX151" s="161"/>
      <x:c r="AY151" s="161"/>
      <x:c r="AZ151" s="161"/>
    </x:row>
    <x:row r="152" ht="15" hidden="0" customHeight="1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  <x:c r="AA152" s="161"/>
      <x:c r="AB152" s="161"/>
      <x:c r="AC152" s="161"/>
      <x:c r="AD152" s="161"/>
      <x:c r="AE152" s="161"/>
      <x:c r="AF152" s="161"/>
      <x:c r="AG152" s="161"/>
      <x:c r="AH152" s="161"/>
      <x:c r="AI152" s="161"/>
      <x:c r="AJ152" s="161"/>
      <x:c r="AK152" s="161"/>
      <x:c r="AL152" s="161"/>
      <x:c r="AM152" s="161"/>
      <x:c r="AN152" s="161"/>
      <x:c r="AO152" s="161"/>
      <x:c r="AP152" s="161"/>
      <x:c r="AQ152" s="161"/>
      <x:c r="AR152" s="161"/>
      <x:c r="AS152" s="161"/>
      <x:c r="AT152" s="161"/>
      <x:c r="AU152" s="161"/>
      <x:c r="AV152" s="161"/>
      <x:c r="AW152" s="161"/>
      <x:c r="AX152" s="161"/>
      <x:c r="AY152" s="161"/>
      <x:c r="AZ152" s="161"/>
    </x:row>
    <x:row r="153" ht="15" hidden="0" customHeight="1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  <x:c r="AA153" s="161"/>
      <x:c r="AB153" s="161"/>
      <x:c r="AC153" s="161"/>
      <x:c r="AD153" s="161"/>
      <x:c r="AE153" s="161"/>
      <x:c r="AF153" s="161"/>
      <x:c r="AG153" s="161"/>
      <x:c r="AH153" s="161"/>
      <x:c r="AI153" s="161"/>
      <x:c r="AJ153" s="161"/>
      <x:c r="AK153" s="161"/>
      <x:c r="AL153" s="161"/>
      <x:c r="AM153" s="161"/>
      <x:c r="AN153" s="161"/>
      <x:c r="AO153" s="161"/>
      <x:c r="AP153" s="161"/>
      <x:c r="AQ153" s="161"/>
      <x:c r="AR153" s="161"/>
      <x:c r="AS153" s="161"/>
      <x:c r="AT153" s="161"/>
      <x:c r="AU153" s="161"/>
      <x:c r="AV153" s="161"/>
      <x:c r="AW153" s="161"/>
      <x:c r="AX153" s="161"/>
      <x:c r="AY153" s="161"/>
      <x:c r="AZ153" s="161"/>
    </x:row>
    <x:row r="154" ht="15" hidden="0" customHeight="1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  <x:c r="AA154" s="161"/>
      <x:c r="AB154" s="161"/>
      <x:c r="AC154" s="161"/>
      <x:c r="AD154" s="161"/>
      <x:c r="AE154" s="161"/>
      <x:c r="AF154" s="161"/>
      <x:c r="AG154" s="161"/>
      <x:c r="AH154" s="161"/>
      <x:c r="AI154" s="161"/>
      <x:c r="AJ154" s="161"/>
      <x:c r="AK154" s="161"/>
      <x:c r="AL154" s="161"/>
      <x:c r="AM154" s="161"/>
      <x:c r="AN154" s="161"/>
      <x:c r="AO154" s="161"/>
      <x:c r="AP154" s="161"/>
      <x:c r="AQ154" s="161"/>
      <x:c r="AR154" s="161"/>
      <x:c r="AS154" s="161"/>
      <x:c r="AT154" s="161"/>
      <x:c r="AU154" s="161"/>
      <x:c r="AV154" s="161"/>
      <x:c r="AW154" s="161"/>
      <x:c r="AX154" s="161"/>
      <x:c r="AY154" s="161"/>
      <x:c r="AZ154" s="161"/>
    </x:row>
    <x:row r="155" ht="15" hidden="0" customHeight="1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  <x:c r="AA155" s="161"/>
      <x:c r="AB155" s="161"/>
      <x:c r="AC155" s="161"/>
      <x:c r="AD155" s="161"/>
      <x:c r="AE155" s="161"/>
      <x:c r="AF155" s="161"/>
      <x:c r="AG155" s="161"/>
      <x:c r="AH155" s="161"/>
      <x:c r="AI155" s="161"/>
      <x:c r="AJ155" s="161"/>
      <x:c r="AK155" s="161"/>
      <x:c r="AL155" s="161"/>
      <x:c r="AM155" s="161"/>
      <x:c r="AN155" s="161"/>
      <x:c r="AO155" s="161"/>
      <x:c r="AP155" s="161"/>
      <x:c r="AQ155" s="161"/>
      <x:c r="AR155" s="161"/>
      <x:c r="AS155" s="161"/>
      <x:c r="AT155" s="161"/>
      <x:c r="AU155" s="161"/>
      <x:c r="AV155" s="161"/>
      <x:c r="AW155" s="161"/>
      <x:c r="AX155" s="161"/>
      <x:c r="AY155" s="161"/>
      <x:c r="AZ155" s="161"/>
    </x:row>
    <x:row r="156" ht="15" hidden="0" customHeight="1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  <x:c r="AA156" s="161"/>
      <x:c r="AB156" s="161"/>
      <x:c r="AC156" s="161"/>
      <x:c r="AD156" s="161"/>
      <x:c r="AE156" s="161"/>
      <x:c r="AF156" s="161"/>
      <x:c r="AG156" s="161"/>
      <x:c r="AH156" s="161"/>
      <x:c r="AI156" s="161"/>
      <x:c r="AJ156" s="161"/>
      <x:c r="AK156" s="161"/>
      <x:c r="AL156" s="161"/>
      <x:c r="AM156" s="161"/>
      <x:c r="AN156" s="161"/>
      <x:c r="AO156" s="161"/>
      <x:c r="AP156" s="161"/>
      <x:c r="AQ156" s="161"/>
      <x:c r="AR156" s="161"/>
      <x:c r="AS156" s="161"/>
      <x:c r="AT156" s="161"/>
      <x:c r="AU156" s="161"/>
      <x:c r="AV156" s="161"/>
      <x:c r="AW156" s="161"/>
      <x:c r="AX156" s="161"/>
      <x:c r="AY156" s="161"/>
      <x:c r="AZ156" s="161"/>
    </x:row>
    <x:row r="157" ht="15" hidden="0" customHeight="1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  <x:c r="AA157" s="161"/>
      <x:c r="AB157" s="161"/>
      <x:c r="AC157" s="161"/>
      <x:c r="AD157" s="161"/>
      <x:c r="AE157" s="161"/>
      <x:c r="AF157" s="161"/>
      <x:c r="AG157" s="161"/>
      <x:c r="AH157" s="161"/>
      <x:c r="AI157" s="161"/>
      <x:c r="AJ157" s="161"/>
      <x:c r="AK157" s="161"/>
      <x:c r="AL157" s="161"/>
      <x:c r="AM157" s="161"/>
      <x:c r="AN157" s="161"/>
      <x:c r="AO157" s="161"/>
      <x:c r="AP157" s="161"/>
      <x:c r="AQ157" s="161"/>
      <x:c r="AR157" s="161"/>
      <x:c r="AS157" s="161"/>
      <x:c r="AT157" s="161"/>
      <x:c r="AU157" s="161"/>
      <x:c r="AV157" s="161"/>
      <x:c r="AW157" s="161"/>
      <x:c r="AX157" s="161"/>
      <x:c r="AY157" s="161"/>
      <x:c r="AZ157" s="161"/>
    </x:row>
    <x:row r="158" ht="15" hidden="0" customHeight="1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  <x:c r="AA158" s="161"/>
      <x:c r="AB158" s="161"/>
      <x:c r="AC158" s="161"/>
      <x:c r="AD158" s="161"/>
      <x:c r="AE158" s="161"/>
      <x:c r="AF158" s="161"/>
      <x:c r="AG158" s="161"/>
      <x:c r="AH158" s="161"/>
      <x:c r="AI158" s="161"/>
      <x:c r="AJ158" s="161"/>
      <x:c r="AK158" s="161"/>
      <x:c r="AL158" s="161"/>
      <x:c r="AM158" s="161"/>
      <x:c r="AN158" s="161"/>
      <x:c r="AO158" s="161"/>
      <x:c r="AP158" s="161"/>
      <x:c r="AQ158" s="161"/>
      <x:c r="AR158" s="161"/>
      <x:c r="AS158" s="161"/>
      <x:c r="AT158" s="161"/>
      <x:c r="AU158" s="161"/>
      <x:c r="AV158" s="161"/>
      <x:c r="AW158" s="161"/>
      <x:c r="AX158" s="161"/>
      <x:c r="AY158" s="161"/>
      <x:c r="AZ158" s="161"/>
    </x:row>
    <x:row r="159" ht="15" hidden="0" customHeight="1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  <x:c r="AA159" s="161"/>
      <x:c r="AB159" s="161"/>
      <x:c r="AC159" s="161"/>
      <x:c r="AD159" s="161"/>
      <x:c r="AE159" s="161"/>
      <x:c r="AF159" s="161"/>
      <x:c r="AG159" s="161"/>
      <x:c r="AH159" s="161"/>
      <x:c r="AI159" s="161"/>
      <x:c r="AJ159" s="161"/>
      <x:c r="AK159" s="161"/>
      <x:c r="AL159" s="161"/>
      <x:c r="AM159" s="161"/>
      <x:c r="AN159" s="161"/>
      <x:c r="AO159" s="161"/>
      <x:c r="AP159" s="161"/>
      <x:c r="AQ159" s="161"/>
      <x:c r="AR159" s="161"/>
      <x:c r="AS159" s="161"/>
      <x:c r="AT159" s="161"/>
      <x:c r="AU159" s="161"/>
      <x:c r="AV159" s="161"/>
      <x:c r="AW159" s="161"/>
      <x:c r="AX159" s="161"/>
      <x:c r="AY159" s="161"/>
      <x:c r="AZ159" s="161"/>
    </x:row>
    <x:row r="160" ht="15" hidden="0" customHeight="1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  <x:c r="AA160" s="161"/>
      <x:c r="AB160" s="161"/>
      <x:c r="AC160" s="161"/>
      <x:c r="AD160" s="161"/>
      <x:c r="AE160" s="161"/>
      <x:c r="AF160" s="161"/>
      <x:c r="AG160" s="161"/>
      <x:c r="AH160" s="161"/>
      <x:c r="AI160" s="161"/>
      <x:c r="AJ160" s="161"/>
      <x:c r="AK160" s="161"/>
      <x:c r="AL160" s="161"/>
      <x:c r="AM160" s="161"/>
      <x:c r="AN160" s="161"/>
      <x:c r="AO160" s="161"/>
      <x:c r="AP160" s="161"/>
      <x:c r="AQ160" s="161"/>
      <x:c r="AR160" s="161"/>
      <x:c r="AS160" s="161"/>
      <x:c r="AT160" s="161"/>
      <x:c r="AU160" s="161"/>
      <x:c r="AV160" s="161"/>
      <x:c r="AW160" s="161"/>
      <x:c r="AX160" s="161"/>
      <x:c r="AY160" s="161"/>
      <x:c r="AZ160" s="161"/>
    </x:row>
    <x:row r="161" ht="15" hidden="0" customHeight="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  <x:c r="AA161" s="161"/>
      <x:c r="AB161" s="161"/>
      <x:c r="AC161" s="161"/>
      <x:c r="AD161" s="161"/>
      <x:c r="AE161" s="161"/>
      <x:c r="AF161" s="161"/>
      <x:c r="AG161" s="161"/>
      <x:c r="AH161" s="161"/>
      <x:c r="AI161" s="161"/>
      <x:c r="AJ161" s="161"/>
      <x:c r="AK161" s="161"/>
      <x:c r="AL161" s="161"/>
      <x:c r="AM161" s="161"/>
      <x:c r="AN161" s="161"/>
      <x:c r="AO161" s="161"/>
      <x:c r="AP161" s="161"/>
      <x:c r="AQ161" s="161"/>
      <x:c r="AR161" s="161"/>
      <x:c r="AS161" s="161"/>
      <x:c r="AT161" s="161"/>
      <x:c r="AU161" s="161"/>
      <x:c r="AV161" s="161"/>
      <x:c r="AW161" s="161"/>
      <x:c r="AX161" s="161"/>
      <x:c r="AY161" s="161"/>
      <x:c r="AZ161" s="161"/>
    </x:row>
    <x:row r="162" ht="15" hidden="0" customHeight="1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  <x:c r="AA162" s="161"/>
      <x:c r="AB162" s="161"/>
      <x:c r="AC162" s="161"/>
      <x:c r="AD162" s="161"/>
      <x:c r="AE162" s="161"/>
      <x:c r="AF162" s="161"/>
      <x:c r="AG162" s="161"/>
      <x:c r="AH162" s="161"/>
      <x:c r="AI162" s="161"/>
      <x:c r="AJ162" s="161"/>
      <x:c r="AK162" s="161"/>
      <x:c r="AL162" s="161"/>
      <x:c r="AM162" s="161"/>
      <x:c r="AN162" s="161"/>
      <x:c r="AO162" s="161"/>
      <x:c r="AP162" s="161"/>
      <x:c r="AQ162" s="161"/>
      <x:c r="AR162" s="161"/>
      <x:c r="AS162" s="161"/>
      <x:c r="AT162" s="161"/>
      <x:c r="AU162" s="161"/>
      <x:c r="AV162" s="161"/>
      <x:c r="AW162" s="161"/>
      <x:c r="AX162" s="161"/>
      <x:c r="AY162" s="161"/>
      <x:c r="AZ162" s="161"/>
    </x:row>
    <x:row r="163" ht="15" hidden="0" customHeight="1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  <x:c r="AA163" s="161"/>
      <x:c r="AB163" s="161"/>
      <x:c r="AC163" s="161"/>
      <x:c r="AD163" s="161"/>
      <x:c r="AE163" s="161"/>
      <x:c r="AF163" s="161"/>
      <x:c r="AG163" s="161"/>
      <x:c r="AH163" s="161"/>
      <x:c r="AI163" s="161"/>
      <x:c r="AJ163" s="161"/>
      <x:c r="AK163" s="161"/>
      <x:c r="AL163" s="161"/>
      <x:c r="AM163" s="161"/>
      <x:c r="AN163" s="161"/>
      <x:c r="AO163" s="161"/>
      <x:c r="AP163" s="161"/>
      <x:c r="AQ163" s="161"/>
      <x:c r="AR163" s="161"/>
      <x:c r="AS163" s="161"/>
      <x:c r="AT163" s="161"/>
      <x:c r="AU163" s="161"/>
      <x:c r="AV163" s="161"/>
      <x:c r="AW163" s="161"/>
      <x:c r="AX163" s="161"/>
      <x:c r="AY163" s="161"/>
      <x:c r="AZ163" s="161"/>
    </x:row>
    <x:row r="164" ht="15" hidden="0" customHeight="1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  <x:c r="AA164" s="161"/>
      <x:c r="AB164" s="161"/>
      <x:c r="AC164" s="161"/>
      <x:c r="AD164" s="161"/>
      <x:c r="AE164" s="161"/>
      <x:c r="AF164" s="161"/>
      <x:c r="AG164" s="161"/>
      <x:c r="AH164" s="161"/>
      <x:c r="AI164" s="161"/>
      <x:c r="AJ164" s="161"/>
      <x:c r="AK164" s="161"/>
      <x:c r="AL164" s="161"/>
      <x:c r="AM164" s="161"/>
      <x:c r="AN164" s="161"/>
      <x:c r="AO164" s="161"/>
      <x:c r="AP164" s="161"/>
      <x:c r="AQ164" s="161"/>
      <x:c r="AR164" s="161"/>
      <x:c r="AS164" s="161"/>
      <x:c r="AT164" s="161"/>
      <x:c r="AU164" s="161"/>
      <x:c r="AV164" s="161"/>
      <x:c r="AW164" s="161"/>
      <x:c r="AX164" s="161"/>
      <x:c r="AY164" s="161"/>
      <x:c r="AZ164" s="161"/>
    </x:row>
    <x:row r="165" ht="15" hidden="0" customHeight="1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  <x:c r="AA165" s="161"/>
      <x:c r="AB165" s="161"/>
      <x:c r="AC165" s="161"/>
      <x:c r="AD165" s="161"/>
      <x:c r="AE165" s="161"/>
      <x:c r="AF165" s="161"/>
      <x:c r="AG165" s="161"/>
      <x:c r="AH165" s="161"/>
      <x:c r="AI165" s="161"/>
      <x:c r="AJ165" s="161"/>
      <x:c r="AK165" s="161"/>
      <x:c r="AL165" s="161"/>
      <x:c r="AM165" s="161"/>
      <x:c r="AN165" s="161"/>
      <x:c r="AO165" s="161"/>
      <x:c r="AP165" s="161"/>
      <x:c r="AQ165" s="161"/>
      <x:c r="AR165" s="161"/>
      <x:c r="AS165" s="161"/>
      <x:c r="AT165" s="161"/>
      <x:c r="AU165" s="161"/>
      <x:c r="AV165" s="161"/>
      <x:c r="AW165" s="161"/>
      <x:c r="AX165" s="161"/>
      <x:c r="AY165" s="161"/>
      <x:c r="AZ165" s="161"/>
    </x:row>
    <x:row r="166" ht="15" hidden="0" customHeight="1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  <x:c r="AA166" s="161"/>
      <x:c r="AB166" s="161"/>
      <x:c r="AC166" s="161"/>
      <x:c r="AD166" s="161"/>
      <x:c r="AE166" s="161"/>
      <x:c r="AF166" s="161"/>
      <x:c r="AG166" s="161"/>
      <x:c r="AH166" s="161"/>
      <x:c r="AI166" s="161"/>
      <x:c r="AJ166" s="161"/>
      <x:c r="AK166" s="161"/>
      <x:c r="AL166" s="161"/>
      <x:c r="AM166" s="161"/>
      <x:c r="AN166" s="161"/>
      <x:c r="AO166" s="161"/>
      <x:c r="AP166" s="161"/>
      <x:c r="AQ166" s="161"/>
      <x:c r="AR166" s="161"/>
      <x:c r="AS166" s="161"/>
      <x:c r="AT166" s="161"/>
      <x:c r="AU166" s="161"/>
      <x:c r="AV166" s="161"/>
      <x:c r="AW166" s="161"/>
      <x:c r="AX166" s="161"/>
      <x:c r="AY166" s="161"/>
      <x:c r="AZ166" s="161"/>
    </x:row>
    <x:row r="167" ht="15" hidden="0" customHeight="1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  <x:c r="AA167" s="161"/>
      <x:c r="AB167" s="161"/>
      <x:c r="AC167" s="161"/>
      <x:c r="AD167" s="161"/>
      <x:c r="AE167" s="161"/>
      <x:c r="AF167" s="161"/>
      <x:c r="AG167" s="161"/>
      <x:c r="AH167" s="161"/>
      <x:c r="AI167" s="161"/>
      <x:c r="AJ167" s="161"/>
      <x:c r="AK167" s="161"/>
      <x:c r="AL167" s="161"/>
      <x:c r="AM167" s="161"/>
      <x:c r="AN167" s="161"/>
      <x:c r="AO167" s="161"/>
      <x:c r="AP167" s="161"/>
      <x:c r="AQ167" s="161"/>
      <x:c r="AR167" s="161"/>
      <x:c r="AS167" s="161"/>
      <x:c r="AT167" s="161"/>
      <x:c r="AU167" s="161"/>
      <x:c r="AV167" s="161"/>
      <x:c r="AW167" s="161"/>
      <x:c r="AX167" s="161"/>
      <x:c r="AY167" s="161"/>
      <x:c r="AZ167" s="161"/>
    </x:row>
    <x:row r="168" ht="15" hidden="0" customHeight="1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  <x:c r="AA168" s="161"/>
      <x:c r="AB168" s="161"/>
      <x:c r="AC168" s="161"/>
      <x:c r="AD168" s="161"/>
      <x:c r="AE168" s="161"/>
      <x:c r="AF168" s="161"/>
      <x:c r="AG168" s="161"/>
      <x:c r="AH168" s="161"/>
      <x:c r="AI168" s="161"/>
      <x:c r="AJ168" s="161"/>
      <x:c r="AK168" s="161"/>
      <x:c r="AL168" s="161"/>
      <x:c r="AM168" s="161"/>
      <x:c r="AN168" s="161"/>
      <x:c r="AO168" s="161"/>
      <x:c r="AP168" s="161"/>
      <x:c r="AQ168" s="161"/>
      <x:c r="AR168" s="161"/>
      <x:c r="AS168" s="161"/>
      <x:c r="AT168" s="161"/>
      <x:c r="AU168" s="161"/>
      <x:c r="AV168" s="161"/>
      <x:c r="AW168" s="161"/>
      <x:c r="AX168" s="161"/>
      <x:c r="AY168" s="161"/>
      <x:c r="AZ168" s="161"/>
    </x:row>
    <x:row r="169" ht="15" hidden="0" customHeight="1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  <x:c r="AA169" s="161"/>
      <x:c r="AB169" s="161"/>
      <x:c r="AC169" s="161"/>
      <x:c r="AD169" s="161"/>
      <x:c r="AE169" s="161"/>
      <x:c r="AF169" s="161"/>
      <x:c r="AG169" s="161"/>
      <x:c r="AH169" s="161"/>
      <x:c r="AI169" s="161"/>
      <x:c r="AJ169" s="161"/>
      <x:c r="AK169" s="161"/>
      <x:c r="AL169" s="161"/>
      <x:c r="AM169" s="161"/>
      <x:c r="AN169" s="161"/>
      <x:c r="AO169" s="161"/>
      <x:c r="AP169" s="161"/>
      <x:c r="AQ169" s="161"/>
      <x:c r="AR169" s="161"/>
      <x:c r="AS169" s="161"/>
      <x:c r="AT169" s="161"/>
      <x:c r="AU169" s="161"/>
      <x:c r="AV169" s="161"/>
      <x:c r="AW169" s="161"/>
      <x:c r="AX169" s="161"/>
      <x:c r="AY169" s="161"/>
      <x:c r="AZ169" s="161"/>
    </x:row>
    <x:row r="170" ht="15" hidden="0" customHeight="1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  <x:c r="AA170" s="161"/>
      <x:c r="AB170" s="161"/>
      <x:c r="AC170" s="161"/>
      <x:c r="AD170" s="161"/>
      <x:c r="AE170" s="161"/>
      <x:c r="AF170" s="161"/>
      <x:c r="AG170" s="161"/>
      <x:c r="AH170" s="161"/>
      <x:c r="AI170" s="161"/>
      <x:c r="AJ170" s="161"/>
      <x:c r="AK170" s="161"/>
      <x:c r="AL170" s="161"/>
      <x:c r="AM170" s="161"/>
      <x:c r="AN170" s="161"/>
      <x:c r="AO170" s="161"/>
      <x:c r="AP170" s="161"/>
      <x:c r="AQ170" s="161"/>
      <x:c r="AR170" s="161"/>
      <x:c r="AS170" s="161"/>
      <x:c r="AT170" s="161"/>
      <x:c r="AU170" s="161"/>
      <x:c r="AV170" s="161"/>
      <x:c r="AW170" s="161"/>
      <x:c r="AX170" s="161"/>
      <x:c r="AY170" s="161"/>
      <x:c r="AZ170" s="161"/>
    </x:row>
    <x:row r="171" ht="15" hidden="0" customHeight="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  <x:c r="AA171" s="161"/>
      <x:c r="AB171" s="161"/>
      <x:c r="AC171" s="161"/>
      <x:c r="AD171" s="161"/>
      <x:c r="AE171" s="161"/>
      <x:c r="AF171" s="161"/>
      <x:c r="AG171" s="161"/>
      <x:c r="AH171" s="161"/>
      <x:c r="AI171" s="161"/>
      <x:c r="AJ171" s="161"/>
      <x:c r="AK171" s="161"/>
      <x:c r="AL171" s="161"/>
      <x:c r="AM171" s="161"/>
      <x:c r="AN171" s="161"/>
      <x:c r="AO171" s="161"/>
      <x:c r="AP171" s="161"/>
      <x:c r="AQ171" s="161"/>
      <x:c r="AR171" s="161"/>
      <x:c r="AS171" s="161"/>
      <x:c r="AT171" s="161"/>
      <x:c r="AU171" s="161"/>
      <x:c r="AV171" s="161"/>
      <x:c r="AW171" s="161"/>
      <x:c r="AX171" s="161"/>
      <x:c r="AY171" s="161"/>
      <x:c r="AZ171" s="161"/>
    </x:row>
    <x:row r="172" ht="15" hidden="0" customHeight="1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  <x:c r="AA172" s="161"/>
      <x:c r="AB172" s="161"/>
      <x:c r="AC172" s="161"/>
      <x:c r="AD172" s="161"/>
      <x:c r="AE172" s="161"/>
      <x:c r="AF172" s="161"/>
      <x:c r="AG172" s="161"/>
      <x:c r="AH172" s="161"/>
      <x:c r="AI172" s="161"/>
      <x:c r="AJ172" s="161"/>
      <x:c r="AK172" s="161"/>
      <x:c r="AL172" s="161"/>
      <x:c r="AM172" s="161"/>
      <x:c r="AN172" s="161"/>
      <x:c r="AO172" s="161"/>
      <x:c r="AP172" s="161"/>
      <x:c r="AQ172" s="161"/>
      <x:c r="AR172" s="161"/>
      <x:c r="AS172" s="161"/>
      <x:c r="AT172" s="161"/>
      <x:c r="AU172" s="161"/>
      <x:c r="AV172" s="161"/>
      <x:c r="AW172" s="161"/>
      <x:c r="AX172" s="161"/>
      <x:c r="AY172" s="161"/>
      <x:c r="AZ172" s="161"/>
    </x:row>
    <x:row r="173" ht="15" hidden="0" customHeight="1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  <x:c r="AA173" s="161"/>
      <x:c r="AB173" s="161"/>
      <x:c r="AC173" s="161"/>
      <x:c r="AD173" s="161"/>
      <x:c r="AE173" s="161"/>
      <x:c r="AF173" s="161"/>
      <x:c r="AG173" s="161"/>
      <x:c r="AH173" s="161"/>
      <x:c r="AI173" s="161"/>
      <x:c r="AJ173" s="161"/>
      <x:c r="AK173" s="161"/>
      <x:c r="AL173" s="161"/>
      <x:c r="AM173" s="161"/>
      <x:c r="AN173" s="161"/>
      <x:c r="AO173" s="161"/>
      <x:c r="AP173" s="161"/>
      <x:c r="AQ173" s="161"/>
      <x:c r="AR173" s="161"/>
      <x:c r="AS173" s="161"/>
      <x:c r="AT173" s="161"/>
      <x:c r="AU173" s="161"/>
      <x:c r="AV173" s="161"/>
      <x:c r="AW173" s="161"/>
      <x:c r="AX173" s="161"/>
      <x:c r="AY173" s="161"/>
      <x:c r="AZ173" s="161"/>
    </x:row>
    <x:row r="174" ht="15" hidden="0" customHeight="1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  <x:c r="AA174" s="161"/>
      <x:c r="AB174" s="161"/>
      <x:c r="AC174" s="161"/>
      <x:c r="AD174" s="161"/>
      <x:c r="AE174" s="161"/>
      <x:c r="AF174" s="161"/>
      <x:c r="AG174" s="161"/>
      <x:c r="AH174" s="161"/>
      <x:c r="AI174" s="161"/>
      <x:c r="AJ174" s="161"/>
      <x:c r="AK174" s="161"/>
      <x:c r="AL174" s="161"/>
      <x:c r="AM174" s="161"/>
      <x:c r="AN174" s="161"/>
      <x:c r="AO174" s="161"/>
      <x:c r="AP174" s="161"/>
      <x:c r="AQ174" s="161"/>
      <x:c r="AR174" s="161"/>
      <x:c r="AS174" s="161"/>
      <x:c r="AT174" s="161"/>
      <x:c r="AU174" s="161"/>
      <x:c r="AV174" s="161"/>
      <x:c r="AW174" s="161"/>
      <x:c r="AX174" s="161"/>
      <x:c r="AY174" s="161"/>
      <x:c r="AZ174" s="161"/>
    </x:row>
    <x:row r="175" ht="15" hidden="0" customHeight="1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  <x:c r="AA175" s="161"/>
      <x:c r="AB175" s="161"/>
      <x:c r="AC175" s="161"/>
      <x:c r="AD175" s="161"/>
      <x:c r="AE175" s="161"/>
      <x:c r="AF175" s="161"/>
      <x:c r="AG175" s="161"/>
      <x:c r="AH175" s="161"/>
      <x:c r="AI175" s="161"/>
      <x:c r="AJ175" s="161"/>
      <x:c r="AK175" s="161"/>
      <x:c r="AL175" s="161"/>
      <x:c r="AM175" s="161"/>
      <x:c r="AN175" s="161"/>
      <x:c r="AO175" s="161"/>
      <x:c r="AP175" s="161"/>
      <x:c r="AQ175" s="161"/>
      <x:c r="AR175" s="161"/>
      <x:c r="AS175" s="161"/>
      <x:c r="AT175" s="161"/>
      <x:c r="AU175" s="161"/>
      <x:c r="AV175" s="161"/>
      <x:c r="AW175" s="161"/>
      <x:c r="AX175" s="161"/>
      <x:c r="AY175" s="161"/>
      <x:c r="AZ175" s="161"/>
    </x:row>
    <x:row r="176" ht="15" hidden="0" customHeight="1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  <x:c r="AA176" s="161"/>
      <x:c r="AB176" s="161"/>
      <x:c r="AC176" s="161"/>
      <x:c r="AD176" s="161"/>
      <x:c r="AE176" s="161"/>
      <x:c r="AF176" s="161"/>
      <x:c r="AG176" s="161"/>
      <x:c r="AH176" s="161"/>
      <x:c r="AI176" s="161"/>
      <x:c r="AJ176" s="161"/>
      <x:c r="AK176" s="161"/>
      <x:c r="AL176" s="161"/>
      <x:c r="AM176" s="161"/>
      <x:c r="AN176" s="161"/>
      <x:c r="AO176" s="161"/>
      <x:c r="AP176" s="161"/>
      <x:c r="AQ176" s="161"/>
      <x:c r="AR176" s="161"/>
      <x:c r="AS176" s="161"/>
      <x:c r="AT176" s="161"/>
      <x:c r="AU176" s="161"/>
      <x:c r="AV176" s="161"/>
      <x:c r="AW176" s="161"/>
      <x:c r="AX176" s="161"/>
      <x:c r="AY176" s="161"/>
      <x:c r="AZ176" s="161"/>
    </x:row>
    <x:row r="177" ht="15" hidden="0" customHeight="1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  <x:c r="AA177" s="161"/>
      <x:c r="AB177" s="161"/>
      <x:c r="AC177" s="161"/>
      <x:c r="AD177" s="161"/>
      <x:c r="AE177" s="161"/>
      <x:c r="AF177" s="161"/>
      <x:c r="AG177" s="161"/>
      <x:c r="AH177" s="161"/>
      <x:c r="AI177" s="161"/>
      <x:c r="AJ177" s="161"/>
      <x:c r="AK177" s="161"/>
      <x:c r="AL177" s="161"/>
      <x:c r="AM177" s="161"/>
      <x:c r="AN177" s="161"/>
      <x:c r="AO177" s="161"/>
      <x:c r="AP177" s="161"/>
      <x:c r="AQ177" s="161"/>
      <x:c r="AR177" s="161"/>
      <x:c r="AS177" s="161"/>
      <x:c r="AT177" s="161"/>
      <x:c r="AU177" s="161"/>
      <x:c r="AV177" s="161"/>
      <x:c r="AW177" s="161"/>
      <x:c r="AX177" s="161"/>
      <x:c r="AY177" s="161"/>
      <x:c r="AZ177" s="161"/>
    </x:row>
    <x:row r="178" ht="15" hidden="0" customHeight="1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  <x:c r="AA178" s="161"/>
      <x:c r="AB178" s="161"/>
      <x:c r="AC178" s="161"/>
      <x:c r="AD178" s="161"/>
      <x:c r="AE178" s="161"/>
      <x:c r="AF178" s="161"/>
      <x:c r="AG178" s="161"/>
      <x:c r="AH178" s="161"/>
      <x:c r="AI178" s="161"/>
      <x:c r="AJ178" s="161"/>
      <x:c r="AK178" s="161"/>
      <x:c r="AL178" s="161"/>
      <x:c r="AM178" s="161"/>
      <x:c r="AN178" s="161"/>
      <x:c r="AO178" s="161"/>
      <x:c r="AP178" s="161"/>
      <x:c r="AQ178" s="161"/>
      <x:c r="AR178" s="161"/>
      <x:c r="AS178" s="161"/>
      <x:c r="AT178" s="161"/>
      <x:c r="AU178" s="161"/>
      <x:c r="AV178" s="161"/>
      <x:c r="AW178" s="161"/>
      <x:c r="AX178" s="161"/>
      <x:c r="AY178" s="161"/>
      <x:c r="AZ178" s="161"/>
    </x:row>
    <x:row r="179" ht="15" hidden="0" customHeight="1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  <x:c r="AA179" s="161"/>
      <x:c r="AB179" s="161"/>
      <x:c r="AC179" s="161"/>
      <x:c r="AD179" s="161"/>
      <x:c r="AE179" s="161"/>
      <x:c r="AF179" s="161"/>
      <x:c r="AG179" s="161"/>
      <x:c r="AH179" s="161"/>
      <x:c r="AI179" s="161"/>
      <x:c r="AJ179" s="161"/>
      <x:c r="AK179" s="161"/>
      <x:c r="AL179" s="161"/>
      <x:c r="AM179" s="161"/>
      <x:c r="AN179" s="161"/>
      <x:c r="AO179" s="161"/>
      <x:c r="AP179" s="161"/>
      <x:c r="AQ179" s="161"/>
      <x:c r="AR179" s="161"/>
      <x:c r="AS179" s="161"/>
      <x:c r="AT179" s="161"/>
      <x:c r="AU179" s="161"/>
      <x:c r="AV179" s="161"/>
      <x:c r="AW179" s="161"/>
      <x:c r="AX179" s="161"/>
      <x:c r="AY179" s="161"/>
      <x:c r="AZ179" s="161"/>
    </x:row>
    <x:row r="180" ht="15" hidden="0" customHeight="1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  <x:c r="AA180" s="161"/>
      <x:c r="AB180" s="161"/>
      <x:c r="AC180" s="161"/>
      <x:c r="AD180" s="161"/>
      <x:c r="AE180" s="161"/>
      <x:c r="AF180" s="161"/>
      <x:c r="AG180" s="161"/>
      <x:c r="AH180" s="161"/>
      <x:c r="AI180" s="161"/>
      <x:c r="AJ180" s="161"/>
      <x:c r="AK180" s="161"/>
      <x:c r="AL180" s="161"/>
      <x:c r="AM180" s="161"/>
      <x:c r="AN180" s="161"/>
      <x:c r="AO180" s="161"/>
      <x:c r="AP180" s="161"/>
      <x:c r="AQ180" s="161"/>
      <x:c r="AR180" s="161"/>
      <x:c r="AS180" s="161"/>
      <x:c r="AT180" s="161"/>
      <x:c r="AU180" s="161"/>
      <x:c r="AV180" s="161"/>
      <x:c r="AW180" s="161"/>
      <x:c r="AX180" s="161"/>
      <x:c r="AY180" s="161"/>
      <x:c r="AZ180" s="161"/>
    </x:row>
    <x:row r="181" ht="15" hidden="0" customHeight="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  <x:c r="AA181" s="161"/>
      <x:c r="AB181" s="161"/>
      <x:c r="AC181" s="161"/>
      <x:c r="AD181" s="161"/>
      <x:c r="AE181" s="161"/>
      <x:c r="AF181" s="161"/>
      <x:c r="AG181" s="161"/>
      <x:c r="AH181" s="161"/>
      <x:c r="AI181" s="161"/>
      <x:c r="AJ181" s="161"/>
      <x:c r="AK181" s="161"/>
      <x:c r="AL181" s="161"/>
      <x:c r="AM181" s="161"/>
      <x:c r="AN181" s="161"/>
      <x:c r="AO181" s="161"/>
      <x:c r="AP181" s="161"/>
      <x:c r="AQ181" s="161"/>
      <x:c r="AR181" s="161"/>
      <x:c r="AS181" s="161"/>
      <x:c r="AT181" s="161"/>
      <x:c r="AU181" s="161"/>
      <x:c r="AV181" s="161"/>
      <x:c r="AW181" s="161"/>
      <x:c r="AX181" s="161"/>
      <x:c r="AY181" s="161"/>
      <x:c r="AZ181" s="161"/>
    </x:row>
    <x:row r="182" ht="15" hidden="0" customHeight="1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  <x:c r="AA182" s="161"/>
      <x:c r="AB182" s="161"/>
      <x:c r="AC182" s="161"/>
      <x:c r="AD182" s="161"/>
      <x:c r="AE182" s="161"/>
      <x:c r="AF182" s="161"/>
      <x:c r="AG182" s="161"/>
      <x:c r="AH182" s="161"/>
      <x:c r="AI182" s="161"/>
      <x:c r="AJ182" s="161"/>
      <x:c r="AK182" s="161"/>
      <x:c r="AL182" s="161"/>
      <x:c r="AM182" s="161"/>
      <x:c r="AN182" s="161"/>
      <x:c r="AO182" s="161"/>
      <x:c r="AP182" s="161"/>
      <x:c r="AQ182" s="161"/>
      <x:c r="AR182" s="161"/>
      <x:c r="AS182" s="161"/>
      <x:c r="AT182" s="161"/>
      <x:c r="AU182" s="161"/>
      <x:c r="AV182" s="161"/>
      <x:c r="AW182" s="161"/>
      <x:c r="AX182" s="161"/>
      <x:c r="AY182" s="161"/>
      <x:c r="AZ182" s="161"/>
    </x:row>
    <x:row r="183" ht="15" hidden="0" customHeight="1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  <x:c r="AA183" s="161"/>
      <x:c r="AB183" s="161"/>
      <x:c r="AC183" s="161"/>
      <x:c r="AD183" s="161"/>
      <x:c r="AE183" s="161"/>
      <x:c r="AF183" s="161"/>
      <x:c r="AG183" s="161"/>
      <x:c r="AH183" s="161"/>
      <x:c r="AI183" s="161"/>
      <x:c r="AJ183" s="161"/>
      <x:c r="AK183" s="161"/>
      <x:c r="AL183" s="161"/>
      <x:c r="AM183" s="161"/>
      <x:c r="AN183" s="161"/>
      <x:c r="AO183" s="161"/>
      <x:c r="AP183" s="161"/>
      <x:c r="AQ183" s="161"/>
      <x:c r="AR183" s="161"/>
      <x:c r="AS183" s="161"/>
      <x:c r="AT183" s="161"/>
      <x:c r="AU183" s="161"/>
      <x:c r="AV183" s="161"/>
      <x:c r="AW183" s="161"/>
      <x:c r="AX183" s="161"/>
      <x:c r="AY183" s="161"/>
      <x:c r="AZ183" s="161"/>
    </x:row>
    <x:row r="184" ht="15" hidden="0" customHeight="1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  <x:c r="AA184" s="161"/>
      <x:c r="AB184" s="161"/>
      <x:c r="AC184" s="161"/>
      <x:c r="AD184" s="161"/>
      <x:c r="AE184" s="161"/>
      <x:c r="AF184" s="161"/>
      <x:c r="AG184" s="161"/>
      <x:c r="AH184" s="161"/>
      <x:c r="AI184" s="161"/>
      <x:c r="AJ184" s="161"/>
      <x:c r="AK184" s="161"/>
      <x:c r="AL184" s="161"/>
      <x:c r="AM184" s="161"/>
      <x:c r="AN184" s="161"/>
      <x:c r="AO184" s="161"/>
      <x:c r="AP184" s="161"/>
      <x:c r="AQ184" s="161"/>
      <x:c r="AR184" s="161"/>
      <x:c r="AS184" s="161"/>
      <x:c r="AT184" s="161"/>
      <x:c r="AU184" s="161"/>
      <x:c r="AV184" s="161"/>
      <x:c r="AW184" s="161"/>
      <x:c r="AX184" s="161"/>
      <x:c r="AY184" s="161"/>
      <x:c r="AZ184" s="161"/>
    </x:row>
    <x:row r="185" ht="15" hidden="0" customHeight="1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  <x:c r="AA185" s="161"/>
      <x:c r="AB185" s="161"/>
      <x:c r="AC185" s="161"/>
      <x:c r="AD185" s="161"/>
      <x:c r="AE185" s="161"/>
      <x:c r="AF185" s="161"/>
      <x:c r="AG185" s="161"/>
      <x:c r="AH185" s="161"/>
      <x:c r="AI185" s="161"/>
      <x:c r="AJ185" s="161"/>
      <x:c r="AK185" s="161"/>
      <x:c r="AL185" s="161"/>
      <x:c r="AM185" s="161"/>
      <x:c r="AN185" s="161"/>
      <x:c r="AO185" s="161"/>
      <x:c r="AP185" s="161"/>
      <x:c r="AQ185" s="161"/>
      <x:c r="AR185" s="161"/>
      <x:c r="AS185" s="161"/>
      <x:c r="AT185" s="161"/>
      <x:c r="AU185" s="161"/>
      <x:c r="AV185" s="161"/>
      <x:c r="AW185" s="161"/>
      <x:c r="AX185" s="161"/>
      <x:c r="AY185" s="161"/>
      <x:c r="AZ185" s="161"/>
    </x:row>
    <x:row r="186" ht="15" hidden="0" customHeight="1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  <x:c r="AA186" s="161"/>
      <x:c r="AB186" s="161"/>
      <x:c r="AC186" s="161"/>
      <x:c r="AD186" s="161"/>
      <x:c r="AE186" s="161"/>
      <x:c r="AF186" s="161"/>
      <x:c r="AG186" s="161"/>
      <x:c r="AH186" s="161"/>
      <x:c r="AI186" s="161"/>
      <x:c r="AJ186" s="161"/>
      <x:c r="AK186" s="161"/>
      <x:c r="AL186" s="161"/>
      <x:c r="AM186" s="161"/>
      <x:c r="AN186" s="161"/>
      <x:c r="AO186" s="161"/>
      <x:c r="AP186" s="161"/>
      <x:c r="AQ186" s="161"/>
      <x:c r="AR186" s="161"/>
      <x:c r="AS186" s="161"/>
      <x:c r="AT186" s="161"/>
      <x:c r="AU186" s="161"/>
      <x:c r="AV186" s="161"/>
      <x:c r="AW186" s="161"/>
      <x:c r="AX186" s="161"/>
      <x:c r="AY186" s="161"/>
      <x:c r="AZ186" s="161"/>
    </x:row>
    <x:row r="187" ht="15" hidden="0" customHeight="1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  <x:c r="AA187" s="161"/>
      <x:c r="AB187" s="161"/>
      <x:c r="AC187" s="161"/>
      <x:c r="AD187" s="161"/>
      <x:c r="AE187" s="161"/>
      <x:c r="AF187" s="161"/>
      <x:c r="AG187" s="161"/>
      <x:c r="AH187" s="161"/>
      <x:c r="AI187" s="161"/>
      <x:c r="AJ187" s="161"/>
      <x:c r="AK187" s="161"/>
      <x:c r="AL187" s="161"/>
      <x:c r="AM187" s="161"/>
      <x:c r="AN187" s="161"/>
      <x:c r="AO187" s="161"/>
      <x:c r="AP187" s="161"/>
      <x:c r="AQ187" s="161"/>
      <x:c r="AR187" s="161"/>
      <x:c r="AS187" s="161"/>
      <x:c r="AT187" s="161"/>
      <x:c r="AU187" s="161"/>
      <x:c r="AV187" s="161"/>
      <x:c r="AW187" s="161"/>
      <x:c r="AX187" s="161"/>
      <x:c r="AY187" s="161"/>
      <x:c r="AZ187" s="161"/>
    </x:row>
    <x:row r="188" ht="15" hidden="0" customHeight="1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  <x:c r="AA188" s="161"/>
      <x:c r="AB188" s="161"/>
      <x:c r="AC188" s="161"/>
      <x:c r="AD188" s="161"/>
      <x:c r="AE188" s="161"/>
      <x:c r="AF188" s="161"/>
      <x:c r="AG188" s="161"/>
      <x:c r="AH188" s="161"/>
      <x:c r="AI188" s="161"/>
      <x:c r="AJ188" s="161"/>
      <x:c r="AK188" s="161"/>
      <x:c r="AL188" s="161"/>
      <x:c r="AM188" s="161"/>
      <x:c r="AN188" s="161"/>
      <x:c r="AO188" s="161"/>
      <x:c r="AP188" s="161"/>
      <x:c r="AQ188" s="161"/>
      <x:c r="AR188" s="161"/>
      <x:c r="AS188" s="161"/>
      <x:c r="AT188" s="161"/>
      <x:c r="AU188" s="161"/>
      <x:c r="AV188" s="161"/>
      <x:c r="AW188" s="161"/>
      <x:c r="AX188" s="161"/>
      <x:c r="AY188" s="161"/>
      <x:c r="AZ188" s="161"/>
    </x:row>
    <x:row r="189" ht="15" hidden="0" customHeight="1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  <x:c r="AA189" s="161"/>
      <x:c r="AB189" s="161"/>
      <x:c r="AC189" s="161"/>
      <x:c r="AD189" s="161"/>
      <x:c r="AE189" s="161"/>
      <x:c r="AF189" s="161"/>
      <x:c r="AG189" s="161"/>
      <x:c r="AH189" s="161"/>
      <x:c r="AI189" s="161"/>
      <x:c r="AJ189" s="161"/>
      <x:c r="AK189" s="161"/>
      <x:c r="AL189" s="161"/>
      <x:c r="AM189" s="161"/>
      <x:c r="AN189" s="161"/>
      <x:c r="AO189" s="161"/>
      <x:c r="AP189" s="161"/>
      <x:c r="AQ189" s="161"/>
      <x:c r="AR189" s="161"/>
      <x:c r="AS189" s="161"/>
      <x:c r="AT189" s="161"/>
      <x:c r="AU189" s="161"/>
      <x:c r="AV189" s="161"/>
      <x:c r="AW189" s="161"/>
      <x:c r="AX189" s="161"/>
      <x:c r="AY189" s="161"/>
      <x:c r="AZ189" s="161"/>
    </x:row>
    <x:row r="190" ht="15" hidden="0" customHeight="1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  <x:c r="AA190" s="161"/>
      <x:c r="AB190" s="161"/>
      <x:c r="AC190" s="161"/>
      <x:c r="AD190" s="161"/>
      <x:c r="AE190" s="161"/>
      <x:c r="AF190" s="161"/>
      <x:c r="AG190" s="161"/>
      <x:c r="AH190" s="161"/>
      <x:c r="AI190" s="161"/>
      <x:c r="AJ190" s="161"/>
      <x:c r="AK190" s="161"/>
      <x:c r="AL190" s="161"/>
      <x:c r="AM190" s="161"/>
      <x:c r="AN190" s="161"/>
      <x:c r="AO190" s="161"/>
      <x:c r="AP190" s="161"/>
      <x:c r="AQ190" s="161"/>
      <x:c r="AR190" s="161"/>
      <x:c r="AS190" s="161"/>
      <x:c r="AT190" s="161"/>
      <x:c r="AU190" s="161"/>
      <x:c r="AV190" s="161"/>
      <x:c r="AW190" s="161"/>
      <x:c r="AX190" s="161"/>
      <x:c r="AY190" s="161"/>
      <x:c r="AZ190" s="161"/>
    </x:row>
    <x:row r="191" ht="15" hidden="0" customHeight="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  <x:c r="AA191" s="161"/>
      <x:c r="AB191" s="161"/>
      <x:c r="AC191" s="161"/>
      <x:c r="AD191" s="161"/>
      <x:c r="AE191" s="161"/>
      <x:c r="AF191" s="161"/>
      <x:c r="AG191" s="161"/>
      <x:c r="AH191" s="161"/>
      <x:c r="AI191" s="161"/>
      <x:c r="AJ191" s="161"/>
      <x:c r="AK191" s="161"/>
      <x:c r="AL191" s="161"/>
      <x:c r="AM191" s="161"/>
      <x:c r="AN191" s="161"/>
      <x:c r="AO191" s="161"/>
      <x:c r="AP191" s="161"/>
      <x:c r="AQ191" s="161"/>
      <x:c r="AR191" s="161"/>
      <x:c r="AS191" s="161"/>
      <x:c r="AT191" s="161"/>
      <x:c r="AU191" s="161"/>
      <x:c r="AV191" s="161"/>
      <x:c r="AW191" s="161"/>
      <x:c r="AX191" s="161"/>
      <x:c r="AY191" s="161"/>
      <x:c r="AZ191" s="161"/>
    </x:row>
    <x:row r="192" ht="15" hidden="0" customHeight="1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  <x:c r="AA192" s="161"/>
      <x:c r="AB192" s="161"/>
      <x:c r="AC192" s="161"/>
      <x:c r="AD192" s="161"/>
      <x:c r="AE192" s="161"/>
      <x:c r="AF192" s="161"/>
      <x:c r="AG192" s="161"/>
      <x:c r="AH192" s="161"/>
      <x:c r="AI192" s="161"/>
      <x:c r="AJ192" s="161"/>
      <x:c r="AK192" s="161"/>
      <x:c r="AL192" s="161"/>
      <x:c r="AM192" s="161"/>
      <x:c r="AN192" s="161"/>
      <x:c r="AO192" s="161"/>
      <x:c r="AP192" s="161"/>
      <x:c r="AQ192" s="161"/>
      <x:c r="AR192" s="161"/>
      <x:c r="AS192" s="161"/>
      <x:c r="AT192" s="161"/>
      <x:c r="AU192" s="161"/>
      <x:c r="AV192" s="161"/>
      <x:c r="AW192" s="161"/>
      <x:c r="AX192" s="161"/>
      <x:c r="AY192" s="161"/>
      <x:c r="AZ192" s="161"/>
    </x:row>
    <x:row r="193" ht="15" hidden="0" customHeight="1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  <x:c r="AA193" s="161"/>
      <x:c r="AB193" s="161"/>
      <x:c r="AC193" s="161"/>
      <x:c r="AD193" s="161"/>
      <x:c r="AE193" s="161"/>
      <x:c r="AF193" s="161"/>
      <x:c r="AG193" s="161"/>
      <x:c r="AH193" s="161"/>
      <x:c r="AI193" s="161"/>
      <x:c r="AJ193" s="161"/>
      <x:c r="AK193" s="161"/>
      <x:c r="AL193" s="161"/>
      <x:c r="AM193" s="161"/>
      <x:c r="AN193" s="161"/>
      <x:c r="AO193" s="161"/>
      <x:c r="AP193" s="161"/>
      <x:c r="AQ193" s="161"/>
      <x:c r="AR193" s="161"/>
      <x:c r="AS193" s="161"/>
      <x:c r="AT193" s="161"/>
      <x:c r="AU193" s="161"/>
      <x:c r="AV193" s="161"/>
      <x:c r="AW193" s="161"/>
      <x:c r="AX193" s="161"/>
      <x:c r="AY193" s="161"/>
      <x:c r="AZ193" s="161"/>
    </x:row>
    <x:row r="194" ht="15" hidden="0" customHeight="1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  <x:c r="AA194" s="161"/>
      <x:c r="AB194" s="161"/>
      <x:c r="AC194" s="161"/>
      <x:c r="AD194" s="161"/>
      <x:c r="AE194" s="161"/>
      <x:c r="AF194" s="161"/>
      <x:c r="AG194" s="161"/>
      <x:c r="AH194" s="161"/>
      <x:c r="AI194" s="161"/>
      <x:c r="AJ194" s="161"/>
      <x:c r="AK194" s="161"/>
      <x:c r="AL194" s="161"/>
      <x:c r="AM194" s="161"/>
      <x:c r="AN194" s="161"/>
      <x:c r="AO194" s="161"/>
      <x:c r="AP194" s="161"/>
      <x:c r="AQ194" s="161"/>
      <x:c r="AR194" s="161"/>
      <x:c r="AS194" s="161"/>
      <x:c r="AT194" s="161"/>
      <x:c r="AU194" s="161"/>
      <x:c r="AV194" s="161"/>
      <x:c r="AW194" s="161"/>
      <x:c r="AX194" s="161"/>
      <x:c r="AY194" s="161"/>
      <x:c r="AZ194" s="161"/>
    </x:row>
    <x:row r="195" ht="15" hidden="0" customHeight="1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  <x:c r="AA195" s="161"/>
      <x:c r="AB195" s="161"/>
      <x:c r="AC195" s="161"/>
      <x:c r="AD195" s="161"/>
      <x:c r="AE195" s="161"/>
      <x:c r="AF195" s="161"/>
      <x:c r="AG195" s="161"/>
      <x:c r="AH195" s="161"/>
      <x:c r="AI195" s="161"/>
      <x:c r="AJ195" s="161"/>
      <x:c r="AK195" s="161"/>
      <x:c r="AL195" s="161"/>
      <x:c r="AM195" s="161"/>
      <x:c r="AN195" s="161"/>
      <x:c r="AO195" s="161"/>
      <x:c r="AP195" s="161"/>
      <x:c r="AQ195" s="161"/>
      <x:c r="AR195" s="161"/>
      <x:c r="AS195" s="161"/>
      <x:c r="AT195" s="161"/>
      <x:c r="AU195" s="161"/>
      <x:c r="AV195" s="161"/>
      <x:c r="AW195" s="161"/>
      <x:c r="AX195" s="161"/>
      <x:c r="AY195" s="161"/>
      <x:c r="AZ195" s="161"/>
    </x:row>
    <x:row r="196" ht="15" hidden="0" customHeight="1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  <x:c r="AA196" s="161"/>
      <x:c r="AB196" s="161"/>
      <x:c r="AC196" s="161"/>
      <x:c r="AD196" s="161"/>
      <x:c r="AE196" s="161"/>
      <x:c r="AF196" s="161"/>
      <x:c r="AG196" s="161"/>
      <x:c r="AH196" s="161"/>
      <x:c r="AI196" s="161"/>
      <x:c r="AJ196" s="161"/>
      <x:c r="AK196" s="161"/>
      <x:c r="AL196" s="161"/>
      <x:c r="AM196" s="161"/>
      <x:c r="AN196" s="161"/>
      <x:c r="AO196" s="161"/>
      <x:c r="AP196" s="161"/>
      <x:c r="AQ196" s="161"/>
      <x:c r="AR196" s="161"/>
      <x:c r="AS196" s="161"/>
      <x:c r="AT196" s="161"/>
      <x:c r="AU196" s="161"/>
      <x:c r="AV196" s="161"/>
      <x:c r="AW196" s="161"/>
      <x:c r="AX196" s="161"/>
      <x:c r="AY196" s="161"/>
      <x:c r="AZ196" s="161"/>
    </x:row>
    <x:row r="197" ht="15" hidden="0" customHeight="1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  <x:c r="AA197" s="161"/>
      <x:c r="AB197" s="161"/>
      <x:c r="AC197" s="161"/>
      <x:c r="AD197" s="161"/>
      <x:c r="AE197" s="161"/>
      <x:c r="AF197" s="161"/>
      <x:c r="AG197" s="161"/>
      <x:c r="AH197" s="161"/>
      <x:c r="AI197" s="161"/>
      <x:c r="AJ197" s="161"/>
      <x:c r="AK197" s="161"/>
      <x:c r="AL197" s="161"/>
      <x:c r="AM197" s="161"/>
      <x:c r="AN197" s="161"/>
      <x:c r="AO197" s="161"/>
      <x:c r="AP197" s="161"/>
      <x:c r="AQ197" s="161"/>
      <x:c r="AR197" s="161"/>
      <x:c r="AS197" s="161"/>
      <x:c r="AT197" s="161"/>
      <x:c r="AU197" s="161"/>
      <x:c r="AV197" s="161"/>
      <x:c r="AW197" s="161"/>
      <x:c r="AX197" s="161"/>
      <x:c r="AY197" s="161"/>
      <x:c r="AZ197" s="161"/>
    </x:row>
    <x:row r="198" ht="15" hidden="0" customHeight="1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  <x:c r="AA198" s="161"/>
      <x:c r="AB198" s="161"/>
      <x:c r="AC198" s="161"/>
      <x:c r="AD198" s="161"/>
      <x:c r="AE198" s="161"/>
      <x:c r="AF198" s="161"/>
      <x:c r="AG198" s="161"/>
      <x:c r="AH198" s="161"/>
      <x:c r="AI198" s="161"/>
      <x:c r="AJ198" s="161"/>
      <x:c r="AK198" s="161"/>
      <x:c r="AL198" s="161"/>
      <x:c r="AM198" s="161"/>
      <x:c r="AN198" s="161"/>
      <x:c r="AO198" s="161"/>
      <x:c r="AP198" s="161"/>
      <x:c r="AQ198" s="161"/>
      <x:c r="AR198" s="161"/>
      <x:c r="AS198" s="161"/>
      <x:c r="AT198" s="161"/>
      <x:c r="AU198" s="161"/>
      <x:c r="AV198" s="161"/>
      <x:c r="AW198" s="161"/>
      <x:c r="AX198" s="161"/>
      <x:c r="AY198" s="161"/>
      <x:c r="AZ198" s="161"/>
    </x:row>
    <x:row r="199" ht="15" hidden="0" customHeight="1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  <x:c r="AA199" s="161"/>
      <x:c r="AB199" s="161"/>
      <x:c r="AC199" s="161"/>
      <x:c r="AD199" s="161"/>
      <x:c r="AE199" s="161"/>
      <x:c r="AF199" s="161"/>
      <x:c r="AG199" s="161"/>
      <x:c r="AH199" s="161"/>
      <x:c r="AI199" s="161"/>
      <x:c r="AJ199" s="161"/>
      <x:c r="AK199" s="161"/>
      <x:c r="AL199" s="161"/>
      <x:c r="AM199" s="161"/>
      <x:c r="AN199" s="161"/>
      <x:c r="AO199" s="161"/>
      <x:c r="AP199" s="161"/>
      <x:c r="AQ199" s="161"/>
      <x:c r="AR199" s="161"/>
      <x:c r="AS199" s="161"/>
      <x:c r="AT199" s="161"/>
      <x:c r="AU199" s="161"/>
      <x:c r="AV199" s="161"/>
      <x:c r="AW199" s="161"/>
      <x:c r="AX199" s="161"/>
      <x:c r="AY199" s="161"/>
      <x:c r="AZ199" s="161"/>
    </x:row>
    <x:row r="200" ht="15" hidden="0" customHeight="1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  <x:c r="AA200" s="161"/>
      <x:c r="AB200" s="161"/>
      <x:c r="AC200" s="161"/>
      <x:c r="AD200" s="161"/>
      <x:c r="AE200" s="161"/>
      <x:c r="AF200" s="161"/>
      <x:c r="AG200" s="161"/>
      <x:c r="AH200" s="161"/>
      <x:c r="AI200" s="161"/>
      <x:c r="AJ200" s="161"/>
      <x:c r="AK200" s="161"/>
      <x:c r="AL200" s="161"/>
      <x:c r="AM200" s="161"/>
      <x:c r="AN200" s="161"/>
      <x:c r="AO200" s="161"/>
      <x:c r="AP200" s="161"/>
      <x:c r="AQ200" s="161"/>
      <x:c r="AR200" s="161"/>
      <x:c r="AS200" s="161"/>
      <x:c r="AT200" s="161"/>
      <x:c r="AU200" s="161"/>
      <x:c r="AV200" s="161"/>
      <x:c r="AW200" s="161"/>
      <x:c r="AX200" s="161"/>
      <x:c r="AY200" s="161"/>
      <x:c r="AZ200" s="161"/>
    </x:row>
  </x:sheetData>
  <x:mergeCells>
    <x:mergeCell ref="A1:H1"/>
    <x:mergeCell ref="A2:H2"/>
  </x:mergeCells>
  <x:pageMargins left="0.7" right="0.7" top="0.75" bottom="0.75" header="0.3" footer="0.3"/>
</x:worksheet>
</file>