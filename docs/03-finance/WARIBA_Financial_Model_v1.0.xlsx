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abf984e458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db3faa6ef8044c3"/>
    <x:sheet xmlns:r="http://schemas.openxmlformats.org/officeDocument/2006/relationships" name="Hypothèses" sheetId="2" r:id="Rc2df174eedb249a6"/>
    <x:sheet xmlns:r="http://schemas.openxmlformats.org/officeDocument/2006/relationships" name="Règles &amp; Offre" sheetId="3" r:id="R0bd1ab92c8fb4331"/>
    <x:sheet xmlns:r="http://schemas.openxmlformats.org/officeDocument/2006/relationships" name="Économie Unitaire" sheetId="4" r:id="R2d5e0825a9de4e3d"/>
    <x:sheet xmlns:r="http://schemas.openxmlformats.org/officeDocument/2006/relationships" name="Cohorte 1000" sheetId="5" r:id="R0d0c349a57b64e83"/>
    <x:sheet xmlns:r="http://schemas.openxmlformats.org/officeDocument/2006/relationships" name="Prévision 24M" sheetId="6" r:id="R5076417214614f36"/>
    <x:sheet xmlns:r="http://schemas.openxmlformats.org/officeDocument/2006/relationships" name="Comparaison Scénarios" sheetId="7" r:id="R39205511b3014db6"/>
    <x:sheet xmlns:r="http://schemas.openxmlformats.org/officeDocument/2006/relationships" name="Sensibilités" sheetId="8" r:id="R111d44d0a7b44938"/>
    <x:sheet xmlns:r="http://schemas.openxmlformats.org/officeDocument/2006/relationships" name="Decision Gates" sheetId="9" r:id="R0404852bba594dc7"/>
    <x:sheet xmlns:r="http://schemas.openxmlformats.org/officeDocument/2006/relationships" name="Dashboard" sheetId="10" r:id="R18cdcad49be34517"/>
    <x:sheet xmlns:r="http://schemas.openxmlformats.org/officeDocument/2006/relationships" name="Assumption Log" sheetId="11" r:id="Ree4defb7629946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0.0%;[Red](0.0%);-"/>
    <x:numFmt numFmtId="165" formatCode="#,##0;[Red](#,##0);-"/>
    <x:numFmt numFmtId="166" formatCode="0.0x;[Red](0.0x);-"/>
    <x:numFmt numFmtId="167" formatCode="0.00%;[Red](0.00%);-"/>
    <x:numFmt numFmtId="168" formatCode="0 &quot;mois&quot;"/>
    <x:numFmt numFmtId="169" formatCode="#,##0.0;[Red](#,##0.0);-"/>
  </x:numFmts>
  <x:fonts count="22">
    <x:font>
      <x:sz val="11"/>
      <x:name val="Carlito"/>
    </x:font>
    <x:font>
      <x:b/>
      <x:sz val="16"/>
      <x:color rgb="FFFFFFFF"/>
      <x:name val="Manrope"/>
    </x:font>
    <x:font>
      <x:i/>
      <x:sz val="10"/>
      <x:color rgb="FF0B0D12"/>
      <x:name val="Manrope"/>
    </x:font>
    <x:font>
      <x:b/>
      <x:sz val="11"/>
      <x:color rgb="FFFFFFFF"/>
      <x:name val="Manrope"/>
    </x:font>
    <x:font>
      <x:b/>
      <x:sz val="9"/>
      <x:color rgb="FFFFFFFF"/>
      <x:name val="Manrope"/>
    </x:font>
    <x:font>
      <x:sz val="11"/>
      <x:color rgb="FF0000FF"/>
      <x:name val="Manrope"/>
    </x:font>
    <x:font>
      <x:sz val="11"/>
      <x:color rgb="FF008000"/>
      <x:name val="Manrope"/>
    </x:font>
    <x:font>
      <x:sz val="11"/>
      <x:color rgb="FF000000"/>
      <x:name val="Manrope"/>
    </x:font>
    <x:font>
      <x:b/>
      <x:sz val="11"/>
      <x:color rgb="FF0B0D12"/>
      <x:name val="Manrope"/>
    </x:font>
    <x:font>
      <x:b/>
      <x:sz val="11"/>
      <x:name val="Manrope"/>
    </x:font>
    <x:font>
      <x:b/>
      <x:sz val="11"/>
      <x:color rgb="FF000000"/>
      <x:name val="Manrope"/>
    </x:font>
    <x:font>
      <x:b/>
      <x:sz val="15"/>
      <x:color rgb="FF2446D8"/>
      <x:name val="Manrope"/>
    </x:font>
    <x:font>
      <x:b/>
      <x:sz val="10"/>
      <x:color rgb="FFFFFFFF"/>
      <x:name val="Manrope"/>
    </x:font>
    <x:font>
      <x:sz val="10"/>
      <x:name val="Manrope"/>
    </x:font>
    <x:font>
      <x:sz val="10"/>
      <x:color rgb="FF0000FF"/>
      <x:name val="Manrope"/>
    </x:font>
    <x:font>
      <x:sz val="10"/>
      <x:color rgb="FF008000"/>
      <x:name val="Manrope"/>
    </x:font>
    <x:font>
      <x:b/>
      <x:sz val="10"/>
      <x:color rgb="FF0B0D12"/>
      <x:name val="Manrope"/>
    </x:font>
    <x:font>
      <x:sz val="10"/>
      <x:color rgb="FF000000"/>
      <x:name val="Manrope"/>
    </x:font>
    <x:font>
      <x:b/>
      <x:sz val="10"/>
      <x:name val="Manrope"/>
    </x:font>
    <x:font>
      <x:b/>
      <x:sz val="10"/>
      <x:color rgb="FF000000"/>
      <x:name val="Manrope"/>
    </x:font>
    <x:font>
      <x:b/>
      <x:sz val="10"/>
      <x:color rgb="FF2446D8"/>
      <x:name val="Manrope"/>
    </x:font>
    <x:font>
      <x:b/>
    </x:font>
  </x:fonts>
  <x:fills count="9">
    <x:fill>
      <x:patternFill patternType="none"/>
    </x:fill>
    <x:fill>
      <x:patternFill patternType="gray125"/>
    </x:fill>
    <x:fill>
      <x:patternFill patternType="solid">
        <x:fgColor rgb="FF0B0D12"/>
      </x:patternFill>
    </x:fill>
    <x:fill>
      <x:patternFill patternType="solid">
        <x:fgColor rgb="FFF7F3EB"/>
      </x:patternFill>
    </x:fill>
    <x:fill>
      <x:patternFill patternType="solid">
        <x:fgColor rgb="FF2446D8"/>
      </x:patternFill>
    </x:fill>
    <x:fill>
      <x:patternFill patternType="solid">
        <x:fgColor rgb="FF121620"/>
      </x:patternFill>
    </x:fill>
    <x:fill>
      <x:patternFill patternType="solid">
        <x:fgColor rgb="FFFFF2A8"/>
      </x:patternFill>
    </x:fill>
    <x:fill>
      <x:patternFill patternType="solid">
        <x:fgColor rgb="FFEEE7DB"/>
      </x:patternFill>
    </x:fill>
    <x:fill>
      <x:patternFill patternType="solid">
        <x:fgColor rgb="FFFFF1D5"/>
      </x:patternFill>
    </x:fill>
  </x:fills>
  <x:borders count="6">
    <x:border/>
    <x:border/>
    <x:border>
      <x:bottom style="thin">
        <x:color rgb="FF7B8290"/>
      </x:bottom>
    </x:border>
    <x:border>
      <x:bottom style="thin">
        <x:color rgb="FF7B8290"/>
      </x:bottom>
    </x:border>
    <x:border>
      <x:top style="thin">
        <x:color rgb="FF0B0D12"/>
      </x:top>
    </x:border>
    <x:border>
      <x:top style="thin">
        <x:color rgb="FF0B0D12"/>
      </x:top>
    </x:border>
  </x:borders>
  <x:cellStyleXfs count="1">
    <x:xf numFmtId="0" fontId="0" fillId="0" borderId="1"/>
  </x:cellStyleXfs>
  <x:cellXfs count="49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horizontal="left"/>
    </x:xf>
    <x:xf numFmtId="0" fontId="3" fillId="4" borderId="0" xfId="0" applyAlignment="1">
      <x:alignment horizontal="left" vertical="center"/>
    </x:xf>
    <x:xf numFmtId="0" fontId="0" fillId="4" borderId="1" xfId="0"/>
    <x:xf numFmtId="0" fontId="3" fillId="4" borderId="1" xfId="0"/>
    <x:xf numFmtId="0" fontId="3" fillId="4" borderId="1" xfId="0" applyAlignment="1">
      <x:alignment horizontal="left"/>
    </x:xf>
    <x:xf numFmtId="0" fontId="3" fillId="4" borderId="1" xfId="0" applyAlignment="1">
      <x:alignment horizontal="left" vertical="center"/>
    </x:xf>
    <x:xf numFmtId="0" fontId="0" fillId="5" borderId="0" xfId="0"/>
    <x:xf numFmtId="0" fontId="4" fillId="5" borderId="0" xfId="0"/>
    <x:xf numFmtId="0" fontId="4" fillId="5" borderId="2" xfId="0"/>
    <x:xf numFmtId="0" fontId="4" fillId="5" borderId="2" xfId="0" applyAlignment="1">
      <x:alignment wrapText="1"/>
    </x:xf>
    <x:xf numFmtId="0" fontId="4" fillId="5" borderId="2" xfId="0" applyAlignment="1">
      <x:alignment horizontal="center" wrapText="1"/>
    </x:xf>
    <x:xf numFmtId="0" fontId="4" fillId="5" borderId="2" xfId="0" applyAlignment="1">
      <x:alignment horizontal="center" vertical="center" wrapText="1"/>
    </x:xf>
    <x:xf numFmtId="0" fontId="0" fillId="5" borderId="1" xfId="0"/>
    <x:xf numFmtId="0" fontId="4" fillId="5" borderId="1" xfId="0"/>
    <x:xf numFmtId="0" fontId="4" fillId="5" borderId="3" xfId="0"/>
    <x:xf numFmtId="0" fontId="4" fillId="5" borderId="3" xfId="0" applyAlignment="1">
      <x:alignment wrapText="1"/>
    </x:xf>
    <x:xf numFmtId="0" fontId="4" fillId="5" borderId="3" xfId="0" applyAlignment="1">
      <x:alignment horizontal="center" wrapText="1"/>
    </x:xf>
    <x:xf numFmtId="0" fontId="4" fillId="5" borderId="3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5" fillId="0" borderId="0" xfId="0"/>
    <x:xf numFmtId="0" fontId="5" fillId="0" borderId="1" xfId="0"/>
    <x:xf numFmtId="0" fontId="5" fillId="6" borderId="0" xfId="0"/>
    <x:xf numFmtId="0" fontId="5" fillId="6" borderId="1" xfId="0"/>
    <x:xf numFmtId="0" fontId="6" fillId="0" borderId="0" xfId="0"/>
    <x:xf numFmtId="0" fontId="6" fillId="0" borderId="1" xfId="0"/>
    <x:xf numFmtId="164" fontId="6" fillId="0" borderId="0" xfId="0"/>
    <x:xf numFmtId="164" fontId="6" fillId="0" borderId="1" xfId="0"/>
    <x:xf numFmtId="164" fontId="5" fillId="0" borderId="0" xfId="0"/>
    <x:xf numFmtId="164" fontId="5" fillId="0" borderId="1" xfId="0"/>
    <x:xf numFmtId="165" fontId="6" fillId="0" borderId="0" xfId="0"/>
    <x:xf numFmtId="165" fontId="6" fillId="0" borderId="1" xfId="0"/>
    <x:xf numFmtId="165" fontId="5" fillId="0" borderId="0" xfId="0"/>
    <x:xf numFmtId="165" fontId="5" fillId="0" borderId="1" xfId="0"/>
    <x:xf numFmtId="0" fontId="0" fillId="6" borderId="0" xfId="0"/>
    <x:xf numFmtId="164" fontId="6" fillId="6" borderId="0" xfId="0"/>
    <x:xf numFmtId="164" fontId="5" fillId="6" borderId="0" xfId="0"/>
    <x:xf numFmtId="0" fontId="0" fillId="6" borderId="1" xfId="0"/>
    <x:xf numFmtId="164" fontId="6" fillId="6" borderId="1" xfId="0"/>
    <x:xf numFmtId="164" fontId="5" fillId="6" borderId="1" xfId="0"/>
    <x:xf numFmtId="166" fontId="5" fillId="0" borderId="0" xfId="0"/>
    <x:xf numFmtId="166" fontId="5" fillId="0" borderId="1" xfId="0"/>
    <x:xf numFmtId="165" fontId="5" fillId="6" borderId="0" xfId="0"/>
    <x:xf numFmtId="165" fontId="5" fillId="6" borderId="1" xfId="0"/>
    <x:xf numFmtId="164" fontId="0" fillId="0" borderId="0" xfId="0"/>
    <x:xf numFmtId="164" fontId="0" fillId="0" borderId="1" xfId="0"/>
    <x:xf numFmtId="167" fontId="0" fillId="0" borderId="0" xfId="0"/>
    <x:xf numFmtId="167" fontId="0" fillId="0" borderId="1" xfId="0"/>
    <x:xf numFmtId="165" fontId="0" fillId="0" borderId="0" xfId="0"/>
    <x:xf numFmtId="165" fontId="0" fillId="0" borderId="1" xfId="0"/>
    <x:xf numFmtId="0" fontId="7" fillId="0" borderId="0" xfId="0"/>
    <x:xf numFmtId="0" fontId="7" fillId="0" borderId="1" xfId="0"/>
    <x:xf numFmtId="165" fontId="7" fillId="0" borderId="0" xfId="0"/>
    <x:xf numFmtId="165" fontId="7" fillId="0" borderId="1" xfId="0"/>
    <x:xf numFmtId="164" fontId="7" fillId="0" borderId="0" xfId="0"/>
    <x:xf numFmtId="164" fontId="7" fillId="0" borderId="1" xfId="0"/>
    <x:xf numFmtId="0" fontId="0" fillId="0" borderId="4" xfId="0"/>
    <x:xf numFmtId="165" fontId="7" fillId="0" borderId="4" xfId="0"/>
    <x:xf numFmtId="164" fontId="7" fillId="0" borderId="4" xfId="0"/>
    <x:xf numFmtId="0" fontId="0" fillId="0" borderId="5" xfId="0"/>
    <x:xf numFmtId="165" fontId="7" fillId="0" borderId="5" xfId="0"/>
    <x:xf numFmtId="164" fontId="7" fillId="0" borderId="5" xfId="0"/>
    <x:xf numFmtId="0" fontId="8" fillId="0" borderId="4" xfId="0"/>
    <x:xf numFmtId="165" fontId="8" fillId="0" borderId="4" xfId="0"/>
    <x:xf numFmtId="164" fontId="8" fillId="0" borderId="4" xfId="0"/>
    <x:xf numFmtId="0" fontId="8" fillId="0" borderId="5" xfId="0"/>
    <x:xf numFmtId="165" fontId="8" fillId="0" borderId="5" xfId="0"/>
    <x:xf numFmtId="164" fontId="8" fillId="0" borderId="5" xfId="0"/>
    <x:xf numFmtId="168" fontId="0" fillId="0" borderId="0" xfId="0"/>
    <x:xf numFmtId="168" fontId="0" fillId="0" borderId="1" xfId="0"/>
    <x:xf numFmtId="169" fontId="7" fillId="0" borderId="0" xfId="0"/>
    <x:xf numFmtId="169" fontId="7" fillId="0" borderId="1" xfId="0"/>
    <x:xf numFmtId="0" fontId="9" fillId="0" borderId="0" xfId="0"/>
    <x:xf numFmtId="165" fontId="10" fillId="0" borderId="0" xfId="0"/>
    <x:xf numFmtId="164" fontId="10" fillId="0" borderId="0" xfId="0"/>
    <x:xf numFmtId="169" fontId="10" fillId="0" borderId="0" xfId="0"/>
    <x:xf numFmtId="0" fontId="9" fillId="0" borderId="1" xfId="0"/>
    <x:xf numFmtId="165" fontId="10" fillId="0" borderId="1" xfId="0"/>
    <x:xf numFmtId="164" fontId="10" fillId="0" borderId="1" xfId="0"/>
    <x:xf numFmtId="169" fontId="10" fillId="0" borderId="1" xfId="0"/>
    <x:xf numFmtId="169" fontId="6" fillId="0" borderId="0" xfId="0"/>
    <x:xf numFmtId="169" fontId="6" fillId="0" borderId="1" xfId="0"/>
    <x:xf numFmtId="166" fontId="6" fillId="0" borderId="0" xfId="0"/>
    <x:xf numFmtId="166" fontId="6" fillId="0" borderId="1" xfId="0"/>
    <x:xf numFmtId="165" fontId="6" fillId="0" borderId="4" xfId="0"/>
    <x:xf numFmtId="165" fontId="6" fillId="0" borderId="5" xfId="0"/>
    <x:xf numFmtId="166" fontId="6" fillId="0" borderId="4" xfId="0"/>
    <x:xf numFmtId="166" fontId="6" fillId="0" borderId="5" xfId="0"/>
    <x:xf numFmtId="166" fontId="8" fillId="0" borderId="4" xfId="0"/>
    <x:xf numFmtId="166" fontId="8" fillId="0" borderId="5" xfId="0"/>
    <x:xf numFmtId="0" fontId="6" fillId="0" borderId="4" xfId="0"/>
    <x:xf numFmtId="0" fontId="6" fillId="0" borderId="5" xfId="0"/>
    <x:xf numFmtId="0" fontId="0" fillId="7" borderId="0" xfId="0"/>
    <x:xf numFmtId="0" fontId="8" fillId="7" borderId="0" xfId="0"/>
    <x:xf numFmtId="0" fontId="0" fillId="7" borderId="1" xfId="0"/>
    <x:xf numFmtId="0" fontId="8" fillId="7" borderId="1" xfId="0"/>
    <x:xf numFmtId="164" fontId="8" fillId="7" borderId="0" xfId="0"/>
    <x:xf numFmtId="164" fontId="8" fillId="7" borderId="1" xfId="0"/>
    <x:xf numFmtId="164" fontId="4" fillId="5" borderId="2" xfId="0" applyAlignment="1">
      <x:alignment horizontal="center" vertical="center" wrapText="1"/>
    </x:xf>
    <x:xf numFmtId="164" fontId="4" fillId="5" borderId="3" xfId="0" applyAlignment="1">
      <x:alignment horizontal="center" vertical="center" wrapText="1"/>
    </x:xf>
    <x:xf numFmtId="0" fontId="0" fillId="8" borderId="0" xfId="0"/>
    <x:xf numFmtId="0" fontId="0" fillId="8" borderId="1" xfId="0"/>
    <x:xf numFmtId="0" fontId="4" fillId="5" borderId="0" xfId="0" applyAlignment="1">
      <x:alignment horizontal="center"/>
    </x:xf>
    <x:xf numFmtId="0" fontId="4" fillId="5" borderId="1" xfId="0" applyAlignment="1">
      <x:alignment horizontal="center"/>
    </x:xf>
    <x:xf numFmtId="0" fontId="11" fillId="3" borderId="0" xfId="0"/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3" borderId="1" xfId="0"/>
    <x:xf numFmtId="0" fontId="11" fillId="3" borderId="1" xfId="0" applyAlignment="1">
      <x:alignment horizontal="center"/>
    </x:xf>
    <x:xf numFmtId="0" fontId="11" fillId="3" borderId="1" xfId="0" applyAlignment="1">
      <x:alignment horizontal="center" vertical="center"/>
    </x:xf>
    <x:xf numFmtId="49" fontId="11" fillId="3" borderId="0" xfId="0" applyAlignment="1">
      <x:alignment horizontal="center" vertical="center"/>
    </x:xf>
    <x:xf numFmtId="49" fontId="11" fillId="3" borderId="1" xfId="0" applyAlignment="1">
      <x:alignment horizontal="center" vertical="center"/>
    </x:xf>
    <x:xf numFmtId="165" fontId="11" fillId="3" borderId="0" xfId="0" applyAlignment="1">
      <x:alignment horizontal="center" vertical="center"/>
    </x:xf>
    <x:xf numFmtId="165" fontId="11" fillId="3" borderId="1" xfId="0" applyAlignment="1">
      <x:alignment horizontal="center" vertical="center"/>
    </x:xf>
    <x:xf numFmtId="164" fontId="11" fillId="3" borderId="0" xfId="0" applyAlignment="1">
      <x:alignment horizontal="center" vertical="center"/>
    </x:xf>
    <x:xf numFmtId="164" fontId="11" fillId="3" borderId="1" xfId="0" applyAlignment="1">
      <x:alignment horizontal="center" vertical="center"/>
    </x:xf>
    <x:xf numFmtId="169" fontId="11" fillId="3" borderId="0" xfId="0" applyAlignment="1">
      <x:alignment horizontal="center" vertical="center"/>
    </x:xf>
    <x:xf numFmtId="169" fontId="11" fillId="3" borderId="1" xfId="0" applyAlignment="1">
      <x:alignment horizontal="center" vertical="center"/>
    </x:xf>
    <x:xf numFmtId="166" fontId="11" fillId="3" borderId="0" xfId="0" applyAlignment="1">
      <x:alignment horizontal="center" vertical="center"/>
    </x:xf>
    <x:xf numFmtId="166" fontId="11" fillId="3" borderId="1" xfId="0" applyAlignment="1">
      <x:alignment horizontal="center" vertical="center"/>
    </x:xf>
    <x:xf numFmtId="0" fontId="7" fillId="0" borderId="0" xfId="0" applyAlignment="1">
      <x:alignment wrapText="1"/>
    </x:xf>
    <x:xf numFmtId="169" fontId="7" fillId="0" borderId="0" xfId="0" applyAlignment="1">
      <x:alignment wrapText="1"/>
    </x:xf>
    <x:xf numFmtId="0" fontId="7" fillId="0" borderId="1" xfId="0" applyAlignment="1">
      <x:alignment wrapText="1"/>
    </x:xf>
    <x:xf numFmtId="169" fontId="7" fillId="0" borderId="1" xfId="0" applyAlignment="1">
      <x:alignment wrapText="1"/>
    </x:xf>
    <x:xf numFmtId="166" fontId="0" fillId="0" borderId="0" xfId="0"/>
    <x:xf numFmtId="166" fontId="0" fillId="0" borderId="1" xfId="0"/>
    <x:xf numFmtId="0" fontId="12" fillId="2" borderId="0" xfId="0" applyAlignment="1">
      <x:alignment horizontal="left" vertical="center"/>
    </x:xf>
    <x:xf numFmtId="0" fontId="13" fillId="0" borderId="0" xfId="0"/>
    <x:xf numFmtId="0" fontId="12" fillId="4" borderId="0" xfId="0" applyAlignment="1">
      <x:alignment horizontal="left" vertical="center"/>
    </x:xf>
    <x:xf numFmtId="0" fontId="12" fillId="5" borderId="2" xfId="0" applyAlignment="1">
      <x:alignment horizontal="center" vertical="center" wrapText="1"/>
    </x:xf>
    <x:xf numFmtId="0" fontId="13" fillId="0" borderId="0" xfId="0" applyAlignment="1">
      <x:alignment wrapText="1"/>
    </x:xf>
    <x:xf numFmtId="0" fontId="12" fillId="2" borderId="1" xfId="0" applyAlignment="1">
      <x:alignment horizontal="left" vertical="center"/>
    </x:xf>
    <x:xf numFmtId="0" fontId="13" fillId="0" borderId="1" xfId="0"/>
    <x:xf numFmtId="0" fontId="12" fillId="4" borderId="1" xfId="0" applyAlignment="1">
      <x:alignment horizontal="left" vertical="center"/>
    </x:xf>
    <x:xf numFmtId="0" fontId="12" fillId="5" borderId="3" xfId="0" applyAlignment="1">
      <x:alignment horizontal="center" vertical="center" wrapText="1"/>
    </x:xf>
    <x:xf numFmtId="0" fontId="13" fillId="0" borderId="1" xfId="0" applyAlignment="1">
      <x:alignment wrapText="1"/>
    </x:xf>
    <x:xf numFmtId="0" fontId="13" fillId="0" borderId="0" xfId="0" applyAlignment="1">
      <x:alignment vertical="center"/>
    </x:xf>
    <x:xf numFmtId="0" fontId="13" fillId="0" borderId="0" xfId="0" applyAlignment="1">
      <x:alignment vertical="center" wrapText="1"/>
    </x:xf>
    <x:xf numFmtId="0" fontId="13" fillId="0" borderId="1" xfId="0" applyAlignment="1">
      <x:alignment vertical="center"/>
    </x:xf>
    <x:xf numFmtId="0" fontId="13" fillId="0" borderId="1" xfId="0" applyAlignment="1">
      <x:alignment vertical="center" wrapText="1"/>
    </x:xf>
    <x:xf numFmtId="0" fontId="12" fillId="2" borderId="0" xfId="0" applyAlignment="1">
      <x:alignment horizontal="left" vertical="center"/>
    </x:xf>
    <x:xf numFmtId="0" fontId="13" fillId="0" borderId="0" xfId="0" applyAlignment="1">
      <x:alignment vertical="center"/>
    </x:xf>
    <x:xf numFmtId="0" fontId="2" fillId="3" borderId="0" xfId="0" applyAlignment="1">
      <x:alignment vertical="center"/>
    </x:xf>
    <x:xf numFmtId="0" fontId="12" fillId="4" borderId="0" xfId="0" applyAlignment="1">
      <x:alignment horizontal="left" vertical="center"/>
    </x:xf>
    <x:xf numFmtId="0" fontId="12" fillId="5" borderId="2" xfId="0" applyAlignment="1">
      <x:alignment horizontal="center" vertical="center"/>
    </x:xf>
    <x:xf numFmtId="0" fontId="12" fillId="2" borderId="1" xfId="0" applyAlignment="1">
      <x:alignment horizontal="left" vertical="center"/>
    </x:xf>
    <x:xf numFmtId="0" fontId="13" fillId="0" borderId="1" xfId="0" applyAlignment="1">
      <x:alignment vertical="center"/>
    </x:xf>
    <x:xf numFmtId="0" fontId="2" fillId="3" borderId="1" xfId="0" applyAlignment="1">
      <x:alignment vertical="center"/>
    </x:xf>
    <x:xf numFmtId="0" fontId="12" fillId="4" borderId="1" xfId="0" applyAlignment="1">
      <x:alignment horizontal="left" vertical="center"/>
    </x:xf>
    <x:xf numFmtId="0" fontId="12" fillId="5" borderId="3" xfId="0" applyAlignment="1">
      <x:alignment horizontal="center" vertical="center"/>
    </x:xf>
    <x:xf numFmtId="0" fontId="14" fillId="6" borderId="0" xfId="0"/>
    <x:xf numFmtId="164" fontId="15" fillId="0" borderId="0" xfId="0"/>
    <x:xf numFmtId="164" fontId="14" fillId="0" borderId="0" xfId="0"/>
    <x:xf numFmtId="0" fontId="13" fillId="6" borderId="0" xfId="0"/>
    <x:xf numFmtId="164" fontId="15" fillId="6" borderId="0" xfId="0"/>
    <x:xf numFmtId="164" fontId="14" fillId="6" borderId="0" xfId="0"/>
    <x:xf numFmtId="165" fontId="15" fillId="0" borderId="0" xfId="0"/>
    <x:xf numFmtId="165" fontId="14" fillId="0" borderId="0" xfId="0"/>
    <x:xf numFmtId="165" fontId="14" fillId="6" borderId="0" xfId="0"/>
    <x:xf numFmtId="166" fontId="14" fillId="0" borderId="0" xfId="0"/>
    <x:xf numFmtId="0" fontId="14" fillId="6" borderId="1" xfId="0"/>
    <x:xf numFmtId="164" fontId="15" fillId="0" borderId="1" xfId="0"/>
    <x:xf numFmtId="164" fontId="14" fillId="0" borderId="1" xfId="0"/>
    <x:xf numFmtId="0" fontId="13" fillId="6" borderId="1" xfId="0"/>
    <x:xf numFmtId="164" fontId="15" fillId="6" borderId="1" xfId="0"/>
    <x:xf numFmtId="164" fontId="14" fillId="6" borderId="1" xfId="0"/>
    <x:xf numFmtId="165" fontId="15" fillId="0" borderId="1" xfId="0"/>
    <x:xf numFmtId="165" fontId="14" fillId="0" borderId="1" xfId="0"/>
    <x:xf numFmtId="165" fontId="14" fillId="6" borderId="1" xfId="0"/>
    <x:xf numFmtId="166" fontId="14" fillId="0" borderId="1" xfId="0"/>
    <x:xf numFmtId="0" fontId="14" fillId="6" borderId="0" xfId="0" applyAlignment="1">
      <x:alignment vertical="center"/>
    </x:xf>
    <x:xf numFmtId="164" fontId="15" fillId="0" borderId="0" xfId="0" applyAlignment="1">
      <x:alignment vertical="center"/>
    </x:xf>
    <x:xf numFmtId="164" fontId="14" fillId="0" borderId="0" xfId="0" applyAlignment="1">
      <x:alignment vertical="center"/>
    </x:xf>
    <x:xf numFmtId="0" fontId="13" fillId="6" borderId="0" xfId="0" applyAlignment="1">
      <x:alignment vertical="center"/>
    </x:xf>
    <x:xf numFmtId="164" fontId="15" fillId="6" borderId="0" xfId="0" applyAlignment="1">
      <x:alignment vertical="center"/>
    </x:xf>
    <x:xf numFmtId="164" fontId="14" fillId="6" borderId="0" xfId="0" applyAlignment="1">
      <x:alignment vertical="center"/>
    </x:xf>
    <x:xf numFmtId="165" fontId="15" fillId="0" borderId="0" xfId="0" applyAlignment="1">
      <x:alignment vertical="center"/>
    </x:xf>
    <x:xf numFmtId="165" fontId="14" fillId="0" borderId="0" xfId="0" applyAlignment="1">
      <x:alignment vertical="center"/>
    </x:xf>
    <x:xf numFmtId="165" fontId="14" fillId="6" borderId="0" xfId="0" applyAlignment="1">
      <x:alignment vertical="center"/>
    </x:xf>
    <x:xf numFmtId="166" fontId="14" fillId="0" borderId="0" xfId="0" applyAlignment="1">
      <x:alignment vertical="center"/>
    </x:xf>
    <x:xf numFmtId="0" fontId="14" fillId="6" borderId="1" xfId="0" applyAlignment="1">
      <x:alignment vertical="center"/>
    </x:xf>
    <x:xf numFmtId="164" fontId="15" fillId="0" borderId="1" xfId="0" applyAlignment="1">
      <x:alignment vertical="center"/>
    </x:xf>
    <x:xf numFmtId="164" fontId="14" fillId="0" borderId="1" xfId="0" applyAlignment="1">
      <x:alignment vertical="center"/>
    </x:xf>
    <x:xf numFmtId="0" fontId="13" fillId="6" borderId="1" xfId="0" applyAlignment="1">
      <x:alignment vertical="center"/>
    </x:xf>
    <x:xf numFmtId="164" fontId="15" fillId="6" borderId="1" xfId="0" applyAlignment="1">
      <x:alignment vertical="center"/>
    </x:xf>
    <x:xf numFmtId="164" fontId="14" fillId="6" borderId="1" xfId="0" applyAlignment="1">
      <x:alignment vertical="center"/>
    </x:xf>
    <x:xf numFmtId="165" fontId="15" fillId="0" borderId="1" xfId="0" applyAlignment="1">
      <x:alignment vertical="center"/>
    </x:xf>
    <x:xf numFmtId="165" fontId="14" fillId="0" borderId="1" xfId="0" applyAlignment="1">
      <x:alignment vertical="center"/>
    </x:xf>
    <x:xf numFmtId="165" fontId="14" fillId="6" borderId="1" xfId="0" applyAlignment="1">
      <x:alignment vertical="center"/>
    </x:xf>
    <x:xf numFmtId="166" fontId="14" fillId="0" borderId="1" xfId="0" applyAlignment="1">
      <x:alignment vertical="center"/>
    </x:xf>
    <x:xf numFmtId="0" fontId="14" fillId="6" borderId="0" xfId="0" applyAlignment="1">
      <x:alignment vertical="center"/>
    </x:xf>
    <x:xf numFmtId="164" fontId="15" fillId="0" borderId="0" xfId="0" applyAlignment="1">
      <x:alignment vertical="center"/>
    </x:xf>
    <x:xf numFmtId="164" fontId="14" fillId="0" borderId="0" xfId="0" applyAlignment="1">
      <x:alignment vertical="center"/>
    </x:xf>
    <x:xf numFmtId="0" fontId="13" fillId="6" borderId="0" xfId="0" applyAlignment="1">
      <x:alignment vertical="center"/>
    </x:xf>
    <x:xf numFmtId="164" fontId="15" fillId="6" borderId="0" xfId="0" applyAlignment="1">
      <x:alignment vertical="center"/>
    </x:xf>
    <x:xf numFmtId="164" fontId="14" fillId="6" borderId="0" xfId="0" applyAlignment="1">
      <x:alignment vertical="center"/>
    </x:xf>
    <x:xf numFmtId="165" fontId="15" fillId="0" borderId="0" xfId="0" applyAlignment="1">
      <x:alignment vertical="center"/>
    </x:xf>
    <x:xf numFmtId="165" fontId="14" fillId="0" borderId="0" xfId="0" applyAlignment="1">
      <x:alignment vertical="center"/>
    </x:xf>
    <x:xf numFmtId="165" fontId="14" fillId="6" borderId="0" xfId="0" applyAlignment="1">
      <x:alignment vertical="center"/>
    </x:xf>
    <x:xf numFmtId="166" fontId="14" fillId="0" borderId="0" xfId="0" applyAlignment="1">
      <x:alignment vertical="center"/>
    </x:xf>
    <x:xf numFmtId="0" fontId="14" fillId="6" borderId="1" xfId="0" applyAlignment="1">
      <x:alignment vertical="center"/>
    </x:xf>
    <x:xf numFmtId="164" fontId="15" fillId="0" borderId="1" xfId="0" applyAlignment="1">
      <x:alignment vertical="center"/>
    </x:xf>
    <x:xf numFmtId="164" fontId="14" fillId="0" borderId="1" xfId="0" applyAlignment="1">
      <x:alignment vertical="center"/>
    </x:xf>
    <x:xf numFmtId="0" fontId="13" fillId="6" borderId="1" xfId="0" applyAlignment="1">
      <x:alignment vertical="center"/>
    </x:xf>
    <x:xf numFmtId="164" fontId="15" fillId="6" borderId="1" xfId="0" applyAlignment="1">
      <x:alignment vertical="center"/>
    </x:xf>
    <x:xf numFmtId="164" fontId="14" fillId="6" borderId="1" xfId="0" applyAlignment="1">
      <x:alignment vertical="center"/>
    </x:xf>
    <x:xf numFmtId="165" fontId="15" fillId="0" borderId="1" xfId="0" applyAlignment="1">
      <x:alignment vertical="center"/>
    </x:xf>
    <x:xf numFmtId="165" fontId="14" fillId="0" borderId="1" xfId="0" applyAlignment="1">
      <x:alignment vertical="center"/>
    </x:xf>
    <x:xf numFmtId="165" fontId="14" fillId="6" borderId="1" xfId="0" applyAlignment="1">
      <x:alignment vertical="center"/>
    </x:xf>
    <x:xf numFmtId="166" fontId="14" fillId="0" borderId="1" xfId="0" applyAlignment="1">
      <x:alignment vertical="center"/>
    </x:xf>
    <x:xf numFmtId="164" fontId="13" fillId="0" borderId="0" xfId="0"/>
    <x:xf numFmtId="167" fontId="13" fillId="0" borderId="0" xfId="0"/>
    <x:xf numFmtId="165" fontId="13" fillId="0" borderId="0" xfId="0"/>
    <x:xf numFmtId="164" fontId="13" fillId="0" borderId="1" xfId="0"/>
    <x:xf numFmtId="167" fontId="13" fillId="0" borderId="1" xfId="0"/>
    <x:xf numFmtId="165" fontId="13" fillId="0" borderId="1" xfId="0"/>
    <x:xf numFmtId="164" fontId="13" fillId="0" borderId="0" xfId="0" applyAlignment="1">
      <x:alignment vertical="center"/>
    </x:xf>
    <x:xf numFmtId="167" fontId="13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1" xfId="0" applyAlignment="1">
      <x:alignment vertical="center"/>
    </x:xf>
    <x:xf numFmtId="167" fontId="13" fillId="0" borderId="1" xfId="0" applyAlignment="1">
      <x:alignment vertical="center"/>
    </x:xf>
    <x:xf numFmtId="165" fontId="13" fillId="0" borderId="1" xfId="0" applyAlignment="1">
      <x:alignment vertical="center"/>
    </x:xf>
    <x:xf numFmtId="164" fontId="13" fillId="0" borderId="0" xfId="0" applyAlignment="1">
      <x:alignment vertical="center"/>
    </x:xf>
    <x:xf numFmtId="167" fontId="13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1" xfId="0" applyAlignment="1">
      <x:alignment vertical="center"/>
    </x:xf>
    <x:xf numFmtId="167" fontId="13" fillId="0" borderId="1" xfId="0" applyAlignment="1">
      <x:alignment vertical="center"/>
    </x:xf>
    <x:xf numFmtId="165" fontId="13" fillId="0" borderId="1" xfId="0" applyAlignment="1">
      <x:alignment vertical="center"/>
    </x:xf>
    <x:xf numFmtId="0" fontId="15" fillId="0" borderId="0" xfId="0"/>
    <x:xf numFmtId="0" fontId="16" fillId="0" borderId="4" xfId="0"/>
    <x:xf numFmtId="165" fontId="16" fillId="0" borderId="4" xfId="0"/>
    <x:xf numFmtId="164" fontId="16" fillId="0" borderId="4" xfId="0"/>
    <x:xf numFmtId="165" fontId="17" fillId="0" borderId="0" xfId="0"/>
    <x:xf numFmtId="168" fontId="13" fillId="0" borderId="0" xfId="0"/>
    <x:xf numFmtId="0" fontId="18" fillId="0" borderId="0" xfId="0"/>
    <x:xf numFmtId="165" fontId="19" fillId="0" borderId="0" xfId="0"/>
    <x:xf numFmtId="164" fontId="19" fillId="0" borderId="0" xfId="0"/>
    <x:xf numFmtId="169" fontId="19" fillId="0" borderId="0" xfId="0"/>
    <x:xf numFmtId="0" fontId="15" fillId="0" borderId="1" xfId="0"/>
    <x:xf numFmtId="0" fontId="16" fillId="0" borderId="5" xfId="0"/>
    <x:xf numFmtId="165" fontId="16" fillId="0" borderId="5" xfId="0"/>
    <x:xf numFmtId="164" fontId="16" fillId="0" borderId="5" xfId="0"/>
    <x:xf numFmtId="165" fontId="17" fillId="0" borderId="1" xfId="0"/>
    <x:xf numFmtId="168" fontId="13" fillId="0" borderId="1" xfId="0"/>
    <x:xf numFmtId="0" fontId="18" fillId="0" borderId="1" xfId="0"/>
    <x:xf numFmtId="165" fontId="19" fillId="0" borderId="1" xfId="0"/>
    <x:xf numFmtId="164" fontId="19" fillId="0" borderId="1" xfId="0"/>
    <x:xf numFmtId="169" fontId="19" fillId="0" borderId="1" xfId="0"/>
    <x:xf numFmtId="0" fontId="15" fillId="0" borderId="0" xfId="0" applyAlignment="1">
      <x:alignment vertical="center"/>
    </x:xf>
    <x:xf numFmtId="0" fontId="16" fillId="0" borderId="4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0" fontId="18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0" fontId="15" fillId="0" borderId="1" xfId="0" applyAlignment="1">
      <x:alignment vertical="center"/>
    </x:xf>
    <x:xf numFmtId="0" fontId="16" fillId="0" borderId="5" xfId="0" applyAlignment="1">
      <x:alignment vertical="center"/>
    </x:xf>
    <x:xf numFmtId="165" fontId="16" fillId="0" borderId="5" xfId="0" applyAlignment="1">
      <x:alignment vertical="center"/>
    </x:xf>
    <x:xf numFmtId="164" fontId="16" fillId="0" borderId="5" xfId="0" applyAlignment="1">
      <x:alignment vertical="center"/>
    </x:xf>
    <x:xf numFmtId="165" fontId="17" fillId="0" borderId="1" xfId="0" applyAlignment="1">
      <x:alignment vertical="center"/>
    </x:xf>
    <x:xf numFmtId="168" fontId="13" fillId="0" borderId="1" xfId="0" applyAlignment="1">
      <x:alignment vertical="center"/>
    </x:xf>
    <x:xf numFmtId="0" fontId="18" fillId="0" borderId="1" xfId="0" applyAlignment="1">
      <x:alignment vertical="center"/>
    </x:xf>
    <x:xf numFmtId="165" fontId="19" fillId="0" borderId="1" xfId="0" applyAlignment="1">
      <x:alignment vertical="center"/>
    </x:xf>
    <x:xf numFmtId="164" fontId="19" fillId="0" borderId="1" xfId="0" applyAlignment="1">
      <x:alignment vertical="center"/>
    </x:xf>
    <x:xf numFmtId="169" fontId="19" fillId="0" borderId="1" xfId="0" applyAlignment="1">
      <x:alignment vertical="center"/>
    </x:xf>
    <x:xf numFmtId="0" fontId="15" fillId="0" borderId="0" xfId="0" applyAlignment="1">
      <x:alignment vertical="center"/>
    </x:xf>
    <x:xf numFmtId="0" fontId="16" fillId="0" borderId="4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0" fontId="18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0" fontId="15" fillId="0" borderId="1" xfId="0" applyAlignment="1">
      <x:alignment vertical="center"/>
    </x:xf>
    <x:xf numFmtId="0" fontId="16" fillId="0" borderId="5" xfId="0" applyAlignment="1">
      <x:alignment vertical="center"/>
    </x:xf>
    <x:xf numFmtId="165" fontId="16" fillId="0" borderId="5" xfId="0" applyAlignment="1">
      <x:alignment vertical="center"/>
    </x:xf>
    <x:xf numFmtId="164" fontId="16" fillId="0" borderId="5" xfId="0" applyAlignment="1">
      <x:alignment vertical="center"/>
    </x:xf>
    <x:xf numFmtId="165" fontId="17" fillId="0" borderId="1" xfId="0" applyAlignment="1">
      <x:alignment vertical="center"/>
    </x:xf>
    <x:xf numFmtId="168" fontId="13" fillId="0" borderId="1" xfId="0" applyAlignment="1">
      <x:alignment vertical="center"/>
    </x:xf>
    <x:xf numFmtId="0" fontId="18" fillId="0" borderId="1" xfId="0" applyAlignment="1">
      <x:alignment vertical="center"/>
    </x:xf>
    <x:xf numFmtId="165" fontId="19" fillId="0" borderId="1" xfId="0" applyAlignment="1">
      <x:alignment vertical="center"/>
    </x:xf>
    <x:xf numFmtId="164" fontId="19" fillId="0" borderId="1" xfId="0" applyAlignment="1">
      <x:alignment vertical="center"/>
    </x:xf>
    <x:xf numFmtId="169" fontId="19" fillId="0" borderId="1" xfId="0" applyAlignment="1">
      <x:alignment vertical="center"/>
    </x:xf>
    <x:xf numFmtId="169" fontId="15" fillId="0" borderId="0" xfId="0"/>
    <x:xf numFmtId="169" fontId="17" fillId="0" borderId="0" xfId="0"/>
    <x:xf numFmtId="169" fontId="15" fillId="0" borderId="1" xfId="0"/>
    <x:xf numFmtId="169" fontId="17" fillId="0" borderId="1" xfId="0"/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9" fontId="15" fillId="0" borderId="1" xfId="0" applyAlignment="1">
      <x:alignment vertical="center"/>
    </x:xf>
    <x:xf numFmtId="169" fontId="17" fillId="0" borderId="1" xfId="0" applyAlignment="1">
      <x:alignment vertical="center"/>
    </x:xf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9" fontId="15" fillId="0" borderId="1" xfId="0" applyAlignment="1">
      <x:alignment vertical="center"/>
    </x:xf>
    <x:xf numFmtId="169" fontId="17" fillId="0" borderId="1" xfId="0" applyAlignment="1">
      <x:alignment vertical="center"/>
    </x:xf>
    <x:xf numFmtId="166" fontId="16" fillId="0" borderId="4" xfId="0"/>
    <x:xf numFmtId="166" fontId="16" fillId="0" borderId="5" xfId="0"/>
    <x:xf numFmtId="166" fontId="16" fillId="0" borderId="4" xfId="0" applyAlignment="1">
      <x:alignment vertical="center"/>
    </x:xf>
    <x:xf numFmtId="166" fontId="16" fillId="0" borderId="5" xfId="0" applyAlignment="1">
      <x:alignment vertical="center"/>
    </x:xf>
    <x:xf numFmtId="166" fontId="16" fillId="0" borderId="4" xfId="0" applyAlignment="1">
      <x:alignment vertical="center"/>
    </x:xf>
    <x:xf numFmtId="166" fontId="16" fillId="0" borderId="5" xfId="0" applyAlignment="1">
      <x:alignment vertical="center"/>
    </x:xf>
    <x:xf numFmtId="164" fontId="17" fillId="0" borderId="0" xfId="0"/>
    <x:xf numFmtId="164" fontId="17" fillId="0" borderId="1" xfId="0"/>
    <x:xf numFmtId="164" fontId="17" fillId="0" borderId="0" xfId="0" applyAlignment="1">
      <x:alignment vertical="center"/>
    </x:xf>
    <x:xf numFmtId="164" fontId="17" fillId="0" borderId="1" xfId="0" applyAlignment="1">
      <x:alignment vertical="center"/>
    </x:xf>
    <x:xf numFmtId="164" fontId="17" fillId="0" borderId="0" xfId="0" applyAlignment="1">
      <x:alignment vertical="center"/>
    </x:xf>
    <x:xf numFmtId="164" fontId="17" fillId="0" borderId="1" xfId="0" applyAlignment="1">
      <x:alignment vertical="center"/>
    </x:xf>
    <x:xf numFmtId="164" fontId="12" fillId="5" borderId="2" xfId="0" applyAlignment="1">
      <x:alignment horizontal="center" vertical="center" wrapText="1"/>
    </x:xf>
    <x:xf numFmtId="164" fontId="16" fillId="7" borderId="0" xfId="0"/>
    <x:xf numFmtId="164" fontId="12" fillId="5" borderId="3" xfId="0" applyAlignment="1">
      <x:alignment horizontal="center" vertical="center" wrapText="1"/>
    </x:xf>
    <x:xf numFmtId="164" fontId="16" fillId="7" borderId="1" xfId="0"/>
    <x:xf numFmtId="164" fontId="16" fillId="7" borderId="0" xfId="0" applyAlignment="1">
      <x:alignment vertical="center"/>
    </x:xf>
    <x:xf numFmtId="164" fontId="16" fillId="7" borderId="1" xfId="0" applyAlignment="1">
      <x:alignment vertical="center"/>
    </x:xf>
    <x:xf numFmtId="164" fontId="12" fillId="5" borderId="2" xfId="0" applyAlignment="1">
      <x:alignment horizontal="center" vertical="center"/>
    </x:xf>
    <x:xf numFmtId="164" fontId="16" fillId="7" borderId="0" xfId="0" applyAlignment="1">
      <x:alignment vertical="center"/>
    </x:xf>
    <x:xf numFmtId="164" fontId="12" fillId="5" borderId="3" xfId="0" applyAlignment="1">
      <x:alignment horizontal="center" vertical="center"/>
    </x:xf>
    <x:xf numFmtId="164" fontId="16" fillId="7" borderId="1" xfId="0" applyAlignment="1">
      <x:alignment vertical="center"/>
    </x:xf>
    <x:xf numFmtId="0" fontId="17" fillId="0" borderId="0" xfId="0"/>
    <x:xf numFmtId="166" fontId="15" fillId="0" borderId="0" xfId="0"/>
    <x:xf numFmtId="0" fontId="13" fillId="8" borderId="0" xfId="0"/>
    <x:xf numFmtId="0" fontId="17" fillId="0" borderId="1" xfId="0"/>
    <x:xf numFmtId="166" fontId="15" fillId="0" borderId="1" xfId="0"/>
    <x:xf numFmtId="0" fontId="13" fillId="8" borderId="1" xfId="0"/>
    <x:xf numFmtId="0" fontId="17" fillId="0" borderId="0" xfId="0" applyAlignment="1">
      <x:alignment vertical="center"/>
    </x:xf>
    <x:xf numFmtId="166" fontId="15" fillId="0" borderId="0" xfId="0" applyAlignment="1">
      <x:alignment vertical="center"/>
    </x:xf>
    <x:xf numFmtId="0" fontId="13" fillId="8" borderId="0" xfId="0" applyAlignment="1">
      <x:alignment vertical="center"/>
    </x:xf>
    <x:xf numFmtId="0" fontId="17" fillId="0" borderId="1" xfId="0" applyAlignment="1">
      <x:alignment vertical="center"/>
    </x:xf>
    <x:xf numFmtId="166" fontId="15" fillId="0" borderId="1" xfId="0" applyAlignment="1">
      <x:alignment vertical="center"/>
    </x:xf>
    <x:xf numFmtId="0" fontId="13" fillId="8" borderId="1" xfId="0" applyAlignment="1">
      <x:alignment vertical="center"/>
    </x:xf>
    <x:xf numFmtId="0" fontId="17" fillId="0" borderId="0" xfId="0" applyAlignment="1">
      <x:alignment vertical="center"/>
    </x:xf>
    <x:xf numFmtId="166" fontId="15" fillId="0" borderId="0" xfId="0" applyAlignment="1">
      <x:alignment vertical="center"/>
    </x:xf>
    <x:xf numFmtId="0" fontId="13" fillId="8" borderId="0" xfId="0" applyAlignment="1">
      <x:alignment vertical="center"/>
    </x:xf>
    <x:xf numFmtId="0" fontId="17" fillId="0" borderId="1" xfId="0" applyAlignment="1">
      <x:alignment vertical="center"/>
    </x:xf>
    <x:xf numFmtId="166" fontId="15" fillId="0" borderId="1" xfId="0" applyAlignment="1">
      <x:alignment vertical="center"/>
    </x:xf>
    <x:xf numFmtId="0" fontId="13" fillId="8" borderId="1" xfId="0" applyAlignment="1">
      <x:alignment vertical="center"/>
    </x:xf>
    <x:xf numFmtId="0" fontId="12" fillId="5" borderId="0" xfId="0" applyAlignment="1">
      <x:alignment horizontal="center"/>
    </x:xf>
    <x:xf numFmtId="49" fontId="20" fillId="3" borderId="0" xfId="0" applyAlignment="1">
      <x:alignment horizontal="center" vertical="center"/>
    </x:xf>
    <x:xf numFmtId="165" fontId="20" fillId="3" borderId="0" xfId="0" applyAlignment="1">
      <x:alignment horizontal="center" vertical="center"/>
    </x:xf>
    <x:xf numFmtId="164" fontId="20" fillId="3" borderId="0" xfId="0" applyAlignment="1">
      <x:alignment horizontal="center" vertical="center"/>
    </x:xf>
    <x:xf numFmtId="166" fontId="13" fillId="0" borderId="0" xfId="0"/>
    <x:xf numFmtId="169" fontId="20" fillId="3" borderId="0" xfId="0" applyAlignment="1">
      <x:alignment horizontal="center" vertical="center"/>
    </x:xf>
    <x:xf numFmtId="166" fontId="20" fillId="3" borderId="0" xfId="0" applyAlignment="1">
      <x:alignment horizontal="center" vertical="center"/>
    </x:xf>
    <x:xf numFmtId="0" fontId="17" fillId="0" borderId="0" xfId="0" applyAlignment="1">
      <x:alignment wrapText="1"/>
    </x:xf>
    <x:xf numFmtId="169" fontId="17" fillId="0" borderId="0" xfId="0" applyAlignment="1">
      <x:alignment wrapText="1"/>
    </x:xf>
    <x:xf numFmtId="0" fontId="12" fillId="5" borderId="1" xfId="0" applyAlignment="1">
      <x:alignment horizontal="center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1" xfId="0"/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17" fillId="0" borderId="1" xfId="0" applyAlignment="1">
      <x:alignment wrapText="1"/>
    </x:xf>
    <x:xf numFmtId="169" fontId="17" fillId="0" borderId="1" xfId="0" applyAlignment="1">
      <x:alignment wrapText="1"/>
    </x:xf>
    <x:xf numFmtId="0" fontId="12" fillId="5" borderId="0" xfId="0" applyAlignment="1">
      <x:alignment horizontal="center" vertical="center"/>
    </x:xf>
    <x:xf numFmtId="166" fontId="13" fillId="0" borderId="0" xfId="0" applyAlignment="1">
      <x:alignment vertical="center"/>
    </x:xf>
    <x:xf numFmtId="0" fontId="17" fillId="0" borderId="0" xfId="0" applyAlignment="1">
      <x:alignment vertical="center" wrapText="1"/>
    </x:xf>
    <x:xf numFmtId="169" fontId="17" fillId="0" borderId="0" xfId="0" applyAlignment="1">
      <x:alignment vertical="center" wrapText="1"/>
    </x:xf>
    <x:xf numFmtId="0" fontId="12" fillId="5" borderId="1" xfId="0" applyAlignment="1">
      <x:alignment horizontal="center" vertical="center"/>
    </x:xf>
    <x:xf numFmtId="166" fontId="13" fillId="0" borderId="1" xfId="0" applyAlignment="1">
      <x:alignment vertical="center"/>
    </x:xf>
    <x:xf numFmtId="0" fontId="17" fillId="0" borderId="1" xfId="0" applyAlignment="1">
      <x:alignment vertical="center" wrapText="1"/>
    </x:xf>
    <x:xf numFmtId="169" fontId="17" fillId="0" borderId="1" xfId="0" applyAlignment="1">
      <x:alignment vertical="center" wrapText="1"/>
    </x:xf>
    <x:xf numFmtId="0" fontId="12" fillId="5" borderId="0" xfId="0" applyAlignment="1">
      <x:alignment horizontal="center" vertical="center"/>
    </x:xf>
    <x:xf numFmtId="49" fontId="20" fillId="3" borderId="0" xfId="0" applyAlignment="1">
      <x:alignment horizontal="center" vertical="center"/>
    </x:xf>
    <x:xf numFmtId="165" fontId="20" fillId="3" borderId="0" xfId="0" applyAlignment="1">
      <x:alignment horizontal="center" vertical="center"/>
    </x:xf>
    <x:xf numFmtId="164" fontId="20" fillId="3" borderId="0" xfId="0" applyAlignment="1">
      <x:alignment horizontal="center" vertical="center"/>
    </x:xf>
    <x:xf numFmtId="166" fontId="13" fillId="0" borderId="0" xfId="0" applyAlignment="1">
      <x:alignment vertical="center"/>
    </x:xf>
    <x:xf numFmtId="169" fontId="20" fillId="3" borderId="0" xfId="0" applyAlignment="1">
      <x:alignment horizontal="center" vertical="center"/>
    </x:xf>
    <x:xf numFmtId="166" fontId="20" fillId="3" borderId="0" xfId="0" applyAlignment="1">
      <x:alignment horizontal="center" vertical="center"/>
    </x:xf>
    <x:xf numFmtId="0" fontId="12" fillId="5" borderId="1" xfId="0" applyAlignment="1">
      <x:alignment horizontal="center" vertical="center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1" xfId="0" applyAlignment="1">
      <x:alignment vertical="center"/>
    </x:xf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1" fillId="2" borderId="0" xfId="0" applyAlignment="1">
      <x:alignment horizontal="left" vertical="center"/>
    </x:xf>
    <x:xf numFmtId="0" fontId="1" fillId="2" borderId="1" xfId="0" applyAlignment="1">
      <x:alignment horizontal="left" vertical="center"/>
    </x:xf>
    <x:xf numFmtId="0" fontId="1" fillId="2" borderId="0" xfId="0" applyAlignment="1">
      <x:alignment horizontal="left" vertical="center" wrapText="1"/>
    </x:xf>
    <x:xf numFmtId="0" fontId="12" fillId="4" borderId="0" xfId="0" applyAlignment="1">
      <x:alignment horizontal="left" vertical="center" wrapText="1"/>
    </x:xf>
    <x:xf numFmtId="0" fontId="1" fillId="2" borderId="1" xfId="0" applyAlignment="1">
      <x:alignment horizontal="left" vertical="center" wrapText="1"/>
    </x:xf>
    <x:xf numFmtId="0" fontId="12" fillId="4" borderId="1" xfId="0" applyAlignment="1">
      <x:alignment horizontal="left" vertical="center" wrapText="1"/>
    </x:xf>
    <x:xf numFmtId="0" fontId="14" fillId="6" borderId="0" xfId="0" applyAlignment="1">
      <x:alignment vertical="center" wrapText="1"/>
    </x:xf>
    <x:xf numFmtId="164" fontId="15" fillId="0" borderId="0" xfId="0" applyAlignment="1">
      <x:alignment vertical="center" wrapText="1"/>
    </x:xf>
    <x:xf numFmtId="164" fontId="14" fillId="0" borderId="0" xfId="0" applyAlignment="1">
      <x:alignment vertical="center" wrapText="1"/>
    </x:xf>
    <x:xf numFmtId="0" fontId="13" fillId="6" borderId="0" xfId="0" applyAlignment="1">
      <x:alignment vertical="center" wrapText="1"/>
    </x:xf>
    <x:xf numFmtId="164" fontId="15" fillId="6" borderId="0" xfId="0" applyAlignment="1">
      <x:alignment vertical="center" wrapText="1"/>
    </x:xf>
    <x:xf numFmtId="164" fontId="14" fillId="6" borderId="0" xfId="0" applyAlignment="1">
      <x:alignment vertical="center" wrapText="1"/>
    </x:xf>
    <x:xf numFmtId="165" fontId="15" fillId="0" borderId="0" xfId="0" applyAlignment="1">
      <x:alignment vertical="center" wrapText="1"/>
    </x:xf>
    <x:xf numFmtId="165" fontId="14" fillId="0" borderId="0" xfId="0" applyAlignment="1">
      <x:alignment vertical="center" wrapText="1"/>
    </x:xf>
    <x:xf numFmtId="165" fontId="14" fillId="6" borderId="0" xfId="0" applyAlignment="1">
      <x:alignment vertical="center" wrapText="1"/>
    </x:xf>
    <x:xf numFmtId="166" fontId="14" fillId="0" borderId="0" xfId="0" applyAlignment="1">
      <x:alignment vertical="center" wrapText="1"/>
    </x:xf>
    <x:xf numFmtId="0" fontId="14" fillId="6" borderId="1" xfId="0" applyAlignment="1">
      <x:alignment vertical="center" wrapText="1"/>
    </x:xf>
    <x:xf numFmtId="164" fontId="15" fillId="0" borderId="1" xfId="0" applyAlignment="1">
      <x:alignment vertical="center" wrapText="1"/>
    </x:xf>
    <x:xf numFmtId="164" fontId="14" fillId="0" borderId="1" xfId="0" applyAlignment="1">
      <x:alignment vertical="center" wrapText="1"/>
    </x:xf>
    <x:xf numFmtId="0" fontId="13" fillId="6" borderId="1" xfId="0" applyAlignment="1">
      <x:alignment vertical="center" wrapText="1"/>
    </x:xf>
    <x:xf numFmtId="164" fontId="15" fillId="6" borderId="1" xfId="0" applyAlignment="1">
      <x:alignment vertical="center" wrapText="1"/>
    </x:xf>
    <x:xf numFmtId="164" fontId="14" fillId="6" borderId="1" xfId="0" applyAlignment="1">
      <x:alignment vertical="center" wrapText="1"/>
    </x:xf>
    <x:xf numFmtId="165" fontId="15" fillId="0" borderId="1" xfId="0" applyAlignment="1">
      <x:alignment vertical="center" wrapText="1"/>
    </x:xf>
    <x:xf numFmtId="165" fontId="14" fillId="0" borderId="1" xfId="0" applyAlignment="1">
      <x:alignment vertical="center" wrapText="1"/>
    </x:xf>
    <x:xf numFmtId="165" fontId="14" fillId="6" borderId="1" xfId="0" applyAlignment="1">
      <x:alignment vertical="center" wrapText="1"/>
    </x:xf>
    <x:xf numFmtId="166" fontId="14" fillId="0" borderId="1" xfId="0" applyAlignment="1">
      <x:alignment vertical="center" wrapText="1"/>
    </x:xf>
    <x:xf numFmtId="164" fontId="13" fillId="0" borderId="0" xfId="0" applyAlignment="1">
      <x:alignment vertical="center" wrapText="1"/>
    </x:xf>
    <x:xf numFmtId="167" fontId="13" fillId="0" borderId="0" xfId="0" applyAlignment="1">
      <x:alignment vertical="center" wrapText="1"/>
    </x:xf>
    <x:xf numFmtId="165" fontId="13" fillId="0" borderId="0" xfId="0" applyAlignment="1">
      <x:alignment vertical="center" wrapText="1"/>
    </x:xf>
    <x:xf numFmtId="164" fontId="13" fillId="0" borderId="1" xfId="0" applyAlignment="1">
      <x:alignment vertical="center" wrapText="1"/>
    </x:xf>
    <x:xf numFmtId="167" fontId="13" fillId="0" borderId="1" xfId="0" applyAlignment="1">
      <x:alignment vertical="center" wrapText="1"/>
    </x:xf>
    <x:xf numFmtId="165" fontId="13" fillId="0" borderId="1" xfId="0" applyAlignment="1">
      <x:alignment vertical="center" wrapText="1"/>
    </x:xf>
    <x:xf numFmtId="169" fontId="15" fillId="0" borderId="0" xfId="0" applyAlignment="1">
      <x:alignment vertical="center" wrapText="1"/>
    </x:xf>
    <x:xf numFmtId="166" fontId="15" fillId="0" borderId="0" xfId="0" applyAlignment="1">
      <x:alignment vertical="center" wrapText="1"/>
    </x:xf>
    <x:xf numFmtId="0" fontId="13" fillId="8" borderId="0" xfId="0" applyAlignment="1">
      <x:alignment vertical="center" wrapText="1"/>
    </x:xf>
    <x:xf numFmtId="169" fontId="15" fillId="0" borderId="1" xfId="0" applyAlignment="1">
      <x:alignment vertical="center" wrapText="1"/>
    </x:xf>
    <x:xf numFmtId="166" fontId="15" fillId="0" borderId="1" xfId="0" applyAlignment="1">
      <x:alignment vertical="center" wrapText="1"/>
    </x:xf>
    <x:xf numFmtId="0" fontId="13" fillId="8" borderId="1" xfId="0" applyAlignment="1">
      <x:alignment vertical="center" wrapText="1"/>
    </x:xf>
    <x:xf numFmtId="0" fontId="13" fillId="5" borderId="0" xfId="0" applyAlignment="1">
      <x:alignment vertical="center"/>
    </x:xf>
    <x:xf numFmtId="0" fontId="4" fillId="5" borderId="2" xfId="0" applyAlignment="1">
      <x:alignment horizontal="center" vertical="center"/>
    </x:xf>
    <x:xf numFmtId="0" fontId="4" fillId="5" borderId="0" xfId="0" applyAlignment="1">
      <x:alignment vertical="center"/>
    </x:xf>
    <x:xf numFmtId="0" fontId="4" fillId="5" borderId="2" xfId="0" applyAlignment="1">
      <x:alignment vertical="center"/>
    </x:xf>
    <x:xf numFmtId="0" fontId="4" fillId="5" borderId="2" xfId="0" applyAlignment="1">
      <x:alignment vertical="center" wrapText="1"/>
    </x:xf>
    <x:xf numFmtId="0" fontId="13" fillId="5" borderId="1" xfId="0" applyAlignment="1">
      <x:alignment vertical="center"/>
    </x:xf>
    <x:xf numFmtId="0" fontId="4" fillId="5" borderId="3" xfId="0" applyAlignment="1">
      <x:alignment horizontal="center" vertical="center"/>
    </x:xf>
    <x:xf numFmtId="0" fontId="4" fillId="5" borderId="1" xfId="0" applyAlignment="1">
      <x:alignment vertical="center"/>
    </x:xf>
    <x:xf numFmtId="0" fontId="4" fillId="5" borderId="3" xfId="0" applyAlignment="1">
      <x:alignment vertical="center"/>
    </x:xf>
    <x:xf numFmtId="0" fontId="4" fillId="5" borderId="3" xfId="0" applyAlignment="1">
      <x:alignment vertical="center" wrapText="1"/>
    </x:xf>
    <x:xf numFmtId="164" fontId="15" fillId="0" borderId="0" xfId="0" applyAlignment="1">
      <x:alignment vertical="center" wrapText="1"/>
    </x:xf>
    <x:xf numFmtId="164" fontId="14" fillId="0" borderId="0" xfId="0" applyAlignment="1">
      <x:alignment vertical="center" wrapText="1"/>
    </x:xf>
    <x:xf numFmtId="164" fontId="15" fillId="6" borderId="0" xfId="0" applyAlignment="1">
      <x:alignment vertical="center" wrapText="1"/>
    </x:xf>
    <x:xf numFmtId="164" fontId="14" fillId="6" borderId="0" xfId="0" applyAlignment="1">
      <x:alignment vertical="center" wrapText="1"/>
    </x:xf>
    <x:xf numFmtId="165" fontId="15" fillId="0" borderId="0" xfId="0" applyAlignment="1">
      <x:alignment vertical="center" wrapText="1"/>
    </x:xf>
    <x:xf numFmtId="165" fontId="14" fillId="0" borderId="0" xfId="0" applyAlignment="1">
      <x:alignment vertical="center" wrapText="1"/>
    </x:xf>
    <x:xf numFmtId="165" fontId="14" fillId="6" borderId="0" xfId="0" applyAlignment="1">
      <x:alignment vertical="center" wrapText="1"/>
    </x:xf>
    <x:xf numFmtId="166" fontId="14" fillId="0" borderId="0" xfId="0" applyAlignment="1">
      <x:alignment vertical="center" wrapText="1"/>
    </x:xf>
    <x:xf numFmtId="165" fontId="14" fillId="0" borderId="0" xfId="0" applyAlignment="1">
      <x:alignment vertical="center"/>
    </x:xf>
    <x:xf numFmtId="0" fontId="21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0" xfId="0" applyAlignment="1">
      <x:alignment vertical="center" wrapText="1"/>
    </x:xf>
    <x:xf numFmtId="167" fontId="13" fillId="0" borderId="0" xfId="0" applyAlignment="1">
      <x:alignment vertical="center" wrapText="1"/>
    </x:xf>
    <x:xf numFmtId="165" fontId="13" fillId="0" borderId="0" xfId="0" applyAlignment="1">
      <x:alignment vertical="center" wrapText="1"/>
    </x:xf>
    <x:xf numFmtId="165" fontId="15" fillId="0" borderId="0" xfId="0" applyAlignment="1">
      <x:alignment vertical="center"/>
    </x:xf>
    <x:xf numFmtId="164" fontId="15" fillId="0" borderId="0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4" fontId="13" fillId="0" borderId="0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6" fontId="16" fillId="0" borderId="4" xfId="0" applyAlignment="1">
      <x:alignment vertical="center"/>
    </x:xf>
    <x:xf numFmtId="164" fontId="17" fillId="0" borderId="0" xfId="0" applyAlignment="1">
      <x:alignment vertical="center"/>
    </x:xf>
    <x:xf numFmtId="164" fontId="12" fillId="5" borderId="2" xfId="0" applyAlignment="1">
      <x:alignment horizontal="center" vertical="center"/>
    </x:xf>
    <x:xf numFmtId="164" fontId="16" fillId="7" borderId="0" xfId="0" applyAlignment="1">
      <x:alignment vertical="center"/>
    </x:xf>
    <x:xf numFmtId="169" fontId="15" fillId="0" borderId="0" xfId="0" applyAlignment="1">
      <x:alignment vertical="center" wrapText="1"/>
    </x:xf>
    <x:xf numFmtId="166" fontId="15" fillId="0" borderId="0" xfId="0" applyAlignment="1">
      <x:alignment vertical="center" wrapText="1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0" xfId="0" applyAlignment="1">
      <x:alignment vertical="center"/>
    </x:xf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0" fillId="0" borderId="3" xfId="0"/>
    <x:xf numFmtId="169" fontId="17" fillId="0" borderId="0" xfId="0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166" fontId="15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C94D4D"/>
      </x:font>
      <x:fill>
        <x:patternFill>
          <x:bgColor rgb="FFFBE7E7"/>
        </x:patternFill>
      </x:fill>
    </x:dxf>
    <x:dxf>
      <x:font>
        <x:b/>
        <x:color rgb="FFC88B25"/>
      </x:font>
      <x:fill>
        <x:patternFill>
          <x:bgColor rgb="FFFFF1D5"/>
        </x:patternFill>
      </x:fill>
    </x:dxf>
    <x:dxf>
      <x:font>
        <x:b/>
        <x:color rgb="FF258A61"/>
      </x:font>
      <x:fill>
        <x:patternFill>
          <x:bgColor rgb="FFE3F3EC"/>
        </x:patternFill>
      </x:fill>
    </x:dxf>
    <x:dxf>
      <x:font>
        <x:b/>
        <x:color rgb="FFC94D4D"/>
      </x:font>
      <x:fill>
        <x:patternFill>
          <x:bgColor rgb="FFFBE7E7"/>
        </x:patternFill>
      </x:fill>
    </x:dxf>
    <x:dxf>
      <x:font>
        <x:b/>
        <x:color rgb="FF258A61"/>
      </x:font>
      <x:fill>
        <x:patternFill>
          <x:bgColor rgb="FFE3F3EC"/>
        </x:patternFill>
      </x:fill>
    </x:dxf>
    <x:dxf>
      <x:font>
        <x:b/>
        <x:color rgb="FFC88B25"/>
      </x:font>
      <x:fill>
        <x:patternFill>
          <x:bgColor rgb="FFFFF1D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591425c4f74845" /><Relationship Type="http://schemas.openxmlformats.org/officeDocument/2006/relationships/theme" Target="/xl/theme/theme1.xml" Id="R68ba88397c38460e" /><Relationship Type="http://schemas.openxmlformats.org/officeDocument/2006/relationships/sharedStrings" Target="/xl/sharedStrings.xml" Id="R87f7d448414c420d" /><Relationship Type="http://schemas.openxmlformats.org/officeDocument/2006/relationships/worksheet" Target="/xl/worksheets/sheet1.xml" Id="R1db3faa6ef8044c3" /><Relationship Type="http://schemas.openxmlformats.org/officeDocument/2006/relationships/worksheet" Target="/xl/worksheets/sheet2.xml" Id="Rc2df174eedb249a6" /><Relationship Type="http://schemas.openxmlformats.org/officeDocument/2006/relationships/worksheet" Target="/xl/worksheets/sheet3.xml" Id="R0bd1ab92c8fb4331" /><Relationship Type="http://schemas.openxmlformats.org/officeDocument/2006/relationships/worksheet" Target="/xl/worksheets/sheet4.xml" Id="R2d5e0825a9de4e3d" /><Relationship Type="http://schemas.openxmlformats.org/officeDocument/2006/relationships/worksheet" Target="/xl/worksheets/sheet5.xml" Id="R0d0c349a57b64e83" /><Relationship Type="http://schemas.openxmlformats.org/officeDocument/2006/relationships/worksheet" Target="/xl/worksheets/sheet6.xml" Id="R5076417214614f36" /><Relationship Type="http://schemas.openxmlformats.org/officeDocument/2006/relationships/worksheet" Target="/xl/worksheets/sheet7.xml" Id="R39205511b3014db6" /><Relationship Type="http://schemas.openxmlformats.org/officeDocument/2006/relationships/worksheet" Target="/xl/worksheets/sheet8.xml" Id="R111d44d0a7b44938" /><Relationship Type="http://schemas.openxmlformats.org/officeDocument/2006/relationships/worksheet" Target="/xl/worksheets/sheet9.xml" Id="R0404852bba594dc7" /><Relationship Type="http://schemas.openxmlformats.org/officeDocument/2006/relationships/worksheet" Target="/xl/worksheets/sheet10.xml" Id="R18cdcad49be34517" /><Relationship Type="http://schemas.openxmlformats.org/officeDocument/2006/relationships/worksheet" Target="/xl/worksheets/sheet11.xml" Id="Ree4defb7629946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75abe90e4c4fd0" /><Relationship Type="http://schemas.openxmlformats.org/officeDocument/2006/relationships/chart" Target="/xl/drawings/charts/chart2.xml" Id="R82d0a76848864fad" /></Relationships>
</file>

<file path=xl/drawings/charts/chart1.xml><?xml version="1.0" encoding="utf-8"?>
<c:chartSpace xmlns:c="http://schemas.openxmlformats.org/drawingml/2006/chart">
  <c:lang val="en-US"/>
  <c:chart>
    <c:plotArea>
      <c:barChart>
        <c:barDir val="col"/>
        <c:grouping val="clustered"/>
        <c:varyColors val="0"/>
        <c:ser>
          <c:idx val="0"/>
          <c:order val="0"/>
          <c:tx>
            <c:v>Chiffre d’affaires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'Dashboard'!$N$2:$AK$2</c:f>
              <c:strCache>
                <c:ptCount val="0"/>
              </c:strCache>
            </c:strRef>
          </c:cat>
          <c:val>
            <c:numRef>
              <c:f>'Dashboard'!$N$3:$AK$3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Payouts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'Dashboard'!$N$2:$AK$2</c:f>
              <c:strCache>
                <c:ptCount val="0"/>
              </c:strCache>
            </c:strRef>
          </c:cat>
          <c:val>
            <c:numRef>
              <c:f>'Dashboard'!$N$4:$AK$4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plotArea>
      <c:lineChart>
        <c:grouping val="standard"/>
        <c:varyColors val="0"/>
        <c:ser>
          <c:idx val="0"/>
          <c:order val="0"/>
          <c:tx>
            <c:v>Couverture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'Dashboard'!$N$6:$AK$6</c:f>
              <c:strCache>
                <c:ptCount val="0"/>
              </c:strCache>
            </c:strRef>
          </c:cat>
          <c:val>
            <c:numRef>
              <c:f>'Dashboard'!$N$7:$AK$7</c:f>
              <c:numCache>
                <c:formatCode>0.0x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75abe90e4c4fd0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d0a76848864fa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b92c8e7f02be44a9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64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</x:cols>
  <x:sheetData>
    <x:row r="1" ht="15" customHeight="1">
      <x:c r="A1" s="404" t="inlineStr">
        <x:is>
          <x:t xml:space="preserve">WARIBA — Financial Model v1.0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Modèle interne de planification. Il ne constitue ni une prévision garantie, ni un avis juridique, fiscal ou comptable.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n"/>
      <x:c r="B3" s="157" t="n"/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405" t="inlineStr">
        <x:is>
          <x:t xml:space="preserve">1. Source de vérité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49" t="inlineStr">
        <x:is>
          <x:t xml:space="preserve">Élément</x:t>
        </x:is>
      </x:c>
      <x:c r="B5" s="149" t="inlineStr">
        <x:is>
          <x:t xml:space="preserve">Valeur</x:t>
        </x:is>
      </x:c>
      <x:c r="C5" s="157" t="n"/>
      <x:c r="D5" s="157" t="n"/>
      <x:c r="E5" s="157" t="n"/>
      <x:c r="F5" s="157" t="n"/>
      <x:c r="G5" s="157" t="n"/>
      <x:c r="H5" s="157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57" t="inlineStr">
        <x:is>
          <x:t xml:space="preserve">Marque</x:t>
        </x:is>
      </x:c>
      <x:c r="B6" s="157" t="inlineStr">
        <x:is>
          <x:t xml:space="preserve">WARIBA</x:t>
        </x:is>
      </x:c>
      <x:c r="C6" s="157" t="n"/>
      <x:c r="D6" s="157" t="n"/>
      <x:c r="E6" s="157" t="n"/>
      <x:c r="F6" s="157" t="n"/>
      <x:c r="G6" s="157" t="n"/>
      <x:c r="H6" s="157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Domaine</x:t>
        </x:is>
      </x:c>
      <x:c r="B7" s="157" t="inlineStr">
        <x:is>
          <x:t xml:space="preserve">wariba.app</x:t>
        </x:is>
      </x:c>
      <x:c r="C7" s="157" t="n"/>
      <x:c r="D7" s="157" t="n"/>
      <x:c r="E7" s="157" t="n"/>
      <x:c r="F7" s="157" t="n"/>
      <x:c r="G7" s="157" t="n"/>
      <x:c r="H7" s="157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Produit</x:t>
        </x:is>
      </x:c>
      <x:c r="B8" s="157" t="inlineStr">
        <x:is>
          <x:t xml:space="preserve">WARIBA ONE → WARIBA Performance → WARIBA Review</x:t>
        </x:is>
      </x:c>
      <x:c r="C8" s="157" t="n"/>
      <x:c r="D8" s="157" t="n"/>
      <x:c r="E8" s="157" t="n"/>
      <x:c r="F8" s="157" t="n"/>
      <x:c r="G8" s="157" t="n"/>
      <x:c r="H8" s="157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État du projet</x:t>
        </x:is>
      </x:c>
      <x:c r="B9" s="157" t="inlineStr">
        <x:is>
          <x:t xml:space="preserve">Dossier créé, aucun code commencé</x:t>
        </x:is>
      </x:c>
      <x:c r="C9" s="157" t="n"/>
      <x:c r="D9" s="157" t="n"/>
      <x:c r="E9" s="157" t="n"/>
      <x:c r="F9" s="157" t="n"/>
      <x:c r="G9" s="157" t="n"/>
      <x:c r="H9" s="157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Rulebook</x:t>
        </x:is>
      </x:c>
      <x:c r="B10" s="157" t="inlineStr">
        <x:is>
          <x:t xml:space="preserve">WARIBA Program Rulebook v1.0</x:t>
        </x:is>
      </x:c>
      <x:c r="C10" s="157" t="n"/>
      <x:c r="D10" s="157" t="n"/>
      <x:c r="E10" s="157" t="n"/>
      <x:c r="F10" s="157" t="n"/>
      <x:c r="G10" s="157" t="n"/>
      <x:c r="H10" s="157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Statut des prix/caps</x:t>
        </x:is>
      </x:c>
      <x:c r="B11" s="157" t="inlineStr">
        <x:is>
          <x:t xml:space="preserve">CANDIDATE</x:t>
        </x:is>
      </x:c>
      <x:c r="C11" s="157" t="n"/>
      <x:c r="D11" s="157" t="n"/>
      <x:c r="E11" s="157" t="n"/>
      <x:c r="F11" s="157" t="n"/>
      <x:c r="G11" s="157" t="n"/>
      <x:c r="H11" s="157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Usage du modèle</x:t>
        </x:is>
      </x:c>
      <x:c r="B12" s="157" t="inlineStr">
        <x:is>
          <x:t xml:space="preserve">Décider prix, caps, réserve, rythme de vente et gates</x:t>
        </x:is>
      </x:c>
      <x:c r="C12" s="157" t="n"/>
      <x:c r="D12" s="157" t="n"/>
      <x:c r="E12" s="157" t="n"/>
      <x:c r="F12" s="157" t="n"/>
      <x:c r="G12" s="157" t="n"/>
      <x:c r="H12" s="157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n"/>
      <x:c r="B13" s="157" t="n"/>
      <x:c r="C13" s="157" t="n"/>
      <x:c r="D13" s="157" t="n"/>
      <x:c r="E13" s="157" t="n"/>
      <x:c r="F13" s="157" t="n"/>
      <x:c r="G13" s="157" t="n"/>
      <x:c r="H13" s="157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405" t="inlineStr">
        <x:is>
          <x:t xml:space="preserve">2. Mode d’emploi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49" t="inlineStr">
        <x:is>
          <x:t xml:space="preserve">Étape</x:t>
        </x:is>
      </x:c>
      <x:c r="B15" s="149" t="inlineStr">
        <x:is>
          <x:t xml:space="preserve">Action</x:t>
        </x:is>
      </x:c>
      <x:c r="C15" s="157" t="str"/>
      <x:c r="D15" s="157" t="str"/>
      <x:c r="E15" s="157" t="str"/>
      <x:c r="F15" s="157" t="str"/>
      <x:c r="G15" s="157" t="str"/>
      <x:c r="H15" s="157" t="str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inlineStr">
        <x:is>
          <x:t xml:space="preserve">1</x:t>
        </x:is>
      </x:c>
      <x:c r="B16" s="157" t="inlineStr">
        <x:is>
          <x:t xml:space="preserve">Choisir le scénario actif dans l’onglet Hypothèses.</x:t>
        </x:is>
      </x:c>
      <x:c r="C16" s="157" t="str"/>
      <x:c r="D16" s="157" t="str"/>
      <x:c r="E16" s="157" t="str"/>
      <x:c r="F16" s="157" t="str"/>
      <x:c r="G16" s="157" t="str"/>
      <x:c r="H16" s="157" t="str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inlineStr">
        <x:is>
          <x:t xml:space="preserve">2</x:t>
        </x:is>
      </x:c>
      <x:c r="B17" s="157" t="inlineStr">
        <x:is>
          <x:t xml:space="preserve">Modifier uniquement les cellules en texte bleu.</x:t>
        </x:is>
      </x:c>
      <x:c r="C17" s="157" t="str"/>
      <x:c r="D17" s="157" t="str"/>
      <x:c r="E17" s="157" t="str"/>
      <x:c r="F17" s="157" t="str"/>
      <x:c r="G17" s="157" t="str"/>
      <x:c r="H17" s="157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inlineStr">
        <x:is>
          <x:t xml:space="preserve">3</x:t>
        </x:is>
      </x:c>
      <x:c r="B18" s="157" t="inlineStr">
        <x:is>
          <x:t xml:space="preserve">Remplacer les hypothèses management par les données de bêta.</x:t>
        </x:is>
      </x:c>
      <x:c r="C18" s="157" t="str"/>
      <x:c r="D18" s="157" t="str"/>
      <x:c r="E18" s="157" t="str"/>
      <x:c r="F18" s="157" t="str"/>
      <x:c r="G18" s="157" t="str"/>
      <x:c r="H18" s="157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57" t="inlineStr">
        <x:is>
          <x:t xml:space="preserve">4</x:t>
        </x:is>
      </x:c>
      <x:c r="B19" s="157" t="inlineStr">
        <x:is>
          <x:t xml:space="preserve">Contrôler le Dashboard, la Cohorte 1000 et les Stress Tests.</x:t>
        </x:is>
      </x:c>
      <x:c r="C19" s="157" t="str"/>
      <x:c r="D19" s="157" t="str"/>
      <x:c r="E19" s="157" t="str"/>
      <x:c r="F19" s="157" t="str"/>
      <x:c r="G19" s="157" t="str"/>
      <x:c r="H19" s="157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5</x:t>
        </x:is>
      </x:c>
      <x:c r="B20" s="157" t="inlineStr">
        <x:is>
          <x:t xml:space="preserve">Ne pas figer les prix ou caps tant que le scénario Stress n’est pas soutenable.</x:t>
        </x:is>
      </x:c>
      <x:c r="C20" s="157" t="str"/>
      <x:c r="D20" s="157" t="str"/>
      <x:c r="E20" s="157" t="str"/>
      <x:c r="F20" s="157" t="str"/>
      <x:c r="G20" s="157" t="str"/>
      <x:c r="H20" s="157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6</x:t>
        </x:is>
      </x:c>
      <x:c r="B21" s="157" t="inlineStr">
        <x:is>
          <x:t xml:space="preserve">Mettre à jour le Decision Log après toute modification commerciale.</x:t>
        </x:is>
      </x:c>
      <x:c r="C21" s="157" t="str"/>
      <x:c r="D21" s="157" t="str"/>
      <x:c r="E21" s="157" t="str"/>
      <x:c r="F21" s="157" t="str"/>
      <x:c r="G21" s="157" t="str"/>
      <x:c r="H21" s="157" t="str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7</x:t>
        </x:is>
      </x:c>
      <x:c r="B22" s="157" t="inlineStr">
        <x:is>
          <x:t xml:space="preserve">Conserver une réserve payout séparée de la trésorerie d’exploitation.</x:t>
        </x:is>
      </x:c>
      <x:c r="C22" s="157" t="str"/>
      <x:c r="D22" s="157" t="str"/>
      <x:c r="E22" s="157" t="str"/>
      <x:c r="F22" s="157" t="str"/>
      <x:c r="G22" s="157" t="str"/>
      <x:c r="H22" s="157" t="str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n"/>
      <x:c r="B23" s="157" t="n"/>
      <x:c r="C23" s="157" t="n"/>
      <x:c r="D23" s="157" t="n"/>
      <x:c r="E23" s="157" t="n"/>
      <x:c r="F23" s="157" t="n"/>
      <x:c r="G23" s="157" t="n"/>
      <x:c r="H23" s="157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405" t="inlineStr">
        <x:is>
          <x:t xml:space="preserve">3. Convention de couleurs</x:t>
        </x:is>
      </x:c>
      <x:c r="B24" s="1" t="n"/>
      <x:c r="C24" s="1" t="n"/>
      <x:c r="D24" s="1" t="n"/>
      <x:c r="E24" s="1" t="n"/>
      <x:c r="F24" s="1" t="n"/>
      <x:c r="G24" s="1" t="n"/>
      <x:c r="H24" s="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49" t="inlineStr">
        <x:is>
          <x:t xml:space="preserve">Couleur</x:t>
        </x:is>
      </x:c>
      <x:c r="B25" s="149" t="inlineStr">
        <x:is>
          <x:t xml:space="preserve">Signification</x:t>
        </x:is>
      </x:c>
      <x:c r="C25" s="149" t="inlineStr">
        <x:is>
          <x:t xml:space="preserve">Exemple</x:t>
        </x:is>
      </x:c>
      <x:c r="D25" s="157" t="n"/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inlineStr">
        <x:is>
          <x:t xml:space="preserve">Bleu</x:t>
        </x:is>
      </x:c>
      <x:c r="B26" s="157" t="inlineStr">
        <x:is>
          <x:t xml:space="preserve">Entrée modifiable</x:t>
        </x:is>
      </x:c>
      <x:c r="C26" s="157" t="inlineStr">
        <x:is>
          <x:t xml:space="preserve">Taux de réussite</x:t>
        </x:is>
      </x:c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inlineStr">
        <x:is>
          <x:t xml:space="preserve">Vert</x:t>
        </x:is>
      </x:c>
      <x:c r="B27" s="157" t="inlineStr">
        <x:is>
          <x:t xml:space="preserve">Lien vers un autre onglet</x:t>
        </x:is>
      </x:c>
      <x:c r="C27" s="157" t="inlineStr">
        <x:is>
          <x:t xml:space="preserve">Prix moyen pondéré</x:t>
        </x:is>
      </x:c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57" t="inlineStr">
        <x:is>
          <x:t xml:space="preserve">Noir</x:t>
        </x:is>
      </x:c>
      <x:c r="B28" s="157" t="inlineStr">
        <x:is>
          <x:t xml:space="preserve">Formule locale</x:t>
        </x:is>
      </x:c>
      <x:c r="C28" s="157" t="inlineStr">
        <x:is>
          <x:t xml:space="preserve">Contribution</x:t>
        </x:is>
      </x:c>
      <x:c r="D28" s="157" t="n"/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57" t="inlineStr">
        <x:is>
          <x:t xml:space="preserve">Fond jaune</x:t>
        </x:is>
      </x:c>
      <x:c r="B29" s="157" t="inlineStr">
        <x:is>
          <x:t xml:space="preserve">Hypothèse critique à confirmer</x:t>
        </x:is>
      </x:c>
      <x:c r="C29" s="157" t="inlineStr">
        <x:is>
          <x:t xml:space="preserve">Taxe, PSP, FX</x:t>
        </x:is>
      </x:c>
      <x:c r="D29" s="157" t="n"/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inlineStr">
        <x:is>
          <x:t xml:space="preserve">Rouge entre parenthèses</x:t>
        </x:is>
      </x:c>
      <x:c r="B30" s="157" t="inlineStr">
        <x:is>
          <x:t xml:space="preserve">Valeur négative</x:t>
        </x:is>
      </x:c>
      <x:c r="C30" s="157" t="inlineStr">
        <x:is>
          <x:t xml:space="preserve">Coût ou sortie de trésorerie</x:t>
        </x:is>
      </x:c>
      <x:c r="D30" s="157" t="n"/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57" t="n"/>
      <x:c r="B31" s="157" t="n"/>
      <x:c r="C31" s="157" t="n"/>
      <x:c r="D31" s="157" t="n"/>
      <x:c r="E31" s="157" t="n"/>
      <x:c r="F31" s="157" t="n"/>
      <x:c r="G31" s="157" t="n"/>
      <x:c r="H31" s="157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405" t="inlineStr">
        <x:is>
          <x:t xml:space="preserve">4. Lecture des résultats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49" t="inlineStr">
        <x:is>
          <x:t xml:space="preserve">Indicateur</x:t>
        </x:is>
      </x:c>
      <x:c r="B33" s="149" t="inlineStr">
        <x:is>
          <x:t xml:space="preserve">Interprétation</x:t>
        </x:is>
      </x:c>
      <x:c r="C33" s="157" t="str"/>
      <x:c r="D33" s="157" t="str"/>
      <x:c r="E33" s="157" t="str"/>
      <x:c r="F33" s="157" t="str"/>
      <x:c r="G33" s="157" t="str"/>
      <x:c r="H33" s="157" t="str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57" t="inlineStr">
        <x:is>
          <x:t xml:space="preserve">Contribution par achat</x:t>
        </x:is>
      </x:c>
      <x:c r="B34" s="157" t="inlineStr">
        <x:is>
          <x:t xml:space="preserve">Montant restant après coûts variables et payout attendu, avant OPEX fixe.</x:t>
        </x:is>
      </x:c>
      <x:c r="C34" s="157" t="str"/>
      <x:c r="D34" s="157" t="str"/>
      <x:c r="E34" s="157" t="str"/>
      <x:c r="F34" s="157" t="str"/>
      <x:c r="G34" s="157" t="str"/>
      <x:c r="H34" s="157" t="str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57" t="inlineStr">
        <x:is>
          <x:t xml:space="preserve">Break-even mensuel</x:t>
        </x:is>
      </x:c>
      <x:c r="B35" s="157" t="inlineStr">
        <x:is>
          <x:t xml:space="preserve">Nombre d’achats requis pour couvrir l’OPEX fixe.</x:t>
        </x:is>
      </x:c>
      <x:c r="C35" s="157" t="str"/>
      <x:c r="D35" s="157" t="str"/>
      <x:c r="E35" s="157" t="str"/>
      <x:c r="F35" s="157" t="str"/>
      <x:c r="G35" s="157" t="str"/>
      <x:c r="H35" s="157" t="str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57" t="inlineStr">
        <x:is>
          <x:t xml:space="preserve">Couverture réserve</x:t>
        </x:is>
      </x:c>
      <x:c r="B36" s="157" t="inlineStr">
        <x:is>
          <x:t xml:space="preserve">Réserve disponible ÷ payouts projetés sur les 30 prochains jours.</x:t>
        </x:is>
      </x:c>
      <x:c r="C36" s="157" t="str"/>
      <x:c r="D36" s="157" t="str"/>
      <x:c r="E36" s="157" t="str"/>
      <x:c r="F36" s="157" t="str"/>
      <x:c r="G36" s="157" t="str"/>
      <x:c r="H36" s="157" t="str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57" t="inlineStr">
        <x:is>
          <x:t xml:space="preserve">Réserve / 1 000 achats</x:t>
        </x:is>
      </x:c>
      <x:c r="B37" s="157" t="inlineStr">
        <x:is>
          <x:t xml:space="preserve">Réserve prudentielle à 2,0x pour une cohorte de 1 000 achats.</x:t>
        </x:is>
      </x:c>
      <x:c r="C37" s="157" t="str"/>
      <x:c r="D37" s="157" t="str"/>
      <x:c r="E37" s="157" t="str"/>
      <x:c r="F37" s="157" t="str"/>
      <x:c r="G37" s="157" t="str"/>
      <x:c r="H37" s="157" t="str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25.5" customHeight="1">
      <x:c r="A38" s="157" t="str">
        <x:v>Kill switches commerciaux</x:v>
      </x:c>
      <x:c r="B38" s="488" t="str">
        <x:v>Les cinq tailles sont actives en sandbox. Toute vente publique 25K/50K/100K reste soumise aux gates de réserve et peut être désactivée par taille.</x:v>
      </x:c>
      <x:c r="C38" s="157" t="str"/>
      <x:c r="D38" s="157" t="str"/>
      <x:c r="E38" s="157" t="str"/>
      <x:c r="F38" s="157" t="str"/>
      <x:c r="G38" s="157" t="str"/>
      <x:c r="H38" s="157" t="str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57" t="inlineStr">
        <x:is>
          <x:t xml:space="preserve">Max safe sales</x:t>
        </x:is>
      </x:c>
      <x:c r="B39" s="157" t="inlineStr">
        <x:is>
          <x:t xml:space="preserve">Volume conservateur supportable par la réserve actuelle.</x:t>
        </x:is>
      </x:c>
      <x:c r="C39" s="157" t="str"/>
      <x:c r="D39" s="157" t="str"/>
      <x:c r="E39" s="157" t="str"/>
      <x:c r="F39" s="157" t="str"/>
      <x:c r="G39" s="157" t="str"/>
      <x:c r="H39" s="157" t="str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57" t="n"/>
      <x:c r="B40" s="157" t="n"/>
      <x:c r="C40" s="157" t="n"/>
      <x:c r="D40" s="157" t="n"/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57" t="n"/>
      <x:c r="B41" s="157" t="n"/>
      <x:c r="C41" s="157" t="n"/>
      <x:c r="D41" s="157" t="n"/>
      <x:c r="E41" s="157" t="n"/>
      <x:c r="F41" s="157" t="n"/>
      <x:c r="G41" s="157" t="n"/>
      <x:c r="H41" s="157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57" t="n"/>
      <x:c r="B42" s="157" t="n"/>
      <x:c r="C42" s="157" t="n"/>
      <x:c r="D42" s="157" t="n"/>
      <x:c r="E42" s="157" t="n"/>
      <x:c r="F42" s="157" t="n"/>
      <x:c r="G42" s="157" t="n"/>
      <x:c r="H42" s="157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57" t="n"/>
      <x:c r="B43" s="157" t="n"/>
      <x:c r="C43" s="157" t="n"/>
      <x:c r="D43" s="157" t="n"/>
      <x:c r="E43" s="157" t="n"/>
      <x:c r="F43" s="157" t="n"/>
      <x:c r="G43" s="157" t="n"/>
      <x:c r="H43" s="157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57" t="n"/>
      <x:c r="B44" s="157" t="n"/>
      <x:c r="C44" s="157" t="n"/>
      <x:c r="D44" s="157" t="n"/>
      <x:c r="E44" s="157" t="n"/>
      <x:c r="F44" s="157" t="n"/>
      <x:c r="G44" s="157" t="n"/>
      <x:c r="H44" s="157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57" t="n"/>
      <x:c r="B45" s="157" t="n"/>
      <x:c r="C45" s="157" t="n"/>
      <x:c r="D45" s="157" t="n"/>
      <x:c r="E45" s="157" t="n"/>
      <x:c r="F45" s="157" t="n"/>
      <x:c r="G45" s="157" t="n"/>
      <x:c r="H45" s="157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57" t="n"/>
      <x:c r="B46" s="157" t="n"/>
      <x:c r="C46" s="157" t="n"/>
      <x:c r="D46" s="157" t="n"/>
      <x:c r="E46" s="157" t="n"/>
      <x:c r="F46" s="157" t="n"/>
      <x:c r="G46" s="157" t="n"/>
      <x:c r="H46" s="157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57" t="n"/>
      <x:c r="B47" s="157" t="n"/>
      <x:c r="C47" s="157" t="n"/>
      <x:c r="D47" s="157" t="n"/>
      <x:c r="E47" s="157" t="n"/>
      <x:c r="F47" s="157" t="n"/>
      <x:c r="G47" s="157" t="n"/>
      <x:c r="H47" s="157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57" t="n"/>
      <x:c r="B48" s="157" t="n"/>
      <x:c r="C48" s="157" t="n"/>
      <x:c r="D48" s="157" t="n"/>
      <x:c r="E48" s="157" t="n"/>
      <x:c r="F48" s="157" t="n"/>
      <x:c r="G48" s="157" t="n"/>
      <x:c r="H48" s="157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57" t="n"/>
      <x:c r="B49" s="157" t="n"/>
      <x:c r="C49" s="157" t="n"/>
      <x:c r="D49" s="157" t="n"/>
      <x:c r="E49" s="157" t="n"/>
      <x:c r="F49" s="157" t="n"/>
      <x:c r="G49" s="157" t="n"/>
      <x:c r="H49" s="157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57" t="n"/>
      <x:c r="B50" s="157" t="n"/>
      <x:c r="C50" s="157" t="n"/>
      <x:c r="D50" s="157" t="n"/>
      <x:c r="E50" s="157" t="n"/>
      <x:c r="F50" s="157" t="n"/>
      <x:c r="G50" s="157" t="n"/>
      <x:c r="H50" s="157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4:H24"/>
    <x:mergeCell ref="A2:H2"/>
    <x:mergeCell ref="A14:H14"/>
    <x:mergeCell ref="A1:H1"/>
    <x:mergeCell ref="A32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6" customWidth="1"/>
    <x:col min="2" max="2" width="16" customWidth="1"/>
    <x:col min="3" max="3" width="18" customWidth="1"/>
    <x:col min="4" max="4" width="28" customWidth="1"/>
    <x:col min="5" max="5" width="13" customWidth="1"/>
    <x:col min="6" max="6" width="13" customWidth="1"/>
    <x:col min="7" max="7" width="13" customWidth="1"/>
    <x:col min="8" max="8" width="36" customWidth="1"/>
  </x:cols>
  <x:sheetData>
    <x:row r="1" ht="15" customHeight="1">
      <x:c r="A1" s="404" t="inlineStr">
        <x:is>
          <x:t xml:space="preserve">WARIBA — Hypothèses et scénarios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Les valeurs sont des hypothèses de travail. Les cellules bleues doivent être remplacées progressivement par les données de bêta et les devis fournisseurs.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inlineStr">
        <x:is>
          <x:t xml:space="preserve">Scénario actif</x:t>
        </x:is>
      </x:c>
      <x:c r="B3" s="406" t="inlineStr">
        <x:is>
          <x:t xml:space="preserve">Base</x:t>
        </x:is>
      </x:c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57" t="n"/>
      <x:c r="B4" s="157" t="n"/>
      <x:c r="C4" s="157" t="n"/>
      <x:c r="D4" s="157" t="n"/>
      <x:c r="E4" s="157" t="n"/>
      <x:c r="F4" s="157" t="n"/>
      <x:c r="G4" s="157" t="n"/>
      <x:c r="H4" s="157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405" t="inlineStr">
        <x:is>
          <x:t xml:space="preserve">A. Hypothèses économiques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49" t="inlineStr">
        <x:is>
          <x:t xml:space="preserve">Hypothèse</x:t>
        </x:is>
      </x:c>
      <x:c r="B6" s="149" t="inlineStr">
        <x:is>
          <x:t xml:space="preserve">Valeur active</x:t>
        </x:is>
      </x:c>
      <x:c r="C6" s="149" t="inlineStr">
        <x:is>
          <x:t xml:space="preserve">Unité</x:t>
        </x:is>
      </x:c>
      <x:c r="D6" s="149" t="inlineStr">
        <x:is>
          <x:t xml:space="preserve">Source / statut</x:t>
        </x:is>
      </x:c>
      <x:c r="E6" s="149" t="inlineStr">
        <x:is>
          <x:t xml:space="preserve">Base</x:t>
        </x:is>
      </x:c>
      <x:c r="F6" s="149" t="inlineStr">
        <x:is>
          <x:t xml:space="preserve">Upside</x:t>
        </x:is>
      </x:c>
      <x:c r="G6" s="149" t="inlineStr">
        <x:is>
          <x:t xml:space="preserve">Stress</x:t>
        </x:is>
      </x:c>
      <x:c r="H6" s="149" t="inlineStr">
        <x:is>
          <x:t xml:space="preserve">Commentaire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Taux de réussite de l’évaluation</x:t>
        </x:is>
      </x:c>
      <x:c r="B7" s="448" t="n">
        <x:f>IF($B$3="Base",E7,IF($B$3="Upside",F7,G7))</x:f>
        <x:v>0.08</x:v>
      </x:c>
      <x:c r="C7" s="157" t="inlineStr">
        <x:is>
          <x:t xml:space="preserve">% achats</x:t>
        </x:is>
      </x:c>
      <x:c r="D7" s="157" t="inlineStr">
        <x:is>
          <x:t xml:space="preserve">Management — à calibrer</x:t>
        </x:is>
      </x:c>
      <x:c r="E7" s="449" t="n">
        <x:v>0.08</x:v>
      </x:c>
      <x:c r="F7" s="449" t="n">
        <x:v>0.05</x:v>
      </x:c>
      <x:c r="G7" s="449" t="n">
        <x:v>0.14</x:v>
      </x:c>
      <x:c r="H7" s="157" t="inlineStr">
        <x:is>
          <x:t xml:space="preserve">Plus le taux augmente, plus la charge payout future augmente.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Accès au payout #1 après passage</x:t>
        </x:is>
      </x:c>
      <x:c r="B8" s="448" t="n">
        <x:f>IF($B$3="Base",E8,IF($B$3="Upside",F8,G8))</x:f>
        <x:v>0.35</x:v>
      </x:c>
      <x:c r="C8" s="157" t="inlineStr">
        <x:is>
          <x:t xml:space="preserve">% passés</x:t>
        </x:is>
      </x:c>
      <x:c r="D8" s="157" t="inlineStr">
        <x:is>
          <x:t xml:space="preserve">Management — à calibrer</x:t>
        </x:is>
      </x:c>
      <x:c r="E8" s="449" t="n">
        <x:v>0.35</x:v>
      </x:c>
      <x:c r="F8" s="449" t="n">
        <x:v>0.25</x:v>
      </x:c>
      <x:c r="G8" s="449" t="n">
        <x:v>0.5</x:v>
      </x:c>
      <x:c r="H8" s="157" t="inlineStr">
        <x:is>
          <x:t xml:space="preserve">Part des comptes Performance atteignant le premier payout.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Transition payout #1 → #2</x:t>
        </x:is>
      </x:c>
      <x:c r="B9" s="448" t="n">
        <x:f>IF($B$3="Base",E9,IF($B$3="Upside",F9,G9))</x:f>
        <x:v>0.55</x:v>
      </x:c>
      <x:c r="C9" s="157" t="inlineStr">
        <x:is>
          <x:t xml:space="preserve">%</x:t>
        </x:is>
      </x:c>
      <x:c r="D9" s="157" t="inlineStr">
        <x:is>
          <x:t xml:space="preserve">Management — à calibrer</x:t>
        </x:is>
      </x:c>
      <x:c r="E9" s="449" t="n">
        <x:v>0.55</x:v>
      </x:c>
      <x:c r="F9" s="449" t="n">
        <x:v>0.45</x:v>
      </x:c>
      <x:c r="G9" s="449" t="n">
        <x:v>0.65</x:v>
      </x:c>
      <x:c r="H9" s="157" t="str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Transition payout #2 → #3</x:t>
        </x:is>
      </x:c>
      <x:c r="B10" s="448" t="n">
        <x:f>IF($B$3="Base",E10,IF($B$3="Upside",F10,G10))</x:f>
        <x:v>0.5</x:v>
      </x:c>
      <x:c r="C10" s="157" t="inlineStr">
        <x:is>
          <x:t xml:space="preserve">%</x:t>
        </x:is>
      </x:c>
      <x:c r="D10" s="157" t="inlineStr">
        <x:is>
          <x:t xml:space="preserve">Management — à calibrer</x:t>
        </x:is>
      </x:c>
      <x:c r="E10" s="449" t="n">
        <x:v>0.5</x:v>
      </x:c>
      <x:c r="F10" s="449" t="n">
        <x:v>0.4</x:v>
      </x:c>
      <x:c r="G10" s="449" t="n">
        <x:v>0.6</x:v>
      </x:c>
      <x:c r="H10" s="157" t="str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Transition payout #3 → #4</x:t>
        </x:is>
      </x:c>
      <x:c r="B11" s="448" t="n">
        <x:f>IF($B$3="Base",E11,IF($B$3="Upside",F11,G11))</x:f>
        <x:v>0.45</x:v>
      </x:c>
      <x:c r="C11" s="157" t="inlineStr">
        <x:is>
          <x:t xml:space="preserve">%</x:t>
        </x:is>
      </x:c>
      <x:c r="D11" s="157" t="inlineStr">
        <x:is>
          <x:t xml:space="preserve">Management — à calibrer</x:t>
        </x:is>
      </x:c>
      <x:c r="E11" s="449" t="n">
        <x:v>0.45</x:v>
      </x:c>
      <x:c r="F11" s="449" t="n">
        <x:v>0.35</x:v>
      </x:c>
      <x:c r="G11" s="449" t="n">
        <x:v>0.55</x:v>
      </x:c>
      <x:c r="H11" s="157" t="str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Transition payout #4 → #5</x:t>
        </x:is>
      </x:c>
      <x:c r="B12" s="448" t="n">
        <x:f>IF($B$3="Base",E12,IF($B$3="Upside",F12,G12))</x:f>
        <x:v>0.4</x:v>
      </x:c>
      <x:c r="C12" s="157" t="inlineStr">
        <x:is>
          <x:t xml:space="preserve">%</x:t>
        </x:is>
      </x:c>
      <x:c r="D12" s="157" t="inlineStr">
        <x:is>
          <x:t xml:space="preserve">Management — à calibrer</x:t>
        </x:is>
      </x:c>
      <x:c r="E12" s="449" t="n">
        <x:v>0.4</x:v>
      </x:c>
      <x:c r="F12" s="449" t="n">
        <x:v>0.3</x:v>
      </x:c>
      <x:c r="G12" s="449" t="n">
        <x:v>0.5</x:v>
      </x:c>
      <x:c r="H12" s="157" t="str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inlineStr">
        <x:is>
          <x:t xml:space="preserve">Utilisation moyenne des caps</x:t>
        </x:is>
      </x:c>
      <x:c r="B13" s="448" t="n">
        <x:f>IF($B$3="Base",E13,IF($B$3="Upside",F13,G13))</x:f>
        <x:v>0.7</x:v>
      </x:c>
      <x:c r="C13" s="157" t="inlineStr">
        <x:is>
          <x:t xml:space="preserve">% cap</x:t>
        </x:is>
      </x:c>
      <x:c r="D13" s="157" t="inlineStr">
        <x:is>
          <x:t xml:space="preserve">Management — à calibrer</x:t>
        </x:is>
      </x:c>
      <x:c r="E13" s="449" t="n">
        <x:v>0.7</x:v>
      </x:c>
      <x:c r="F13" s="449" t="n">
        <x:v>0.55</x:v>
      </x:c>
      <x:c r="G13" s="449" t="n">
        <x:v>0.9</x:v>
      </x:c>
      <x:c r="H13" s="157" t="inlineStr">
        <x:is>
          <x:t xml:space="preserve">Payout Base moyen en % du cap applicable.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57" t="inlineStr">
        <x:is>
          <x:t xml:space="preserve">Remboursements / chargebacks</x:t>
        </x:is>
      </x:c>
      <x:c r="B14" s="448" t="n">
        <x:f>IF($B$3="Base",E14,IF($B$3="Upside",F14,G14))</x:f>
        <x:v>0.015</x:v>
      </x:c>
      <x:c r="C14" s="157" t="inlineStr">
        <x:is>
          <x:t xml:space="preserve">% CA</x:t>
        </x:is>
      </x:c>
      <x:c r="D14" s="157" t="inlineStr">
        <x:is>
          <x:t xml:space="preserve">PSP réel requis</x:t>
        </x:is>
      </x:c>
      <x:c r="E14" s="449" t="n">
        <x:v>0.015</x:v>
      </x:c>
      <x:c r="F14" s="449" t="n">
        <x:v>0.01</x:v>
      </x:c>
      <x:c r="G14" s="449" t="n">
        <x:v>0.03</x:v>
      </x:c>
      <x:c r="H14" s="157" t="str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409" t="inlineStr">
        <x:is>
          <x:t xml:space="preserve">Frais PSP encaissement</x:t>
        </x:is>
      </x:c>
      <x:c r="B15" s="450" t="n">
        <x:f>IF($B$3="Base",E15,IF($B$3="Upside",F15,G15))</x:f>
        <x:v>0.035</x:v>
      </x:c>
      <x:c r="C15" s="409" t="inlineStr">
        <x:is>
          <x:t xml:space="preserve">% encaissement</x:t>
        </x:is>
      </x:c>
      <x:c r="D15" s="409" t="inlineStr">
        <x:is>
          <x:t xml:space="preserve">Devis PSP requis</x:t>
        </x:is>
      </x:c>
      <x:c r="E15" s="451" t="n">
        <x:v>0.035</x:v>
      </x:c>
      <x:c r="F15" s="451" t="n">
        <x:v>0.03</x:v>
      </x:c>
      <x:c r="G15" s="451" t="n">
        <x:v>0.045</x:v>
      </x:c>
      <x:c r="H15" s="409" t="str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inlineStr">
        <x:is>
          <x:t xml:space="preserve">CAC moyen par nouvel acheteur</x:t>
        </x:is>
      </x:c>
      <x:c r="B16" s="452" t="n">
        <x:f>IF($B$3="Base",E16,IF($B$3="Upside",F16,G16))</x:f>
        <x:v>4500</x:v>
      </x:c>
      <x:c r="C16" s="157" t="inlineStr">
        <x:is>
          <x:t xml:space="preserve">FCFA</x:t>
        </x:is>
      </x:c>
      <x:c r="D16" s="157" t="inlineStr">
        <x:is>
          <x:t xml:space="preserve">Management — à calibrer</x:t>
        </x:is>
      </x:c>
      <x:c r="E16" s="453" t="n">
        <x:v>4500</x:v>
      </x:c>
      <x:c r="F16" s="453" t="n">
        <x:v>3500</x:v>
      </x:c>
      <x:c r="G16" s="453" t="n">
        <x:v>7000</x:v>
      </x:c>
      <x:c r="H16" s="157" t="str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inlineStr">
        <x:is>
          <x:t xml:space="preserve">Support variable par achat</x:t>
        </x:is>
      </x:c>
      <x:c r="B17" s="452" t="n">
        <x:f>IF($B$3="Base",E17,IF($B$3="Upside",F17,G17))</x:f>
        <x:v>700</x:v>
      </x:c>
      <x:c r="C17" s="157" t="inlineStr">
        <x:is>
          <x:t xml:space="preserve">FCFA</x:t>
        </x:is>
      </x:c>
      <x:c r="D17" s="157" t="inlineStr">
        <x:is>
          <x:t xml:space="preserve">Management — à calibrer</x:t>
        </x:is>
      </x:c>
      <x:c r="E17" s="453" t="n">
        <x:v>700</x:v>
      </x:c>
      <x:c r="F17" s="453" t="n">
        <x:v>500</x:v>
      </x:c>
      <x:c r="G17" s="453" t="n">
        <x:v>1000</x:v>
      </x:c>
      <x:c r="H17" s="157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inlineStr">
        <x:is>
          <x:t xml:space="preserve">KYC / contrôle par compte réussi</x:t>
        </x:is>
      </x:c>
      <x:c r="B18" s="452" t="n">
        <x:f>IF($B$3="Base",E18,IF($B$3="Upside",F18,G18))</x:f>
        <x:v>2000</x:v>
      </x:c>
      <x:c r="C18" s="157" t="inlineStr">
        <x:is>
          <x:t xml:space="preserve">FCFA</x:t>
        </x:is>
      </x:c>
      <x:c r="D18" s="157" t="inlineStr">
        <x:is>
          <x:t xml:space="preserve">Devis fournisseur requis</x:t>
        </x:is>
      </x:c>
      <x:c r="E18" s="453" t="n">
        <x:v>2000</x:v>
      </x:c>
      <x:c r="F18" s="453" t="n">
        <x:v>1500</x:v>
      </x:c>
      <x:c r="G18" s="453" t="n">
        <x:v>3000</x:v>
      </x:c>
      <x:c r="H18" s="157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409" t="inlineStr">
        <x:is>
          <x:t xml:space="preserve">Frais de transfert payout</x:t>
        </x:is>
      </x:c>
      <x:c r="B19" s="450" t="n">
        <x:f>IF($B$3="Base",E19,IF($B$3="Upside",F19,G19))</x:f>
        <x:v>0.02</x:v>
      </x:c>
      <x:c r="C19" s="409" t="inlineStr">
        <x:is>
          <x:t xml:space="preserve">% trader cash</x:t>
        </x:is>
      </x:c>
      <x:c r="D19" s="409" t="inlineStr">
        <x:is>
          <x:t xml:space="preserve">Devis rail payout requis</x:t>
        </x:is>
      </x:c>
      <x:c r="E19" s="451" t="n">
        <x:v>0.02</x:v>
      </x:c>
      <x:c r="F19" s="451" t="n">
        <x:v>0.015</x:v>
      </x:c>
      <x:c r="G19" s="451" t="n">
        <x:v>0.03</x:v>
      </x:c>
      <x:c r="H19" s="409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Pertes fraude / paiement</x:t>
        </x:is>
      </x:c>
      <x:c r="B20" s="448" t="n">
        <x:f>IF($B$3="Base",E20,IF($B$3="Upside",F20,G20))</x:f>
        <x:v>0.005</x:v>
      </x:c>
      <x:c r="C20" s="157" t="inlineStr">
        <x:is>
          <x:t xml:space="preserve">% CA</x:t>
        </x:is>
      </x:c>
      <x:c r="D20" s="157" t="inlineStr">
        <x:is>
          <x:t xml:space="preserve">Management — à calibrer</x:t>
        </x:is>
      </x:c>
      <x:c r="E20" s="449" t="n">
        <x:v>0.005</x:v>
      </x:c>
      <x:c r="F20" s="449" t="n">
        <x:v>0.002</x:v>
      </x:c>
      <x:c r="G20" s="449" t="n">
        <x:v>0.015</x:v>
      </x:c>
      <x:c r="H20" s="157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Commission affiliation</x:t>
        </x:is>
      </x:c>
      <x:c r="B21" s="448" t="n">
        <x:f>IF($B$3="Base",E21,IF($B$3="Upside",F21,G21))</x:f>
        <x:v>0</x:v>
      </x:c>
      <x:c r="C21" s="157" t="inlineStr">
        <x:is>
          <x:t xml:space="preserve">% CA</x:t>
        </x:is>
      </x:c>
      <x:c r="D21" s="157" t="inlineStr">
        <x:is>
          <x:t xml:space="preserve">Affiliation différée V1</x:t>
        </x:is>
      </x:c>
      <x:c r="E21" s="449" t="n">
        <x:v>0</x:v>
      </x:c>
      <x:c r="F21" s="449" t="n">
        <x:v>0</x:v>
      </x:c>
      <x:c r="G21" s="449" t="n">
        <x:v>0</x:v>
      </x:c>
      <x:c r="H21" s="157" t="inlineStr">
        <x:is>
          <x:t xml:space="preserve">Mettre à jour uniquement après preuve opérationnelle.</x:t>
        </x:is>
      </x:c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Repurchase mensuel</x:t>
        </x:is>
      </x:c>
      <x:c r="B22" s="448" t="n">
        <x:f>IF($B$3="Base",E22,IF($B$3="Upside",F22,G22))</x:f>
        <x:v>0.25</x:v>
      </x:c>
      <x:c r="C22" s="157" t="inlineStr">
        <x:is>
          <x:t xml:space="preserve">% achats mois précédent échoués</x:t>
        </x:is>
      </x:c>
      <x:c r="D22" s="157" t="inlineStr">
        <x:is>
          <x:t xml:space="preserve">Management — à calibrer</x:t>
        </x:is>
      </x:c>
      <x:c r="E22" s="449" t="n">
        <x:v>0.25</x:v>
      </x:c>
      <x:c r="F22" s="449" t="n">
        <x:v>0.15</x:v>
      </x:c>
      <x:c r="G22" s="449" t="n">
        <x:v>0.4</x:v>
      </x:c>
      <x:c r="H22" s="157" t="inlineStr">
        <x:is>
          <x:t xml:space="preserve">Le modèle ne doit pas dépendre des échecs répétés.</x:t>
        </x:is>
      </x:c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inlineStr">
        <x:is>
          <x:t xml:space="preserve">Part des encaissements versée en réserve</x:t>
        </x:is>
      </x:c>
      <x:c r="B23" s="448" t="n">
        <x:f>IF($B$3="Base",E23,IF($B$3="Upside",F23,G23))</x:f>
        <x:v>0.35</x:v>
      </x:c>
      <x:c r="C23" s="157" t="inlineStr">
        <x:is>
          <x:t xml:space="preserve">% cash net</x:t>
        </x:is>
      </x:c>
      <x:c r="D23" s="157" t="inlineStr">
        <x:is>
          <x:t xml:space="preserve">Politique trésorerie</x:t>
        </x:is>
      </x:c>
      <x:c r="E23" s="449" t="n">
        <x:v>0.35</x:v>
      </x:c>
      <x:c r="F23" s="449" t="n">
        <x:v>0.3</x:v>
      </x:c>
      <x:c r="G23" s="449" t="n">
        <x:v>0.45</x:v>
      </x:c>
      <x:c r="H23" s="157" t="str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57" t="inlineStr">
        <x:is>
          <x:t xml:space="preserve">OPEX fixe mensuel</x:t>
        </x:is>
      </x:c>
      <x:c r="B24" s="452" t="n">
        <x:f>IF($B$3="Base",E24,IF($B$3="Upside",F24,G24))</x:f>
        <x:v>900000</x:v>
      </x:c>
      <x:c r="C24" s="157" t="inlineStr">
        <x:is>
          <x:t xml:space="preserve">FCFA / mois</x:t>
        </x:is>
      </x:c>
      <x:c r="D24" s="157" t="inlineStr">
        <x:is>
          <x:t xml:space="preserve">Infra + équipe + données + juridique</x:t>
        </x:is>
      </x:c>
      <x:c r="E24" s="453" t="n">
        <x:v>900000</x:v>
      </x:c>
      <x:c r="F24" s="453" t="n">
        <x:v>700000</x:v>
      </x:c>
      <x:c r="G24" s="453" t="n">
        <x:v>1300000</x:v>
      </x:c>
      <x:c r="H24" s="157" t="str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409" t="inlineStr">
        <x:is>
          <x:t xml:space="preserve">Provision fiscale</x:t>
        </x:is>
      </x:c>
      <x:c r="B25" s="450" t="n">
        <x:f>IF($B$3="Base",E25,IF($B$3="Upside",F25,G25))</x:f>
        <x:v>0</x:v>
      </x:c>
      <x:c r="C25" s="409" t="inlineStr">
        <x:is>
          <x:t xml:space="preserve">% CA</x:t>
        </x:is>
      </x:c>
      <x:c r="D25" s="409" t="inlineStr">
        <x:is>
          <x:t xml:space="preserve">À confirmer par conseil fiscal</x:t>
        </x:is>
      </x:c>
      <x:c r="E25" s="451" t="n">
        <x:v>0</x:v>
      </x:c>
      <x:c r="F25" s="451" t="n">
        <x:v>0</x:v>
      </x:c>
      <x:c r="G25" s="451" t="n">
        <x:v>0.05</x:v>
      </x:c>
      <x:c r="H25" s="409" t="inlineStr">
        <x:is>
          <x:t xml:space="preserve">Hypothèse critique — ne pas interpréter comme avis fiscal.</x:t>
        </x:is>
      </x:c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n"/>
      <x:c r="B26" s="157" t="n"/>
      <x:c r="C26" s="157" t="n"/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n"/>
      <x:c r="B27" s="157" t="n"/>
      <x:c r="C27" s="157" t="n"/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405" t="inlineStr">
        <x:is>
          <x:t xml:space="preserve">B. Produits, prix et caps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49" t="inlineStr">
        <x:is>
          <x:t xml:space="preserve">Compte</x:t>
        </x:is>
      </x:c>
      <x:c r="B29" s="149" t="inlineStr">
        <x:is>
          <x:t xml:space="preserve">Prix (FCFA)</x:t>
        </x:is>
      </x:c>
      <x:c r="C29" s="149" t="inlineStr">
        <x:is>
          <x:t xml:space="preserve">Mix ventes</x:t>
        </x:is>
      </x:c>
      <x:c r="D29" s="149" t="inlineStr">
        <x:is>
          <x:t xml:space="preserve">Statut</x:t>
        </x:is>
      </x:c>
      <x:c r="E29" s="149" t="inlineStr">
        <x:is>
          <x:t xml:space="preserve">Cap P1–P2 (USD)</x:t>
        </x:is>
      </x:c>
      <x:c r="F29" s="149" t="inlineStr">
        <x:is>
          <x:t xml:space="preserve">Cap P3–P4 (USD)</x:t>
        </x:is>
      </x:c>
      <x:c r="G29" s="149" t="inlineStr">
        <x:is>
          <x:t xml:space="preserve">Cap P5 (USD)</x:t>
        </x:is>
      </x:c>
      <x:c r="H29" s="149" t="inlineStr">
        <x:is>
          <x:t xml:space="preserve">Nominal (USD)</x:t>
        </x:is>
      </x:c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inlineStr">
        <x:is>
          <x:t xml:space="preserve">5K</x:t>
        </x:is>
      </x:c>
      <x:c r="B30" s="453" t="n">
        <x:v>22500</x:v>
      </x:c>
      <x:c r="C30" s="449" t="n">
        <x:v>0.45</x:v>
      </x:c>
      <x:c r="D30" s="157" t="inlineStr">
        <x:is>
          <x:t xml:space="preserve">CANDIDATE</x:t>
        </x:is>
      </x:c>
      <x:c r="E30" s="453" t="n">
        <x:v>100</x:v>
      </x:c>
      <x:c r="F30" s="453" t="n">
        <x:v>150</x:v>
      </x:c>
      <x:c r="G30" s="453" t="n">
        <x:v>250</x:v>
      </x:c>
      <x:c r="H30" s="453" t="n">
        <x:v>5000</x:v>
      </x:c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57" t="inlineStr">
        <x:is>
          <x:t xml:space="preserve">10K</x:t>
        </x:is>
      </x:c>
      <x:c r="B31" s="453" t="n">
        <x:v>39900</x:v>
      </x:c>
      <x:c r="C31" s="449" t="n">
        <x:v>0.45</x:v>
      </x:c>
      <x:c r="D31" s="157" t="inlineStr">
        <x:is>
          <x:t xml:space="preserve">CANDIDATE — principal</x:t>
        </x:is>
      </x:c>
      <x:c r="E31" s="453" t="n">
        <x:v>200</x:v>
      </x:c>
      <x:c r="F31" s="453" t="n">
        <x:v>300</x:v>
      </x:c>
      <x:c r="G31" s="453" t="n">
        <x:v>500</x:v>
      </x:c>
      <x:c r="H31" s="453" t="n">
        <x:v>10000</x:v>
      </x:c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57" t="inlineStr">
        <x:is>
          <x:t xml:space="preserve">25K</x:t>
        </x:is>
      </x:c>
      <x:c r="B32" s="453" t="n">
        <x:v>84900</x:v>
      </x:c>
      <x:c r="C32" s="449" t="n">
        <x:v>0.1</x:v>
      </x:c>
      <x:c r="D32" s="488" t="str">
        <x:v>CANDIDATE — sandbox actif</x:v>
      </x:c>
      <x:c r="E32" s="453" t="n">
        <x:v>400</x:v>
      </x:c>
      <x:c r="F32" s="453" t="n">
        <x:v>600</x:v>
      </x:c>
      <x:c r="G32" s="453" t="n">
        <x:v>1000</x:v>
      </x:c>
      <x:c r="H32" s="453" t="n">
        <x:v>25000</x:v>
      </x:c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57" t="n"/>
      <x:c r="B33" s="157" t="n"/>
      <x:c r="C33" s="157" t="n"/>
      <x:c r="D33" s="157" t="n"/>
      <x:c r="E33" s="157" t="n"/>
      <x:c r="F33" s="157" t="n"/>
      <x:c r="G33" s="157" t="n"/>
      <x:c r="H33" s="157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49" t="inlineStr">
        <x:is>
          <x:t xml:space="preserve">Hypothèse</x:t>
        </x:is>
      </x:c>
      <x:c r="B34" s="149" t="inlineStr">
        <x:is>
          <x:t xml:space="preserve">Valeur</x:t>
        </x:is>
      </x:c>
      <x:c r="C34" s="149" t="inlineStr">
        <x:is>
          <x:t xml:space="preserve">Unité</x:t>
        </x:is>
      </x:c>
      <x:c r="D34" s="149" t="inlineStr">
        <x:is>
          <x:t xml:space="preserve">Source / statut</x:t>
        </x:is>
      </x:c>
      <x:c r="E34" s="157" t="n"/>
      <x:c r="F34" s="157" t="n"/>
      <x:c r="G34" s="157" t="n"/>
      <x:c r="H34" s="157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409" t="inlineStr">
        <x:is>
          <x:t xml:space="preserve">Taux de change FCFA / USD</x:t>
        </x:is>
      </x:c>
      <x:c r="B35" s="454" t="n">
        <x:v>600</x:v>
      </x:c>
      <x:c r="C35" s="409" t="inlineStr">
        <x:is>
          <x:t xml:space="preserve">FCFA par USD</x:t>
        </x:is>
      </x:c>
      <x:c r="D35" s="409" t="inlineStr">
        <x:is>
          <x:t xml:space="preserve">Hypothèse arrondie — mise à jour obligatoire</x:t>
        </x:is>
      </x:c>
      <x:c r="E35" s="157" t="n"/>
      <x:c r="F35" s="157" t="n"/>
      <x:c r="G35" s="157" t="n"/>
      <x:c r="H35" s="157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57" t="inlineStr">
        <x:is>
          <x:t xml:space="preserve">Trésorerie d’exploitation initiale</x:t>
        </x:is>
      </x:c>
      <x:c r="B36" s="453" t="n">
        <x:v>1000000</x:v>
      </x:c>
      <x:c r="C36" s="157" t="inlineStr">
        <x:is>
          <x:t xml:space="preserve">FCFA</x:t>
        </x:is>
      </x:c>
      <x:c r="D36" s="157" t="inlineStr">
        <x:is>
          <x:t xml:space="preserve">Management</x:t>
        </x:is>
      </x:c>
      <x:c r="E36" s="157" t="n"/>
      <x:c r="F36" s="157" t="n"/>
      <x:c r="G36" s="157" t="n"/>
      <x:c r="H36" s="157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57" t="inlineStr">
        <x:is>
          <x:t xml:space="preserve">Réserve payout initiale</x:t>
        </x:is>
      </x:c>
      <x:c r="B37" s="453" t="n">
        <x:v>2000000</x:v>
      </x:c>
      <x:c r="C37" s="157" t="inlineStr">
        <x:is>
          <x:t xml:space="preserve">FCFA</x:t>
        </x:is>
      </x:c>
      <x:c r="D37" s="157" t="inlineStr">
        <x:is>
          <x:t xml:space="preserve">Management</x:t>
        </x:is>
      </x:c>
      <x:c r="E37" s="157" t="n"/>
      <x:c r="F37" s="157" t="n"/>
      <x:c r="G37" s="157" t="n"/>
      <x:c r="H37" s="157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57" t="inlineStr">
        <x:is>
          <x:t xml:space="preserve">Couverture cible</x:t>
        </x:is>
      </x:c>
      <x:c r="B38" s="455" t="n">
        <x:v>2</x:v>
      </x:c>
      <x:c r="C38" s="157" t="inlineStr">
        <x:is>
          <x:t xml:space="preserve">x payouts 30j</x:t>
        </x:is>
      </x:c>
      <x:c r="D38" s="157" t="inlineStr">
        <x:is>
          <x:t xml:space="preserve">Rulebook v1.0</x:t>
        </x:is>
      </x:c>
      <x:c r="E38" s="157" t="n"/>
      <x:c r="F38" s="157" t="n"/>
      <x:c r="G38" s="157" t="n"/>
      <x:c r="H38" s="157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57" t="n"/>
      <x:c r="B39" s="157" t="n"/>
      <x:c r="C39" s="157" t="n"/>
      <x:c r="D39" s="157" t="n"/>
      <x:c r="E39" s="157" t="n"/>
      <x:c r="F39" s="157" t="n"/>
      <x:c r="G39" s="157" t="n"/>
      <x:c r="H39" s="157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57" t="n"/>
      <x:c r="B40" s="157" t="n"/>
      <x:c r="C40" s="157" t="n"/>
      <x:c r="D40" s="157" t="n"/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405" t="inlineStr">
        <x:is>
          <x:t xml:space="preserve">C. Nouveaux acheteurs mensuels — scénario de lancement</x:t>
        </x:is>
      </x:c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  <x:c r="L41" s="1" t="n"/>
      <x:c r="M41" s="1" t="n"/>
      <x:c r="N41" s="1" t="n"/>
      <x:c r="O41" s="1" t="n"/>
      <x:c r="P41" s="1" t="n"/>
      <x:c r="Q41" s="1" t="n"/>
      <x:c r="R41" s="1" t="n"/>
      <x:c r="S41" s="1" t="n"/>
      <x:c r="T41" s="1" t="n"/>
      <x:c r="U41" s="1" t="n"/>
      <x:c r="V41" s="1" t="n"/>
      <x:c r="W41" s="1" t="n"/>
      <x:c r="X41" s="1" t="n"/>
      <x:c r="Y41" s="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49" t="inlineStr">
        <x:is>
          <x:t xml:space="preserve">Mois</x:t>
        </x:is>
      </x:c>
      <x:c r="B42" s="149" t="inlineStr">
        <x:is>
          <x:t xml:space="preserve">M1</x:t>
        </x:is>
      </x:c>
      <x:c r="C42" s="149" t="inlineStr">
        <x:is>
          <x:t xml:space="preserve">M2</x:t>
        </x:is>
      </x:c>
      <x:c r="D42" s="149" t="inlineStr">
        <x:is>
          <x:t xml:space="preserve">M3</x:t>
        </x:is>
      </x:c>
      <x:c r="E42" s="149" t="inlineStr">
        <x:is>
          <x:t xml:space="preserve">M4</x:t>
        </x:is>
      </x:c>
      <x:c r="F42" s="149" t="inlineStr">
        <x:is>
          <x:t xml:space="preserve">M5</x:t>
        </x:is>
      </x:c>
      <x:c r="G42" s="149" t="inlineStr">
        <x:is>
          <x:t xml:space="preserve">M6</x:t>
        </x:is>
      </x:c>
      <x:c r="H42" s="149" t="inlineStr">
        <x:is>
          <x:t xml:space="preserve">M7</x:t>
        </x:is>
      </x:c>
      <x:c r="I42" s="164" t="inlineStr">
        <x:is>
          <x:t xml:space="preserve">M8</x:t>
        </x:is>
      </x:c>
      <x:c r="J42" s="164" t="inlineStr">
        <x:is>
          <x:t xml:space="preserve">M9</x:t>
        </x:is>
      </x:c>
      <x:c r="K42" s="164" t="inlineStr">
        <x:is>
          <x:t xml:space="preserve">M10</x:t>
        </x:is>
      </x:c>
      <x:c r="L42" s="164" t="inlineStr">
        <x:is>
          <x:t xml:space="preserve">M11</x:t>
        </x:is>
      </x:c>
      <x:c r="M42" s="164" t="inlineStr">
        <x:is>
          <x:t xml:space="preserve">M12</x:t>
        </x:is>
      </x:c>
      <x:c r="N42" s="164" t="inlineStr">
        <x:is>
          <x:t xml:space="preserve">M13</x:t>
        </x:is>
      </x:c>
      <x:c r="O42" s="164" t="inlineStr">
        <x:is>
          <x:t xml:space="preserve">M14</x:t>
        </x:is>
      </x:c>
      <x:c r="P42" s="164" t="inlineStr">
        <x:is>
          <x:t xml:space="preserve">M15</x:t>
        </x:is>
      </x:c>
      <x:c r="Q42" s="164" t="inlineStr">
        <x:is>
          <x:t xml:space="preserve">M16</x:t>
        </x:is>
      </x:c>
      <x:c r="R42" s="164" t="inlineStr">
        <x:is>
          <x:t xml:space="preserve">M17</x:t>
        </x:is>
      </x:c>
      <x:c r="S42" s="164" t="inlineStr">
        <x:is>
          <x:t xml:space="preserve">M18</x:t>
        </x:is>
      </x:c>
      <x:c r="T42" s="164" t="inlineStr">
        <x:is>
          <x:t xml:space="preserve">M19</x:t>
        </x:is>
      </x:c>
      <x:c r="U42" s="164" t="inlineStr">
        <x:is>
          <x:t xml:space="preserve">M20</x:t>
        </x:is>
      </x:c>
      <x:c r="V42" s="164" t="inlineStr">
        <x:is>
          <x:t xml:space="preserve">M21</x:t>
        </x:is>
      </x:c>
      <x:c r="W42" s="164" t="inlineStr">
        <x:is>
          <x:t xml:space="preserve">M22</x:t>
        </x:is>
      </x:c>
      <x:c r="X42" s="164" t="inlineStr">
        <x:is>
          <x:t xml:space="preserve">M23</x:t>
        </x:is>
      </x:c>
      <x:c r="Y42" s="164" t="inlineStr">
        <x:is>
          <x:t xml:space="preserve">M24</x:t>
        </x:is>
      </x:c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57" t="inlineStr">
        <x:is>
          <x:t xml:space="preserve">Nouveaux acheteurs</x:t>
        </x:is>
      </x:c>
      <x:c r="B43" s="453" t="n">
        <x:v>25</x:v>
      </x:c>
      <x:c r="C43" s="453" t="n">
        <x:v>40</x:v>
      </x:c>
      <x:c r="D43" s="453" t="n">
        <x:v>60</x:v>
      </x:c>
      <x:c r="E43" s="453" t="n">
        <x:v>80</x:v>
      </x:c>
      <x:c r="F43" s="453" t="n">
        <x:v>100</x:v>
      </x:c>
      <x:c r="G43" s="453" t="n">
        <x:v>130</x:v>
      </x:c>
      <x:c r="H43" s="453" t="n">
        <x:v>160</x:v>
      </x:c>
      <x:c r="I43" s="456" t="n">
        <x:v>200</x:v>
      </x:c>
      <x:c r="J43" s="456" t="n">
        <x:v>240</x:v>
      </x:c>
      <x:c r="K43" s="456" t="n">
        <x:v>280</x:v>
      </x:c>
      <x:c r="L43" s="456" t="n">
        <x:v>320</x:v>
      </x:c>
      <x:c r="M43" s="456" t="n">
        <x:v>360</x:v>
      </x:c>
      <x:c r="N43" s="456" t="n">
        <x:v>400</x:v>
      </x:c>
      <x:c r="O43" s="456" t="n">
        <x:v>450</x:v>
      </x:c>
      <x:c r="P43" s="456" t="n">
        <x:v>500</x:v>
      </x:c>
      <x:c r="Q43" s="456" t="n">
        <x:v>550</x:v>
      </x:c>
      <x:c r="R43" s="456" t="n">
        <x:v>600</x:v>
      </x:c>
      <x:c r="S43" s="456" t="n">
        <x:v>650</x:v>
      </x:c>
      <x:c r="T43" s="456" t="n">
        <x:v>700</x:v>
      </x:c>
      <x:c r="U43" s="456" t="n">
        <x:v>750</x:v>
      </x:c>
      <x:c r="V43" s="456" t="n">
        <x:v>800</x:v>
      </x:c>
      <x:c r="W43" s="456" t="n">
        <x:v>850</x:v>
      </x:c>
      <x:c r="X43" s="456" t="n">
        <x:v>900</x:v>
      </x:c>
      <x:c r="Y43" s="456" t="n">
        <x:v>1000</x:v>
      </x:c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457" t="inlineStr">
        <x:is>
          <x:t xml:space="preserve">D. Grille candidate v1.1 — référence (5 paliers)</x:t>
        </x:is>
      </x:c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str">
        <x:v>Les cinq tailles sont actives pour catalogue, checkout et Evaluation sandbox. Les formules financières restent limitées à 5K/10K/25K : les caps de payout 50K/100K sont OPEN et ne sont pas inventés.</x:v>
      </x:c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457" t="inlineStr">
        <x:is>
          <x:t xml:space="preserve">Compte</x:t>
        </x:is>
      </x:c>
      <x:c r="B48" s="457" t="inlineStr">
        <x:is>
          <x:t xml:space="preserve">Prix public (FCFA)</x:t>
        </x:is>
      </x:c>
      <x:c r="C48" s="457" t="inlineStr">
        <x:is>
          <x:t xml:space="preserve">Prix fondateur (FCFA)</x:t>
        </x:is>
      </x:c>
      <x:c r="D48" s="457" t="inlineStr">
        <x:is>
          <x:t xml:space="preserve">Équivalent USD indicatif</x:t>
        </x:is>
      </x:c>
      <x:c r="E48" s="457" t="inlineStr">
        <x:is>
          <x:t xml:space="preserve">Statut</x:t>
        </x:is>
      </x:c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25.5" customHeight="1">
      <x:c r="A49" s="161" t="inlineStr">
        <x:is>
          <x:t xml:space="preserve">5K</x:t>
        </x:is>
      </x:c>
      <x:c r="B49" s="458" t="n">
        <x:v>22500</x:v>
      </x:c>
      <x:c r="C49" s="458" t="n">
        <x:v>16900</x:v>
      </x:c>
      <x:c r="D49" s="161" t="inlineStr">
        <x:is>
          <x:t xml:space="preserve">≈ 39 USD</x:t>
        </x:is>
      </x:c>
      <x:c r="E49" s="488" t="str">
        <x:v>CANDIDATE — sandbox actif</x:v>
      </x:c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25.5" customHeight="1">
      <x:c r="A50" s="161" t="inlineStr">
        <x:is>
          <x:t xml:space="preserve">10K</x:t>
        </x:is>
      </x:c>
      <x:c r="B50" s="458" t="n">
        <x:v>39900</x:v>
      </x:c>
      <x:c r="C50" s="458" t="n">
        <x:v>34900</x:v>
      </x:c>
      <x:c r="D50" s="161" t="inlineStr">
        <x:is>
          <x:t xml:space="preserve">≈ 69 USD</x:t>
        </x:is>
      </x:c>
      <x:c r="E50" s="488" t="str">
        <x:v>CANDIDATE — sandbox actif</x:v>
      </x:c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25.5" customHeight="1">
      <x:c r="A51" s="161" t="inlineStr">
        <x:is>
          <x:t xml:space="preserve">25K</x:t>
        </x:is>
      </x:c>
      <x:c r="B51" s="458" t="n">
        <x:v>84900</x:v>
      </x:c>
      <x:c r="C51" s="458" t="n">
        <x:v>74900</x:v>
      </x:c>
      <x:c r="D51" s="161" t="inlineStr">
        <x:is>
          <x:t xml:space="preserve">≈ 148 USD</x:t>
        </x:is>
      </x:c>
      <x:c r="E51" s="488" t="str">
        <x:v>CANDIDATE — sandbox actif</x:v>
      </x:c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25.5" customHeight="1">
      <x:c r="A52" s="161" t="inlineStr">
        <x:is>
          <x:t xml:space="preserve">50K</x:t>
        </x:is>
      </x:c>
      <x:c r="B52" s="458" t="n">
        <x:v>144900</x:v>
      </x:c>
      <x:c r="C52" s="458" t="n">
        <x:v>124900</x:v>
      </x:c>
      <x:c r="D52" s="161" t="inlineStr">
        <x:is>
          <x:t xml:space="preserve">≈ 252 USD</x:t>
        </x:is>
      </x:c>
      <x:c r="E52" s="488" t="str">
        <x:v>CANDIDATE — sandbox actif</x:v>
      </x:c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25.5" customHeight="1">
      <x:c r="A53" s="161" t="inlineStr">
        <x:is>
          <x:t xml:space="preserve">100K</x:t>
        </x:is>
      </x:c>
      <x:c r="B53" s="458" t="n">
        <x:v>259900</x:v>
      </x:c>
      <x:c r="C53" s="458" t="n">
        <x:v>229900</x:v>
      </x:c>
      <x:c r="D53" s="161" t="inlineStr">
        <x:is>
          <x:t xml:space="preserve">≈ 452 USD</x:t>
        </x:is>
      </x:c>
      <x:c r="E53" s="488" t="str">
        <x:v>CANDIDATE — sandbox actif</x:v>
      </x:c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inlineStr">
        <x:is>
          <x:t xml:space="preserve">PRICE_STATUS = CANDIDATE_PENDING_ACTUARIAL_MODEL</x:t>
        </x:is>
      </x:c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inlineStr">
        <x:is>
          <x:t xml:space="preserve">Commercial currency: XOF · Settlement currency: XOF · USD equivalent: informational only.</x:t>
        </x:is>
      </x:c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:H1"/>
    <x:mergeCell ref="A41:Y41"/>
    <x:mergeCell ref="A2:H2"/>
    <x:mergeCell ref="A28:H28"/>
    <x:mergeCell ref="A5:H5"/>
  </x:mergeCells>
  <x:dataValidations count="1">
    <x:dataValidation type="list" allowBlank="0" showDropDown="0" showInputMessage="0" showErrorMessage="0" sqref="B3">
      <x:formula1>"Base,Upside,Stress"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18" customWidth="1"/>
    <x:col min="3" max="3" width="18" customWidth="1"/>
    <x:col min="4" max="4" width="42" customWidth="1"/>
  </x:cols>
  <x:sheetData>
    <x:row r="1" ht="15" customHeight="1">
      <x:c r="A1" s="404" t="inlineStr">
        <x:is>
          <x:t xml:space="preserve">WARIBA — Règles commerciales et paramètres du programme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Résumé financier du Rulebook. Le Rulebook Markdown reste la référence textuelle complète.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n"/>
      <x:c r="B3" s="157" t="n"/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405" t="inlineStr">
        <x:is>
          <x:t xml:space="preserve">A. WARIBA ONE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49" t="inlineStr">
        <x:is>
          <x:t xml:space="preserve">Paramètre</x:t>
        </x:is>
      </x:c>
      <x:c r="B5" s="149" t="inlineStr">
        <x:is>
          <x:t xml:space="preserve">Valeur</x:t>
        </x:is>
      </x:c>
      <x:c r="C5" s="149" t="inlineStr">
        <x:is>
          <x:t xml:space="preserve">Statut</x:t>
        </x:is>
      </x:c>
      <x:c r="D5" s="149" t="inlineStr">
        <x:is>
          <x:t xml:space="preserve">Effet économique</x:t>
        </x:is>
      </x:c>
      <x:c r="E5" s="157" t="n"/>
      <x:c r="F5" s="157" t="n"/>
      <x:c r="G5" s="157" t="n"/>
      <x:c r="H5" s="157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57" t="inlineStr">
        <x:is>
          <x:t xml:space="preserve">Phases</x:t>
        </x:is>
      </x:c>
      <x:c r="B6" s="157" t="n">
        <x:v>1</x:v>
      </x:c>
      <x:c r="C6" s="157" t="inlineStr">
        <x:is>
          <x:t xml:space="preserve">CANDIDATE</x:t>
        </x:is>
      </x:c>
      <x:c r="D6" s="157" t="inlineStr">
        <x:is>
          <x:t xml:space="preserve">Une seule vente et un seul passage</x:t>
        </x:is>
      </x:c>
      <x:c r="E6" s="157" t="n"/>
      <x:c r="F6" s="157" t="n"/>
      <x:c r="G6" s="157" t="n"/>
      <x:c r="H6" s="157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Target</x:t>
        </x:is>
      </x:c>
      <x:c r="B7" s="459" t="n">
        <x:v>0.08</x:v>
      </x:c>
      <x:c r="C7" s="157" t="inlineStr">
        <x:is>
          <x:t xml:space="preserve">CANDIDATE</x:t>
        </x:is>
      </x:c>
      <x:c r="D7" s="157" t="inlineStr">
        <x:is>
          <x:t xml:space="preserve">Influe sur le taux de réussite</x:t>
        </x:is>
      </x:c>
      <x:c r="E7" s="157" t="n"/>
      <x:c r="F7" s="157" t="n"/>
      <x:c r="G7" s="157" t="n"/>
      <x:c r="H7" s="157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DLL</x:t>
        </x:is>
      </x:c>
      <x:c r="B8" s="459" t="n">
        <x:v>0.04</x:v>
      </x:c>
      <x:c r="C8" s="157" t="inlineStr">
        <x:is>
          <x:t xml:space="preserve">CANDIDATE</x:t>
        </x:is>
      </x:c>
      <x:c r="D8" s="157" t="inlineStr">
        <x:is>
          <x:t xml:space="preserve">Soft lock</x:t>
        </x:is>
      </x:c>
      <x:c r="E8" s="157" t="n"/>
      <x:c r="F8" s="157" t="n"/>
      <x:c r="G8" s="157" t="n"/>
      <x:c r="H8" s="157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Maximum Loss</x:t>
        </x:is>
      </x:c>
      <x:c r="B9" s="459" t="n">
        <x:v>0.08</x:v>
      </x:c>
      <x:c r="C9" s="157" t="inlineStr">
        <x:is>
          <x:t xml:space="preserve">CANDIDATE</x:t>
        </x:is>
      </x:c>
      <x:c r="D9" s="157" t="inlineStr">
        <x:is>
          <x:t xml:space="preserve">Hard breach statique</x:t>
        </x:is>
      </x:c>
      <x:c r="E9" s="157" t="n"/>
      <x:c r="F9" s="157" t="n"/>
      <x:c r="G9" s="157" t="n"/>
      <x:c r="H9" s="157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Consistance</x:t>
        </x:is>
      </x:c>
      <x:c r="B10" s="459" t="n">
        <x:v>0.4</x:v>
      </x:c>
      <x:c r="C10" s="157" t="inlineStr">
        <x:is>
          <x:t xml:space="preserve">CANDIDATE</x:t>
        </x:is>
      </x:c>
      <x:c r="D10" s="157" t="inlineStr">
        <x:is>
          <x:t xml:space="preserve">Retarde le passage, ne breach pas</x:t>
        </x:is>
      </x:c>
      <x:c r="E10" s="157" t="n"/>
      <x:c r="F10" s="157" t="n"/>
      <x:c r="G10" s="157" t="n"/>
      <x:c r="H10" s="157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Jours minimums</x:t>
        </x:is>
      </x:c>
      <x:c r="B11" s="157" t="n">
        <x:v>4</x:v>
      </x:c>
      <x:c r="C11" s="157" t="inlineStr">
        <x:is>
          <x:t xml:space="preserve">CANDIDATE</x:t>
        </x:is>
      </x:c>
      <x:c r="D11" s="157" t="inlineStr">
        <x:is>
          <x:t xml:space="preserve">Réduit le passage instantané</x:t>
        </x:is>
      </x:c>
      <x:c r="E11" s="157" t="n"/>
      <x:c r="F11" s="157" t="n"/>
      <x:c r="G11" s="157" t="n"/>
      <x:c r="H11" s="157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Journées qualifiées</x:t>
        </x:is>
      </x:c>
      <x:c r="B12" s="157" t="n">
        <x:v>3</x:v>
      </x:c>
      <x:c r="C12" s="157" t="inlineStr">
        <x:is>
          <x:t xml:space="preserve">CANDIDATE</x:t>
        </x:is>
      </x:c>
      <x:c r="D12" s="157" t="inlineStr">
        <x:is>
          <x:t xml:space="preserve">0,20 % minimum</x:t>
        </x:is>
      </x:c>
      <x:c r="E12" s="157" t="n"/>
      <x:c r="F12" s="157" t="n"/>
      <x:c r="G12" s="157" t="n"/>
      <x:c r="H12" s="157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inlineStr">
        <x:is>
          <x:t xml:space="preserve">Minimum journée qualifiée</x:t>
        </x:is>
      </x:c>
      <x:c r="B13" s="460" t="n">
        <x:v>0.002</x:v>
      </x:c>
      <x:c r="C13" s="157" t="inlineStr">
        <x:is>
          <x:t xml:space="preserve">CANDIDATE</x:t>
        </x:is>
      </x:c>
      <x:c r="D13" s="157" t="inlineStr">
        <x:is>
          <x:t xml:space="preserve">Sur nominal</x:t>
        </x:is>
      </x:c>
      <x:c r="E13" s="157" t="n"/>
      <x:c r="F13" s="157" t="n"/>
      <x:c r="G13" s="157" t="n"/>
      <x:c r="H13" s="157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57" t="inlineStr">
        <x:is>
          <x:t xml:space="preserve">Durée</x:t>
        </x:is>
      </x:c>
      <x:c r="B14" s="157" t="inlineStr">
        <x:is>
          <x:t xml:space="preserve">Illimitée</x:t>
        </x:is>
      </x:c>
      <x:c r="C14" s="157" t="inlineStr">
        <x:is>
          <x:t xml:space="preserve">LOCKED</x:t>
        </x:is>
      </x:c>
      <x:c r="D14" s="157" t="inlineStr">
        <x:is>
          <x:t xml:space="preserve">Aucun abonnement mensuel</x:t>
        </x:is>
      </x:c>
      <x:c r="E14" s="157" t="n"/>
      <x:c r="F14" s="157" t="n"/>
      <x:c r="G14" s="157" t="n"/>
      <x:c r="H14" s="157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57" t="inlineStr">
        <x:is>
          <x:t xml:space="preserve">Frais d’activation</x:t>
        </x:is>
      </x:c>
      <x:c r="B15" s="461" t="n">
        <x:v>0</x:v>
      </x:c>
      <x:c r="C15" s="157" t="inlineStr">
        <x:is>
          <x:t xml:space="preserve">LOCKED</x:t>
        </x:is>
      </x:c>
      <x:c r="D15" s="157" t="inlineStr">
        <x:is>
          <x:t xml:space="preserve">Aucune recette secondaire</x:t>
        </x:is>
      </x:c>
      <x:c r="E15" s="157" t="n"/>
      <x:c r="F15" s="157" t="n"/>
      <x:c r="G15" s="157" t="n"/>
      <x:c r="H15" s="157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inlineStr">
        <x:is>
          <x:t xml:space="preserve">Trailing drawdown</x:t>
        </x:is>
      </x:c>
      <x:c r="B16" s="157" t="inlineStr">
        <x:is>
          <x:t xml:space="preserve">Non</x:t>
        </x:is>
      </x:c>
      <x:c r="C16" s="157" t="inlineStr">
        <x:is>
          <x:t xml:space="preserve">LOCKED</x:t>
        </x:is>
      </x:c>
      <x:c r="D16" s="157" t="inlineStr">
        <x:is>
          <x:t xml:space="preserve">Positionnement de confiance</x:t>
        </x:is>
      </x:c>
      <x:c r="E16" s="157" t="n"/>
      <x:c r="F16" s="157" t="n"/>
      <x:c r="G16" s="157" t="n"/>
      <x:c r="H16" s="157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n"/>
      <x:c r="B17" s="157" t="n"/>
      <x:c r="C17" s="157" t="n"/>
      <x:c r="D17" s="157" t="n"/>
      <x:c r="E17" s="157" t="n"/>
      <x:c r="F17" s="157" t="n"/>
      <x:c r="G17" s="157" t="n"/>
      <x:c r="H17" s="157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405" t="inlineStr">
        <x:is>
          <x:t xml:space="preserve">B. WARIBA Performance</x:t>
        </x:is>
      </x:c>
      <x:c r="B18" s="1" t="n"/>
      <x:c r="C18" s="1" t="n"/>
      <x:c r="D18" s="1" t="n"/>
      <x:c r="E18" s="1" t="n"/>
      <x:c r="F18" s="1" t="n"/>
      <x:c r="G18" s="1" t="n"/>
      <x:c r="H18" s="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49" t="inlineStr">
        <x:is>
          <x:t xml:space="preserve">Paramètre</x:t>
        </x:is>
      </x:c>
      <x:c r="B19" s="149" t="inlineStr">
        <x:is>
          <x:t xml:space="preserve">Valeur</x:t>
        </x:is>
      </x:c>
      <x:c r="C19" s="149" t="inlineStr">
        <x:is>
          <x:t xml:space="preserve">Statut</x:t>
        </x:is>
      </x:c>
      <x:c r="D19" s="149" t="inlineStr">
        <x:is>
          <x:t xml:space="preserve">Effet économique</x:t>
        </x:is>
      </x:c>
      <x:c r="E19" s="157" t="n"/>
      <x:c r="F19" s="157" t="n"/>
      <x:c r="G19" s="157" t="n"/>
      <x:c r="H19" s="157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Nature</x:t>
        </x:is>
      </x:c>
      <x:c r="B20" s="157" t="inlineStr">
        <x:is>
          <x:t xml:space="preserve">Simulé</x:t>
        </x:is>
      </x:c>
      <x:c r="C20" s="157" t="inlineStr">
        <x:is>
          <x:t xml:space="preserve">LOCKED</x:t>
        </x:is>
      </x:c>
      <x:c r="D20" s="157" t="inlineStr">
        <x:is>
          <x:t xml:space="preserve">Aucun capital réel au lancement</x:t>
        </x:is>
      </x:c>
      <x:c r="E20" s="157" t="n"/>
      <x:c r="F20" s="157" t="n"/>
      <x:c r="G20" s="157" t="n"/>
      <x:c r="H20" s="157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DLL</x:t>
        </x:is>
      </x:c>
      <x:c r="B21" s="459" t="n">
        <x:v>0.03</x:v>
      </x:c>
      <x:c r="C21" s="157" t="inlineStr">
        <x:is>
          <x:t xml:space="preserve">CANDIDATE</x:t>
        </x:is>
      </x:c>
      <x:c r="D21" s="157" t="inlineStr">
        <x:is>
          <x:t xml:space="preserve">Soft lock</x:t>
        </x:is>
      </x:c>
      <x:c r="E21" s="157" t="n"/>
      <x:c r="F21" s="157" t="n"/>
      <x:c r="G21" s="157" t="n"/>
      <x:c r="H21" s="157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Maximum Loss</x:t>
        </x:is>
      </x:c>
      <x:c r="B22" s="459" t="n">
        <x:v>0.06</x:v>
      </x:c>
      <x:c r="C22" s="157" t="inlineStr">
        <x:is>
          <x:t xml:space="preserve">CANDIDATE</x:t>
        </x:is>
      </x:c>
      <x:c r="D22" s="157" t="inlineStr">
        <x:is>
          <x:t xml:space="preserve">Hard breach statique</x:t>
        </x:is>
      </x:c>
      <x:c r="E22" s="157" t="n"/>
      <x:c r="F22" s="157" t="n"/>
      <x:c r="G22" s="157" t="n"/>
      <x:c r="H22" s="157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inlineStr">
        <x:is>
          <x:t xml:space="preserve">Consistance</x:t>
        </x:is>
      </x:c>
      <x:c r="B23" s="459" t="n">
        <x:v>0.4</x:v>
      </x:c>
      <x:c r="C23" s="157" t="inlineStr">
        <x:is>
          <x:t xml:space="preserve">CANDIDATE</x:t>
        </x:is>
      </x:c>
      <x:c r="D23" s="157" t="inlineStr">
        <x:is>
          <x:t xml:space="preserve">Par cycle</x:t>
        </x:is>
      </x:c>
      <x:c r="E23" s="157" t="n"/>
      <x:c r="F23" s="157" t="n"/>
      <x:c r="G23" s="157" t="n"/>
      <x:c r="H23" s="157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57" t="inlineStr">
        <x:is>
          <x:t xml:space="preserve">Journées qualifiées</x:t>
        </x:is>
      </x:c>
      <x:c r="B24" s="157" t="n">
        <x:v>5</x:v>
      </x:c>
      <x:c r="C24" s="157" t="inlineStr">
        <x:is>
          <x:t xml:space="preserve">CANDIDATE</x:t>
        </x:is>
      </x:c>
      <x:c r="D24" s="157" t="inlineStr">
        <x:is>
          <x:t xml:space="preserve">Par cycle</x:t>
        </x:is>
      </x:c>
      <x:c r="E24" s="157" t="n"/>
      <x:c r="F24" s="157" t="n"/>
      <x:c r="G24" s="157" t="n"/>
      <x:c r="H24" s="157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57" t="inlineStr">
        <x:is>
          <x:t xml:space="preserve">Minimum journée qualifiée</x:t>
        </x:is>
      </x:c>
      <x:c r="B25" s="459" t="n">
        <x:v>0.003</x:v>
      </x:c>
      <x:c r="C25" s="157" t="inlineStr">
        <x:is>
          <x:t xml:space="preserve">CANDIDATE</x:t>
        </x:is>
      </x:c>
      <x:c r="D25" s="157" t="inlineStr">
        <x:is>
          <x:t xml:space="preserve">Sur nominal</x:t>
        </x:is>
      </x:c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inlineStr">
        <x:is>
          <x:t xml:space="preserve">Threshold payout #1</x:t>
        </x:is>
      </x:c>
      <x:c r="B26" s="459" t="n">
        <x:v>0.04</x:v>
      </x:c>
      <x:c r="C26" s="157" t="inlineStr">
        <x:is>
          <x:t xml:space="preserve">CANDIDATE</x:t>
        </x:is>
      </x:c>
      <x:c r="D26" s="157" t="inlineStr">
        <x:is>
          <x:t xml:space="preserve">Premier cycle plus exigeant</x:t>
        </x:is>
      </x:c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inlineStr">
        <x:is>
          <x:t xml:space="preserve">Threshold payout #2–#5</x:t>
        </x:is>
      </x:c>
      <x:c r="B27" s="459" t="n">
        <x:v>0.03</x:v>
      </x:c>
      <x:c r="C27" s="157" t="inlineStr">
        <x:is>
          <x:t xml:space="preserve">CANDIDATE</x:t>
        </x:is>
      </x:c>
      <x:c r="D27" s="157" t="inlineStr">
        <x:is>
          <x:t xml:space="preserve">Nouveau profit par cycle</x:t>
        </x:is>
      </x:c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57" t="inlineStr">
        <x:is>
          <x:t xml:space="preserve">Maximum distribuable</x:t>
        </x:is>
      </x:c>
      <x:c r="B28" s="459" t="n">
        <x:v>0.5</x:v>
      </x:c>
      <x:c r="C28" s="157" t="inlineStr">
        <x:is>
          <x:t xml:space="preserve">CANDIDATE</x:t>
        </x:is>
      </x:c>
      <x:c r="D28" s="157" t="inlineStr">
        <x:is>
          <x:t xml:space="preserve">Du profit net du cycle</x:t>
        </x:is>
      </x:c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57" t="inlineStr">
        <x:is>
          <x:t xml:space="preserve">Split #1–#4</x:t>
        </x:is>
      </x:c>
      <x:c r="B29" s="459" t="n">
        <x:v>0.8</x:v>
      </x:c>
      <x:c r="C29" s="157" t="inlineStr">
        <x:is>
          <x:t xml:space="preserve">CANDIDATE</x:t>
        </x:is>
      </x:c>
      <x:c r="D29" s="157" t="inlineStr">
        <x:is>
          <x:t xml:space="preserve">Trader cash</x:t>
        </x:is>
      </x:c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inlineStr">
        <x:is>
          <x:t xml:space="preserve">Split #5</x:t>
        </x:is>
      </x:c>
      <x:c r="B30" s="459" t="n">
        <x:v>0.9</x:v>
      </x:c>
      <x:c r="C30" s="157" t="inlineStr">
        <x:is>
          <x:t xml:space="preserve">CANDIDATE</x:t>
        </x:is>
      </x:c>
      <x:c r="D30" s="157" t="inlineStr">
        <x:is>
          <x:t xml:space="preserve">Trader cash</x:t>
        </x:is>
      </x:c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57" t="inlineStr">
        <x:is>
          <x:t xml:space="preserve">Cycles avant Review</x:t>
        </x:is>
      </x:c>
      <x:c r="B31" s="157" t="n">
        <x:v>5</x:v>
      </x:c>
      <x:c r="C31" s="157" t="inlineStr">
        <x:is>
          <x:t xml:space="preserve">CANDIDATE</x:t>
        </x:is>
      </x:c>
      <x:c r="D31" s="157" t="inlineStr">
        <x:is>
          <x:t xml:space="preserve">Aucun Live garanti</x:t>
        </x:is>
      </x:c>
      <x:c r="E31" s="157" t="n"/>
      <x:c r="F31" s="157" t="n"/>
      <x:c r="G31" s="157" t="n"/>
      <x:c r="H31" s="157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57" t="n"/>
      <x:c r="B32" s="157" t="n"/>
      <x:c r="C32" s="157" t="n"/>
      <x:c r="D32" s="157" t="n"/>
      <x:c r="E32" s="157" t="n"/>
      <x:c r="F32" s="157" t="n"/>
      <x:c r="G32" s="157" t="n"/>
      <x:c r="H32" s="157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57" t="n"/>
      <x:c r="B33" s="157" t="n"/>
      <x:c r="C33" s="157" t="n"/>
      <x:c r="D33" s="157" t="n"/>
      <x:c r="E33" s="157" t="n"/>
      <x:c r="F33" s="157" t="n"/>
      <x:c r="G33" s="157" t="n"/>
      <x:c r="H33" s="157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57" t="n"/>
      <x:c r="B34" s="157" t="n"/>
      <x:c r="C34" s="157" t="n"/>
      <x:c r="D34" s="157" t="n"/>
      <x:c r="E34" s="157" t="n"/>
      <x:c r="F34" s="157" t="n"/>
      <x:c r="G34" s="157" t="n"/>
      <x:c r="H34" s="157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405" t="inlineStr">
        <x:is>
          <x:t xml:space="preserve">C. Instruments V1</x:t>
        </x:is>
      </x:c>
      <x:c r="B35" s="1" t="n"/>
      <x:c r="C35" s="1" t="n"/>
      <x:c r="D35" s="1" t="n"/>
      <x:c r="E35" s="1" t="n"/>
      <x:c r="F35" s="1" t="n"/>
      <x:c r="G35" s="1" t="n"/>
      <x:c r="H35" s="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49" t="inlineStr">
        <x:is>
          <x:t xml:space="preserve">Symbole</x:t>
        </x:is>
      </x:c>
      <x:c r="B36" s="149" t="inlineStr">
        <x:is>
          <x:t xml:space="preserve">Classe</x:t>
        </x:is>
      </x:c>
      <x:c r="C36" s="149" t="inlineStr">
        <x:is>
          <x:t xml:space="preserve">Levier ONE</x:t>
        </x:is>
      </x:c>
      <x:c r="D36" s="149" t="inlineStr">
        <x:is>
          <x:t xml:space="preserve">Levier Performance</x:t>
        </x:is>
      </x:c>
      <x:c r="E36" s="157" t="n"/>
      <x:c r="F36" s="157" t="n"/>
      <x:c r="G36" s="157" t="n"/>
      <x:c r="H36" s="157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57" t="inlineStr">
        <x:is>
          <x:t xml:space="preserve">EURUSD</x:t>
        </x:is>
      </x:c>
      <x:c r="B37" s="157" t="inlineStr">
        <x:is>
          <x:t xml:space="preserve">Forex majeur</x:t>
        </x:is>
      </x:c>
      <x:c r="C37" s="157" t="inlineStr">
        <x:is>
          <x:t xml:space="preserve">1:50</x:t>
        </x:is>
      </x:c>
      <x:c r="D37" s="157" t="inlineStr">
        <x:is>
          <x:t xml:space="preserve">1:30</x:t>
        </x:is>
      </x:c>
      <x:c r="E37" s="157" t="n"/>
      <x:c r="F37" s="157" t="n"/>
      <x:c r="G37" s="157" t="n"/>
      <x:c r="H37" s="157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57" t="inlineStr">
        <x:is>
          <x:t xml:space="preserve">GBPUSD</x:t>
        </x:is>
      </x:c>
      <x:c r="B38" s="157" t="inlineStr">
        <x:is>
          <x:t xml:space="preserve">Forex majeur</x:t>
        </x:is>
      </x:c>
      <x:c r="C38" s="157" t="inlineStr">
        <x:is>
          <x:t xml:space="preserve">1:50</x:t>
        </x:is>
      </x:c>
      <x:c r="D38" s="157" t="inlineStr">
        <x:is>
          <x:t xml:space="preserve">1:30</x:t>
        </x:is>
      </x:c>
      <x:c r="E38" s="157" t="n"/>
      <x:c r="F38" s="157" t="n"/>
      <x:c r="G38" s="157" t="n"/>
      <x:c r="H38" s="157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57" t="inlineStr">
        <x:is>
          <x:t xml:space="preserve">USDJPY</x:t>
        </x:is>
      </x:c>
      <x:c r="B39" s="157" t="inlineStr">
        <x:is>
          <x:t xml:space="preserve">Forex majeur</x:t>
        </x:is>
      </x:c>
      <x:c r="C39" s="157" t="inlineStr">
        <x:is>
          <x:t xml:space="preserve">1:50</x:t>
        </x:is>
      </x:c>
      <x:c r="D39" s="157" t="inlineStr">
        <x:is>
          <x:t xml:space="preserve">1:30</x:t>
        </x:is>
      </x:c>
      <x:c r="E39" s="157" t="n"/>
      <x:c r="F39" s="157" t="n"/>
      <x:c r="G39" s="157" t="n"/>
      <x:c r="H39" s="157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57" t="inlineStr">
        <x:is>
          <x:t xml:space="preserve">XAUUSD</x:t>
        </x:is>
      </x:c>
      <x:c r="B40" s="157" t="inlineStr">
        <x:is>
          <x:t xml:space="preserve">Or</x:t>
        </x:is>
      </x:c>
      <x:c r="C40" s="157" t="inlineStr">
        <x:is>
          <x:t xml:space="preserve">1:20</x:t>
        </x:is>
      </x:c>
      <x:c r="D40" s="157" t="inlineStr">
        <x:is>
          <x:t xml:space="preserve">1:10</x:t>
        </x:is>
      </x:c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57" t="inlineStr">
        <x:is>
          <x:t xml:space="preserve">NAS100</x:t>
        </x:is>
      </x:c>
      <x:c r="B41" s="157" t="inlineStr">
        <x:is>
          <x:t xml:space="preserve">Indice</x:t>
        </x:is>
      </x:c>
      <x:c r="C41" s="157" t="inlineStr">
        <x:is>
          <x:t xml:space="preserve">1:20</x:t>
        </x:is>
      </x:c>
      <x:c r="D41" s="157" t="inlineStr">
        <x:is>
          <x:t xml:space="preserve">1:10</x:t>
        </x:is>
      </x:c>
      <x:c r="E41" s="157" t="n"/>
      <x:c r="F41" s="157" t="n"/>
      <x:c r="G41" s="157" t="n"/>
      <x:c r="H41" s="157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57" t="n"/>
      <x:c r="B42" s="157" t="n"/>
      <x:c r="C42" s="157" t="n"/>
      <x:c r="D42" s="157" t="n"/>
      <x:c r="E42" s="157" t="n"/>
      <x:c r="F42" s="157" t="n"/>
      <x:c r="G42" s="157" t="n"/>
      <x:c r="H42" s="157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57" t="n"/>
      <x:c r="B43" s="157" t="n"/>
      <x:c r="C43" s="157" t="n"/>
      <x:c r="D43" s="157" t="n"/>
      <x:c r="E43" s="157" t="n"/>
      <x:c r="F43" s="157" t="n"/>
      <x:c r="G43" s="157" t="n"/>
      <x:c r="H43" s="157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57" t="n"/>
      <x:c r="B44" s="157" t="n"/>
      <x:c r="C44" s="157" t="n"/>
      <x:c r="D44" s="157" t="n"/>
      <x:c r="E44" s="157" t="n"/>
      <x:c r="F44" s="157" t="n"/>
      <x:c r="G44" s="157" t="n"/>
      <x:c r="H44" s="157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57" t="n"/>
      <x:c r="B45" s="157" t="n"/>
      <x:c r="C45" s="157" t="n"/>
      <x:c r="D45" s="157" t="n"/>
      <x:c r="E45" s="157" t="n"/>
      <x:c r="F45" s="157" t="n"/>
      <x:c r="G45" s="157" t="n"/>
      <x:c r="H45" s="157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57" t="n"/>
      <x:c r="B46" s="157" t="n"/>
      <x:c r="C46" s="157" t="n"/>
      <x:c r="D46" s="157" t="n"/>
      <x:c r="E46" s="157" t="n"/>
      <x:c r="F46" s="157" t="n"/>
      <x:c r="G46" s="157" t="n"/>
      <x:c r="H46" s="157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57" t="n"/>
      <x:c r="B47" s="157" t="n"/>
      <x:c r="C47" s="157" t="n"/>
      <x:c r="D47" s="157" t="n"/>
      <x:c r="E47" s="157" t="n"/>
      <x:c r="F47" s="157" t="n"/>
      <x:c r="G47" s="157" t="n"/>
      <x:c r="H47" s="157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57" t="n"/>
      <x:c r="B48" s="157" t="n"/>
      <x:c r="C48" s="157" t="n"/>
      <x:c r="D48" s="157" t="n"/>
      <x:c r="E48" s="157" t="n"/>
      <x:c r="F48" s="157" t="n"/>
      <x:c r="G48" s="157" t="n"/>
      <x:c r="H48" s="157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57" t="n"/>
      <x:c r="B49" s="157" t="n"/>
      <x:c r="C49" s="157" t="n"/>
      <x:c r="D49" s="157" t="n"/>
      <x:c r="E49" s="157" t="n"/>
      <x:c r="F49" s="157" t="n"/>
      <x:c r="G49" s="157" t="n"/>
      <x:c r="H49" s="157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57" t="n"/>
      <x:c r="B50" s="157" t="n"/>
      <x:c r="C50" s="157" t="n"/>
      <x:c r="D50" s="157" t="n"/>
      <x:c r="E50" s="157" t="n"/>
      <x:c r="F50" s="157" t="n"/>
      <x:c r="G50" s="157" t="n"/>
      <x:c r="H50" s="157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8:H18"/>
    <x:mergeCell ref="A4:H4"/>
    <x:mergeCell ref="A35:H35"/>
    <x:mergeCell ref="A2:H2"/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5" customWidth="1"/>
    <x:col min="2" max="2" width="18" customWidth="1"/>
    <x:col min="3" max="3" width="18" customWidth="1"/>
    <x:col min="4" max="4" width="16" customWidth="1"/>
    <x:col min="5" max="5" width="16" customWidth="1"/>
    <x:col min="6" max="6" width="30" customWidth="1"/>
    <x:col min="7" max="7" width="16" customWidth="1"/>
  </x:cols>
  <x:sheetData>
    <x:row r="1" ht="15" customHeight="1">
      <x:c r="A1" s="401" t="inlineStr">
        <x:is>
          <x:t xml:space="preserve">WARIBA — Économie unitaire par achat</x:t>
        </x:is>
      </x:c>
      <x:c r="B1" s="1" t="n"/>
      <x:c r="C1" s="1" t="n"/>
      <x:c r="D1" s="1" t="n"/>
      <x:c r="E1" s="1" t="n"/>
      <x:c r="F1" s="1" t="n"/>
      <x:c r="G1" s="1" t="n"/>
      <x:c r="H1" s="16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1" t="n"/>
      <x:c r="B2" s="161" t="n"/>
      <x:c r="C2" s="161" t="n"/>
      <x:c r="D2" s="161" t="n"/>
      <x:c r="E2" s="161" t="n"/>
      <x:c r="F2" s="161" t="n"/>
      <x:c r="G2" s="161" t="n"/>
      <x:c r="H2" s="16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inlineStr">
        <x:is>
          <x:t xml:space="preserve">Scénario actif</x:t>
        </x:is>
      </x:c>
      <x:c r="B3" s="288" t="str">
        <x:f>'Hypothèses'!B3</x:f>
        <x:v>Base</x:v>
      </x:c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1" t="n"/>
      <x:c r="B4" s="161" t="n"/>
      <x:c r="C4" s="161" t="n"/>
      <x:c r="D4" s="161" t="n"/>
      <x:c r="E4" s="161" t="n"/>
      <x:c r="F4" s="161" t="n"/>
      <x:c r="G4" s="161" t="n"/>
      <x:c r="H4" s="16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8" t="inlineStr">
        <x:is>
          <x:t xml:space="preserve">A. Revenu et coûts variables</x:t>
        </x:is>
      </x:c>
      <x:c r="B5" s="1" t="n"/>
      <x:c r="C5" s="1" t="n"/>
      <x:c r="D5" s="1" t="n"/>
      <x:c r="E5" s="1" t="n"/>
      <x:c r="F5" s="1" t="n"/>
      <x:c r="G5" s="1" t="n"/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4" t="inlineStr">
        <x:is>
          <x:t xml:space="preserve">Métrique</x:t>
        </x:is>
      </x:c>
      <x:c r="B6" s="164" t="inlineStr">
        <x:is>
          <x:t xml:space="preserve">Montant (FCFA)</x:t>
        </x:is>
      </x:c>
      <x:c r="C6" s="164" t="inlineStr">
        <x:is>
          <x:t xml:space="preserve">% prix moyen</x:t>
        </x:is>
      </x:c>
      <x:c r="D6" s="164" t="inlineStr">
        <x:is>
          <x:t xml:space="preserve">Nature</x:t>
        </x:is>
      </x:c>
      <x:c r="E6" s="164" t="inlineStr">
        <x:is>
          <x:t xml:space="preserve">Source</x:t>
        </x:is>
      </x:c>
      <x:c r="F6" s="164" t="inlineStr">
        <x:is>
          <x:t xml:space="preserve">Lecture</x:t>
        </x:is>
      </x:c>
      <x:c r="G6" s="164" t="inlineStr">
        <x:is>
          <x:t xml:space="preserve">Statut</x:t>
        </x:is>
      </x:c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Prix moyen pondéré</x:t>
        </x:is>
      </x:c>
      <x:c r="B7" s="462" t="n">
        <x:f>SUMPRODUCT('Hypothèses'!B30:B32,'Hypothèses'!C30:C32)</x:f>
        <x:v>36570</x:v>
      </x:c>
      <x:c r="C7" s="463" t="n">
        <x:f>B7/B7</x:f>
        <x:v>1</x:v>
      </x:c>
      <x:c r="D7" s="161" t="inlineStr">
        <x:is>
          <x:t xml:space="preserve">Revenu</x:t>
        </x:is>
      </x:c>
      <x:c r="E7" s="161" t="inlineStr">
        <x:is>
          <x:t xml:space="preserve">Offre</x:t>
        </x:is>
      </x:c>
      <x:c r="F7" s="161" t="inlineStr">
        <x:is>
          <x:t xml:space="preserve">Prix moyen par achat</x:t>
        </x:is>
      </x:c>
      <x:c r="G7" s="161" t="inlineStr">
        <x:is>
          <x:t xml:space="preserve">Calculé</x:t>
        </x:is>
      </x:c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Remboursements / chargebacks</x:t>
        </x:is>
      </x:c>
      <x:c r="B8" s="462" t="n">
        <x:f>-B7*'Hypothèses'!B14</x:f>
        <x:v>-548.55</x:v>
      </x:c>
      <x:c r="C8" s="463" t="n">
        <x:f>-B8/B7</x:f>
        <x:v>0.015</x:v>
      </x:c>
      <x:c r="D8" s="161" t="inlineStr">
        <x:is>
          <x:t xml:space="preserve">Coût</x:t>
        </x:is>
      </x:c>
      <x:c r="E8" s="161" t="inlineStr">
        <x:is>
          <x:t xml:space="preserve">Hypothèses</x:t>
        </x:is>
      </x:c>
      <x:c r="F8" s="161" t="str"/>
      <x:c r="G8" s="161" t="inlineStr">
        <x:is>
          <x:t xml:space="preserve">Calculé</x:t>
        </x:is>
      </x:c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Frais PSP</x:t>
        </x:is>
      </x:c>
      <x:c r="B9" s="462" t="n">
        <x:f>-((B7+B8)*'Hypothèses'!B15)</x:f>
        <x:v>-1260.75075</x:v>
      </x:c>
      <x:c r="C9" s="463" t="n">
        <x:f>-B9/B7</x:f>
        <x:v>0.034475</x:v>
      </x:c>
      <x:c r="D9" s="161" t="inlineStr">
        <x:is>
          <x:t xml:space="preserve">Coût</x:t>
        </x:is>
      </x:c>
      <x:c r="E9" s="161" t="inlineStr">
        <x:is>
          <x:t xml:space="preserve">Hypothèses</x:t>
        </x:is>
      </x:c>
      <x:c r="F9" s="161" t="str"/>
      <x:c r="G9" s="161" t="inlineStr">
        <x:is>
          <x:t xml:space="preserve">Calculé</x:t>
        </x:is>
      </x:c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Provision fiscale</x:t>
        </x:is>
      </x:c>
      <x:c r="B10" s="462" t="n">
        <x:f>-B7*'Hypothèses'!B25</x:f>
        <x:v>0</x:v>
      </x:c>
      <x:c r="C10" s="463" t="n">
        <x:f>-B10/B7</x:f>
        <x:v>0</x:v>
      </x:c>
      <x:c r="D10" s="161" t="inlineStr">
        <x:is>
          <x:t xml:space="preserve">Provision</x:t>
        </x:is>
      </x:c>
      <x:c r="E10" s="161" t="inlineStr">
        <x:is>
          <x:t xml:space="preserve">Hypothèses</x:t>
        </x:is>
      </x:c>
      <x:c r="F10" s="161" t="inlineStr">
        <x:is>
          <x:t xml:space="preserve">À confirmer</x:t>
        </x:is>
      </x:c>
      <x:c r="G10" s="161" t="inlineStr">
        <x:is>
          <x:t xml:space="preserve">OPEN</x:t>
        </x:is>
      </x:c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CAC</x:t>
        </x:is>
      </x:c>
      <x:c r="B11" s="462" t="n">
        <x:f>-'Hypothèses'!B16</x:f>
        <x:v>-4500</x:v>
      </x:c>
      <x:c r="C11" s="463" t="n">
        <x:f>-B11/B7</x:f>
        <x:v>0.12305168170631665</x:v>
      </x:c>
      <x:c r="D11" s="161" t="inlineStr">
        <x:is>
          <x:t xml:space="preserve">Coût</x:t>
        </x:is>
      </x:c>
      <x:c r="E11" s="161" t="inlineStr">
        <x:is>
          <x:t xml:space="preserve">Hypothèses</x:t>
        </x:is>
      </x:c>
      <x:c r="F11" s="161" t="str"/>
      <x:c r="G11" s="161" t="inlineStr">
        <x:is>
          <x:t xml:space="preserve">Calculé</x:t>
        </x:is>
      </x:c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Support variable</x:t>
        </x:is>
      </x:c>
      <x:c r="B12" s="462" t="n">
        <x:f>-'Hypothèses'!B17</x:f>
        <x:v>-700</x:v>
      </x:c>
      <x:c r="C12" s="463" t="n">
        <x:f>-B12/B7</x:f>
        <x:v>0.019141372709871478</x:v>
      </x:c>
      <x:c r="D12" s="161" t="inlineStr">
        <x:is>
          <x:t xml:space="preserve">Coût</x:t>
        </x:is>
      </x:c>
      <x:c r="E12" s="161" t="inlineStr">
        <x:is>
          <x:t xml:space="preserve">Hypothèses</x:t>
        </x:is>
      </x:c>
      <x:c r="F12" s="161" t="str"/>
      <x:c r="G12" s="161" t="inlineStr">
        <x:is>
          <x:t xml:space="preserve">Calculé</x:t>
        </x:is>
      </x:c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inlineStr">
        <x:is>
          <x:t xml:space="preserve">KYC / contrôle attendu</x:t>
        </x:is>
      </x:c>
      <x:c r="B13" s="462" t="n">
        <x:f>-'Hypothèses'!B7*'Hypothèses'!B18</x:f>
        <x:v>-160</x:v>
      </x:c>
      <x:c r="C13" s="463" t="n">
        <x:f>-B13/B7</x:f>
        <x:v>0.004375170905113481</x:v>
      </x:c>
      <x:c r="D13" s="161" t="inlineStr">
        <x:is>
          <x:t xml:space="preserve">Coût</x:t>
        </x:is>
      </x:c>
      <x:c r="E13" s="161" t="inlineStr">
        <x:is>
          <x:t xml:space="preserve">Hypothèses</x:t>
        </x:is>
      </x:c>
      <x:c r="F13" s="161" t="inlineStr">
        <x:is>
          <x:t xml:space="preserve">Pass rate × coût KYC</x:t>
        </x:is>
      </x:c>
      <x:c r="G13" s="161" t="inlineStr">
        <x:is>
          <x:t xml:space="preserve">Calculé</x:t>
        </x:is>
      </x:c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inlineStr">
        <x:is>
          <x:t xml:space="preserve">Fraude / paiement</x:t>
        </x:is>
      </x:c>
      <x:c r="B14" s="462" t="n">
        <x:f>-B7*'Hypothèses'!B20</x:f>
        <x:v>-182.85</x:v>
      </x:c>
      <x:c r="C14" s="463" t="n">
        <x:f>-B14/B7</x:f>
        <x:v>0.005</x:v>
      </x:c>
      <x:c r="D14" s="161" t="inlineStr">
        <x:is>
          <x:t xml:space="preserve">Coût</x:t>
        </x:is>
      </x:c>
      <x:c r="E14" s="161" t="inlineStr">
        <x:is>
          <x:t xml:space="preserve">Hypothèses</x:t>
        </x:is>
      </x:c>
      <x:c r="F14" s="161" t="str"/>
      <x:c r="G14" s="161" t="inlineStr">
        <x:is>
          <x:t xml:space="preserve">Calculé</x:t>
        </x:is>
      </x:c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inlineStr">
        <x:is>
          <x:t xml:space="preserve">Affiliation</x:t>
        </x:is>
      </x:c>
      <x:c r="B15" s="462" t="n">
        <x:f>-B7*'Hypothèses'!B21</x:f>
        <x:v>0</x:v>
      </x:c>
      <x:c r="C15" s="463" t="n">
        <x:f>-B15/B7</x:f>
        <x:v>0</x:v>
      </x:c>
      <x:c r="D15" s="161" t="inlineStr">
        <x:is>
          <x:t xml:space="preserve">Coût</x:t>
        </x:is>
      </x:c>
      <x:c r="E15" s="161" t="inlineStr">
        <x:is>
          <x:t xml:space="preserve">Hypothèses</x:t>
        </x:is>
      </x:c>
      <x:c r="F15" s="161" t="inlineStr">
        <x:is>
          <x:t xml:space="preserve">0 % en V1</x:t>
        </x:is>
      </x:c>
      <x:c r="G15" s="161" t="inlineStr">
        <x:is>
          <x:t xml:space="preserve">Calculé</x:t>
        </x:is>
      </x:c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n"/>
      <x:c r="B16" s="161" t="n"/>
      <x:c r="C16" s="161" t="n"/>
      <x:c r="D16" s="161" t="n"/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289" t="inlineStr">
        <x:is>
          <x:t xml:space="preserve">Encaissement / contribution avant payouts</x:t>
        </x:is>
      </x:c>
      <x:c r="B17" s="464" t="n">
        <x:f>SUM(B7:B15)</x:f>
        <x:v>29217.84925</x:v>
      </x:c>
      <x:c r="C17" s="465" t="n">
        <x:f>B17/B7</x:f>
        <x:v>0.7989567746786984</x:v>
      </x:c>
      <x:c r="D17" s="289" t="str"/>
      <x:c r="E17" s="289" t="str"/>
      <x:c r="F17" s="289" t="str"/>
      <x:c r="G17" s="289" t="str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n"/>
      <x:c r="B18" s="161" t="n"/>
      <x:c r="C18" s="161" t="n"/>
      <x:c r="D18" s="161" t="n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n"/>
      <x:c r="B19" s="161" t="n"/>
      <x:c r="C19" s="161" t="n"/>
      <x:c r="D19" s="161" t="n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8" t="inlineStr">
        <x:is>
          <x:t xml:space="preserve">B. Probabilités et coût attendu des payouts</x:t>
        </x:is>
      </x:c>
      <x:c r="B20" s="1" t="n"/>
      <x:c r="C20" s="1" t="n"/>
      <x:c r="D20" s="1" t="n"/>
      <x:c r="E20" s="1" t="n"/>
      <x:c r="F20" s="1" t="n"/>
      <x:c r="G20" s="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4" t="inlineStr">
        <x:is>
          <x:t xml:space="preserve">Cycle</x:t>
        </x:is>
      </x:c>
      <x:c r="B21" s="164" t="inlineStr">
        <x:is>
          <x:t xml:space="preserve">Probabilité par achat</x:t>
        </x:is>
      </x:c>
      <x:c r="C21" s="164" t="inlineStr">
        <x:is>
          <x:t xml:space="preserve">Cap moyen (FCFA)</x:t>
        </x:is>
      </x:c>
      <x:c r="D21" s="164" t="inlineStr">
        <x:is>
          <x:t xml:space="preserve">Utilisation</x:t>
        </x:is>
      </x:c>
      <x:c r="E21" s="164" t="inlineStr">
        <x:is>
          <x:t xml:space="preserve">Split trader</x:t>
        </x:is>
      </x:c>
      <x:c r="F21" s="164" t="inlineStr">
        <x:is>
          <x:t xml:space="preserve">Cash payout / achat</x:t>
        </x:is>
      </x:c>
      <x:c r="G21" s="164" t="inlineStr">
        <x:is>
          <x:t xml:space="preserve">Lag</x:t>
        </x:is>
      </x:c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Payout #1</x:t>
        </x:is>
      </x:c>
      <x:c r="B22" s="463" t="n">
        <x:f>'Hypothèses'!B7*'Hypothèses'!B8</x:f>
        <x:v>0.027999999999999997</x:v>
      </x:c>
      <x:c r="C22" s="462" t="n">
        <x:f>SUMPRODUCT('Hypothèses'!C30:C32,'Hypothèses'!E30:E32)*'Hypothèses'!B35</x:f>
        <x:v>105000</x:v>
      </x:c>
      <x:c r="D22" s="463" t="n">
        <x:f>'Hypothèses'!B13</x:f>
        <x:v>0.7</x:v>
      </x:c>
      <x:c r="E22" s="466" t="n">
        <x:v>0.8</x:v>
      </x:c>
      <x:c r="F22" s="467" t="n">
        <x:f>B22*C22*D22*E22*(1+'Hypothèses'!B19)</x:f>
        <x:v>1679.3279999999997</x:v>
      </x:c>
      <x:c r="G22" s="468" t="n">
        <x:v>2</x:v>
      </x:c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Payout #2</x:t>
        </x:is>
      </x:c>
      <x:c r="B23" s="463" t="n">
        <x:f>B22*'Hypothèses'!B9</x:f>
        <x:v>0.0154</x:v>
      </x:c>
      <x:c r="C23" s="462" t="n">
        <x:f>SUMPRODUCT('Hypothèses'!C30:C32,'Hypothèses'!E30:E32)*'Hypothèses'!B35</x:f>
        <x:v>105000</x:v>
      </x:c>
      <x:c r="D23" s="463" t="n">
        <x:f>'Hypothèses'!B13</x:f>
        <x:v>0.7</x:v>
      </x:c>
      <x:c r="E23" s="466" t="n">
        <x:v>0.8</x:v>
      </x:c>
      <x:c r="F23" s="467" t="n">
        <x:f>B23*C23*D23*E23*(1+'Hypothèses'!B19)</x:f>
        <x:v>923.6304</x:v>
      </x:c>
      <x:c r="G23" s="468" t="n">
        <x:v>3</x:v>
      </x:c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Payout #3</x:t>
        </x:is>
      </x:c>
      <x:c r="B24" s="463" t="n">
        <x:f>B23*'Hypothèses'!B10</x:f>
        <x:v>0.0077</x:v>
      </x:c>
      <x:c r="C24" s="462" t="n">
        <x:f>SUMPRODUCT('Hypothèses'!C30:C32,'Hypothèses'!F30:F32)*'Hypothèses'!B35</x:f>
        <x:v>157500</x:v>
      </x:c>
      <x:c r="D24" s="463" t="n">
        <x:f>'Hypothèses'!B13</x:f>
        <x:v>0.7</x:v>
      </x:c>
      <x:c r="E24" s="466" t="n">
        <x:v>0.8</x:v>
      </x:c>
      <x:c r="F24" s="467" t="n">
        <x:f>B24*C24*D24*E24*(1+'Hypothèses'!B19)</x:f>
        <x:v>692.7228</x:v>
      </x:c>
      <x:c r="G24" s="468" t="n">
        <x:v>4</x:v>
      </x:c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Payout #4</x:t>
        </x:is>
      </x:c>
      <x:c r="B25" s="463" t="n">
        <x:f>B24*'Hypothèses'!B11</x:f>
        <x:v>0.003465</x:v>
      </x:c>
      <x:c r="C25" s="462" t="n">
        <x:f>SUMPRODUCT('Hypothèses'!C30:C32,'Hypothèses'!F30:F32)*'Hypothèses'!B35</x:f>
        <x:v>157500</x:v>
      </x:c>
      <x:c r="D25" s="463" t="n">
        <x:f>'Hypothèses'!B13</x:f>
        <x:v>0.7</x:v>
      </x:c>
      <x:c r="E25" s="466" t="n">
        <x:v>0.8</x:v>
      </x:c>
      <x:c r="F25" s="467" t="n">
        <x:f>B25*C25*D25*E25*(1+'Hypothèses'!B19)</x:f>
        <x:v>311.72526</x:v>
      </x:c>
      <x:c r="G25" s="468" t="n">
        <x:v>5</x:v>
      </x:c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inlineStr">
        <x:is>
          <x:t xml:space="preserve">Payout #5</x:t>
        </x:is>
      </x:c>
      <x:c r="B26" s="463" t="n">
        <x:f>B25*'Hypothèses'!B12</x:f>
        <x:v>0.001386</x:v>
      </x:c>
      <x:c r="C26" s="462" t="n">
        <x:f>SUMPRODUCT('Hypothèses'!C30:C32,'Hypothèses'!G30:G32)*'Hypothèses'!B35</x:f>
        <x:v>262500</x:v>
      </x:c>
      <x:c r="D26" s="463" t="n">
        <x:f>'Hypothèses'!B13</x:f>
        <x:v>0.7</x:v>
      </x:c>
      <x:c r="E26" s="466" t="n">
        <x:v>0.9</x:v>
      </x:c>
      <x:c r="F26" s="467" t="n">
        <x:f>B26*C26*D26*E26*(1+'Hypothèses'!B19)</x:f>
        <x:v>233.793945</x:v>
      </x:c>
      <x:c r="G26" s="468" t="n">
        <x:v>6</x:v>
      </x:c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Coût payout attendu par achat</x:t>
        </x:is>
      </x:c>
      <x:c r="B28" s="464" t="n">
        <x:f>SUM(F22:F26)</x:f>
        <x:v>3841.2004049999996</x:v>
      </x:c>
      <x:c r="C28" s="465" t="n">
        <x:f>B28/B7</x:f>
        <x:v>0.10503692657916323</x:v>
      </x:c>
      <x:c r="D28" s="289" t="str"/>
      <x:c r="E28" s="289" t="str"/>
      <x:c r="F28" s="289" t="str"/>
      <x:c r="G28" s="289" t="str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8" t="inlineStr">
        <x:is>
          <x:t xml:space="preserve">C. Contribution et capacité</x:t>
        </x:is>
      </x:c>
      <x:c r="B31" s="1" t="n"/>
      <x:c r="C31" s="1" t="n"/>
      <x:c r="D31" s="1" t="n"/>
      <x:c r="E31" s="1" t="n"/>
      <x:c r="F31" s="1" t="n"/>
      <x:c r="G31" s="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294" t="inlineStr">
        <x:is>
          <x:t xml:space="preserve">Contribution après payouts</x:t>
        </x:is>
      </x:c>
      <x:c r="B32" s="469" t="n">
        <x:f>B17-B28</x:f>
        <x:v>25376.648845</x:v>
      </x:c>
      <x:c r="C32" s="294" t="inlineStr">
        <x:is>
          <x:t xml:space="preserve">FCFA / achat</x:t>
        </x:is>
      </x:c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294" t="inlineStr">
        <x:is>
          <x:t xml:space="preserve">Marge de contribution</x:t>
        </x:is>
      </x:c>
      <x:c r="B33" s="470" t="n">
        <x:f>B32/B7</x:f>
        <x:v>0.6939198480995351</x:v>
      </x:c>
      <x:c r="C33" s="294" t="inlineStr">
        <x:is>
          <x:t xml:space="preserve">%</x:t>
        </x:is>
      </x:c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294" t="inlineStr">
        <x:is>
          <x:t xml:space="preserve">Seuil de rentabilité mensuel</x:t>
        </x:is>
      </x:c>
      <x:c r="B34" s="471" t="n">
        <x:f>IF(B32&gt;0,'Hypothèses'!B24/B32,0)</x:f>
        <x:v>35.46567576740254</x:v>
      </x:c>
      <x:c r="C34" s="294" t="inlineStr">
        <x:is>
          <x:t xml:space="preserve">achats / mois</x:t>
        </x:is>
      </x:c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294" t="inlineStr">
        <x:is>
          <x:t xml:space="preserve">Réserve recommandée / 1 000 achats</x:t>
        </x:is>
      </x:c>
      <x:c r="B35" s="469" t="n">
        <x:f>B28*1000*'Hypothèses'!B38</x:f>
        <x:v>7682400.81</x:v>
      </x:c>
      <x:c r="C35" s="294" t="inlineStr">
        <x:is>
          <x:t xml:space="preserve">FCFA</x:t>
        </x:is>
      </x:c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294" t="inlineStr">
        <x:is>
          <x:t xml:space="preserve">Contribution / 1 000 achats avant OPEX</x:t>
        </x:is>
      </x:c>
      <x:c r="B36" s="469" t="n">
        <x:f>B32*1000</x:f>
        <x:v>25376648.845</x:v>
      </x:c>
      <x:c r="C36" s="294" t="inlineStr">
        <x:is>
          <x:t xml:space="preserve">FCFA</x:t>
        </x:is>
      </x:c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294" t="inlineStr">
        <x:is>
          <x:t xml:space="preserve">Max safe sales — réserve initiale</x:t>
        </x:is>
      </x:c>
      <x:c r="B37" s="471" t="n">
        <x:f>IF(B28&gt;0,'Hypothèses'!B37/(B28*'Hypothèses'!B38),0)</x:f>
        <x:v>260.33528443304436</x:v>
      </x:c>
      <x:c r="C37" s="294" t="inlineStr">
        <x:is>
          <x:t xml:space="preserve">achats</x:t>
        </x:is>
      </x:c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0:G20"/>
    <x:mergeCell ref="A31:G31"/>
    <x:mergeCell ref="A1:G1"/>
    <x:mergeCell ref="A5:G5"/>
  </x:mergeCells>
  <x:conditionalFormatting sqref="B32:B33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</x:cols>
  <x:sheetData>
    <x:row r="1" ht="15" customHeight="1">
      <x:c r="A1" s="401" t="inlineStr">
        <x:is>
          <x:t xml:space="preserve">WARIBA — Économie d’une cohorte de 1 000 achats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La cohorte transforme les probabilités en nombres de comptes, recettes, coûts et besoins de réserve.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8" t="inlineStr">
        <x:is>
          <x:t xml:space="preserve">A. Funnel Evaluation → Payout #5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4" t="inlineStr">
        <x:is>
          <x:t xml:space="preserve">Étape</x:t>
        </x:is>
      </x:c>
      <x:c r="B5" s="164" t="inlineStr">
        <x:is>
          <x:t xml:space="preserve">Probabilité / achat</x:t>
        </x:is>
      </x:c>
      <x:c r="C5" s="164" t="inlineStr">
        <x:is>
          <x:t xml:space="preserve">Comptes attendus</x:t>
        </x:is>
      </x:c>
      <x:c r="D5" s="164" t="inlineStr">
        <x:is>
          <x:t xml:space="preserve">Cap moyen</x:t>
        </x:is>
      </x:c>
      <x:c r="E5" s="164" t="inlineStr">
        <x:is>
          <x:t xml:space="preserve">Utilisation</x:t>
        </x:is>
      </x:c>
      <x:c r="F5" s="164" t="inlineStr">
        <x:is>
          <x:t xml:space="preserve">Payout Base</x:t>
        </x:is>
      </x:c>
      <x:c r="G5" s="164" t="inlineStr">
        <x:is>
          <x:t xml:space="preserve">Split trader</x:t>
        </x:is>
      </x:c>
      <x:c r="H5" s="164" t="inlineStr">
        <x:is>
          <x:t xml:space="preserve">Trader Cash</x:t>
        </x:is>
      </x:c>
      <x:c r="I5" s="164" t="inlineStr">
        <x:is>
          <x:t xml:space="preserve">Frais payout</x:t>
        </x:is>
      </x:c>
      <x:c r="J5" s="164" t="inlineStr">
        <x:is>
          <x:t xml:space="preserve">Cash total</x:t>
        </x:is>
      </x:c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Payout #1</x:t>
        </x:is>
      </x:c>
      <x:c r="B6" s="463" t="n">
        <x:f>'Économie Unitaire'!B22</x:f>
        <x:v>0.027999999999999997</x:v>
      </x:c>
      <x:c r="C6" s="472" t="n">
        <x:f>B6*1000</x:f>
        <x:v>27.999999999999996</x:v>
      </x:c>
      <x:c r="D6" s="462" t="n">
        <x:f>'Économie Unitaire'!C22</x:f>
        <x:v>105000</x:v>
      </x:c>
      <x:c r="E6" s="463" t="n">
        <x:f>'Hypothèses'!B13</x:f>
        <x:v>0.7</x:v>
      </x:c>
      <x:c r="F6" s="462" t="n">
        <x:f>C6*D6*E6</x:f>
        <x:v>2057999.9999999995</x:v>
      </x:c>
      <x:c r="G6" s="463" t="n">
        <x:f>'Économie Unitaire'!E22</x:f>
        <x:v>0.8</x:v>
      </x:c>
      <x:c r="H6" s="462" t="n">
        <x:f>F6*G6</x:f>
        <x:v>1646399.9999999998</x:v>
      </x:c>
      <x:c r="I6" s="462" t="n">
        <x:f>H6*'Hypothèses'!B19</x:f>
        <x:v>32927.99999999999</x:v>
      </x:c>
      <x:c r="J6" s="462" t="n">
        <x:f>H6+I6</x:f>
        <x:v>1679327.9999999998</x:v>
      </x:c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Payout #2</x:t>
        </x:is>
      </x:c>
      <x:c r="B7" s="463" t="n">
        <x:f>'Économie Unitaire'!B23</x:f>
        <x:v>0.0154</x:v>
      </x:c>
      <x:c r="C7" s="472" t="n">
        <x:f>B7*1000</x:f>
        <x:v>15.4</x:v>
      </x:c>
      <x:c r="D7" s="462" t="n">
        <x:f>'Économie Unitaire'!C23</x:f>
        <x:v>105000</x:v>
      </x:c>
      <x:c r="E7" s="463" t="n">
        <x:f>'Hypothèses'!B13</x:f>
        <x:v>0.7</x:v>
      </x:c>
      <x:c r="F7" s="462" t="n">
        <x:f>C7*D7*E7</x:f>
        <x:v>1131900</x:v>
      </x:c>
      <x:c r="G7" s="463" t="n">
        <x:f>'Économie Unitaire'!E23</x:f>
        <x:v>0.8</x:v>
      </x:c>
      <x:c r="H7" s="462" t="n">
        <x:f>F7*G7</x:f>
        <x:v>905520</x:v>
      </x:c>
      <x:c r="I7" s="462" t="n">
        <x:f>H7*'Hypothèses'!B19</x:f>
        <x:v>18110.4</x:v>
      </x:c>
      <x:c r="J7" s="462" t="n">
        <x:f>H7+I7</x:f>
        <x:v>923630.4</x:v>
      </x:c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Payout #3</x:t>
        </x:is>
      </x:c>
      <x:c r="B8" s="463" t="n">
        <x:f>'Économie Unitaire'!B24</x:f>
        <x:v>0.0077</x:v>
      </x:c>
      <x:c r="C8" s="472" t="n">
        <x:f>B8*1000</x:f>
        <x:v>7.7</x:v>
      </x:c>
      <x:c r="D8" s="462" t="n">
        <x:f>'Économie Unitaire'!C24</x:f>
        <x:v>157500</x:v>
      </x:c>
      <x:c r="E8" s="463" t="n">
        <x:f>'Hypothèses'!B13</x:f>
        <x:v>0.7</x:v>
      </x:c>
      <x:c r="F8" s="462" t="n">
        <x:f>C8*D8*E8</x:f>
        <x:v>848925</x:v>
      </x:c>
      <x:c r="G8" s="463" t="n">
        <x:f>'Économie Unitaire'!E24</x:f>
        <x:v>0.8</x:v>
      </x:c>
      <x:c r="H8" s="462" t="n">
        <x:f>F8*G8</x:f>
        <x:v>679140</x:v>
      </x:c>
      <x:c r="I8" s="462" t="n">
        <x:f>H8*'Hypothèses'!B19</x:f>
        <x:v>13582.800000000001</x:v>
      </x:c>
      <x:c r="J8" s="462" t="n">
        <x:f>H8+I8</x:f>
        <x:v>692722.8</x:v>
      </x:c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Payout #4</x:t>
        </x:is>
      </x:c>
      <x:c r="B9" s="463" t="n">
        <x:f>'Économie Unitaire'!B25</x:f>
        <x:v>0.003465</x:v>
      </x:c>
      <x:c r="C9" s="472" t="n">
        <x:f>B9*1000</x:f>
        <x:v>3.4650000000000003</x:v>
      </x:c>
      <x:c r="D9" s="462" t="n">
        <x:f>'Économie Unitaire'!C25</x:f>
        <x:v>157500</x:v>
      </x:c>
      <x:c r="E9" s="463" t="n">
        <x:f>'Hypothèses'!B13</x:f>
        <x:v>0.7</x:v>
      </x:c>
      <x:c r="F9" s="462" t="n">
        <x:f>C9*D9*E9</x:f>
        <x:v>382016.25</x:v>
      </x:c>
      <x:c r="G9" s="463" t="n">
        <x:f>'Économie Unitaire'!E25</x:f>
        <x:v>0.8</x:v>
      </x:c>
      <x:c r="H9" s="462" t="n">
        <x:f>F9*G9</x:f>
        <x:v>305613</x:v>
      </x:c>
      <x:c r="I9" s="462" t="n">
        <x:f>H9*'Hypothèses'!B19</x:f>
        <x:v>6112.26</x:v>
      </x:c>
      <x:c r="J9" s="462" t="n">
        <x:f>H9+I9</x:f>
        <x:v>311725.26</x:v>
      </x:c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Payout #5</x:t>
        </x:is>
      </x:c>
      <x:c r="B10" s="463" t="n">
        <x:f>'Économie Unitaire'!B26</x:f>
        <x:v>0.001386</x:v>
      </x:c>
      <x:c r="C10" s="472" t="n">
        <x:f>B10*1000</x:f>
        <x:v>1.3860000000000001</x:v>
      </x:c>
      <x:c r="D10" s="462" t="n">
        <x:f>'Économie Unitaire'!C26</x:f>
        <x:v>262500</x:v>
      </x:c>
      <x:c r="E10" s="463" t="n">
        <x:f>'Hypothèses'!B13</x:f>
        <x:v>0.7</x:v>
      </x:c>
      <x:c r="F10" s="462" t="n">
        <x:f>C10*D10*E10</x:f>
        <x:v>254677.50000000003</x:v>
      </x:c>
      <x:c r="G10" s="463" t="n">
        <x:f>'Économie Unitaire'!E26</x:f>
        <x:v>0.9</x:v>
      </x:c>
      <x:c r="H10" s="462" t="n">
        <x:f>F10*G10</x:f>
        <x:v>229209.75000000003</x:v>
      </x:c>
      <x:c r="I10" s="462" t="n">
        <x:f>H10*'Hypothèses'!B19</x:f>
        <x:v>4584.195000000001</x:v>
      </x:c>
      <x:c r="J10" s="462" t="n">
        <x:f>H10+I10</x:f>
        <x:v>233793.94500000004</x:v>
      </x:c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n"/>
      <x:c r="B11" s="161" t="n"/>
      <x:c r="C11" s="161" t="n"/>
      <x:c r="D11" s="161" t="n"/>
      <x:c r="E11" s="161" t="n"/>
      <x:c r="F11" s="161" t="n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289" t="inlineStr">
        <x:is>
          <x:t xml:space="preserve">Total cash payouts</x:t>
        </x:is>
      </x:c>
      <x:c r="B12" s="289" t="str"/>
      <x:c r="C12" s="289" t="str"/>
      <x:c r="D12" s="289" t="str"/>
      <x:c r="E12" s="289" t="str"/>
      <x:c r="F12" s="289" t="str"/>
      <x:c r="G12" s="289" t="str"/>
      <x:c r="H12" s="289" t="str"/>
      <x:c r="I12" s="289" t="str"/>
      <x:c r="J12" s="464" t="n">
        <x:f>SUM(J6:J10)</x:f>
        <x:v>3841200.405</x:v>
      </x:c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n"/>
      <x:c r="B14" s="161" t="n"/>
      <x:c r="C14" s="161" t="n"/>
      <x:c r="D14" s="161" t="n"/>
      <x:c r="E14" s="161" t="n"/>
      <x:c r="F14" s="161" t="n"/>
      <x:c r="G14" s="161" t="n"/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8" t="inlineStr">
        <x:is>
          <x:t xml:space="preserve">B. P&amp;L de la cohorte</x:t>
        </x:is>
      </x:c>
      <x:c r="B15" s="1" t="n"/>
      <x:c r="C15" s="1" t="n"/>
      <x:c r="D15" s="1" t="n"/>
      <x:c r="E15" s="1" t="n"/>
      <x:c r="F15" s="1" t="n"/>
      <x:c r="G15" s="1" t="n"/>
      <x:c r="H15" s="1" t="n"/>
      <x:c r="I15" s="1" t="n"/>
      <x:c r="J15" s="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4" t="inlineStr">
        <x:is>
          <x:t xml:space="preserve">Métrique</x:t>
        </x:is>
      </x:c>
      <x:c r="B16" s="164" t="inlineStr">
        <x:is>
          <x:t xml:space="preserve">Montant (FCFA)</x:t>
        </x:is>
      </x:c>
      <x:c r="C16" s="164" t="inlineStr">
        <x:is>
          <x:t xml:space="preserve">Par achat</x:t>
        </x:is>
      </x:c>
      <x:c r="D16" s="164" t="inlineStr">
        <x:is>
          <x:t xml:space="preserve">Commentaire</x:t>
        </x:is>
      </x:c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61" t="inlineStr">
        <x:is>
          <x:t xml:space="preserve">Chiffre d’affaires</x:t>
        </x:is>
      </x:c>
      <x:c r="B17" s="462" t="n">
        <x:f>'Économie Unitaire'!B7*1000</x:f>
        <x:v>36570000</x:v>
      </x:c>
      <x:c r="C17" s="462" t="n">
        <x:f>B17/1000</x:f>
        <x:v>36570</x:v>
      </x:c>
      <x:c r="D17" s="161" t="str"/>
      <x:c r="E17" s="161" t="n"/>
      <x:c r="F17" s="161" t="n"/>
      <x:c r="G17" s="161" t="n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inlineStr">
        <x:is>
          <x:t xml:space="preserve">Remboursements / chargebacks</x:t>
        </x:is>
      </x:c>
      <x:c r="B18" s="462" t="n">
        <x:f>'Économie Unitaire'!B8*1000</x:f>
        <x:v>-548550</x:v>
      </x:c>
      <x:c r="C18" s="462" t="n">
        <x:f>B18/1000</x:f>
        <x:v>-548.55</x:v>
      </x:c>
      <x:c r="D18" s="161" t="str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inlineStr">
        <x:is>
          <x:t xml:space="preserve">Frais PSP</x:t>
        </x:is>
      </x:c>
      <x:c r="B19" s="462" t="n">
        <x:f>'Économie Unitaire'!B9*1000</x:f>
        <x:v>-1260750.75</x:v>
      </x:c>
      <x:c r="C19" s="462" t="n">
        <x:f>B19/1000</x:f>
        <x:v>-1260.75075</x:v>
      </x:c>
      <x:c r="D19" s="161" t="str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1" t="inlineStr">
        <x:is>
          <x:t xml:space="preserve">Provision fiscale</x:t>
        </x:is>
      </x:c>
      <x:c r="B20" s="462" t="n">
        <x:f>'Économie Unitaire'!B10*1000</x:f>
        <x:v>0</x:v>
      </x:c>
      <x:c r="C20" s="462" t="n">
        <x:f>B20/1000</x:f>
        <x:v>0</x:v>
      </x:c>
      <x:c r="D20" s="161" t="str"/>
      <x:c r="E20" s="161" t="n"/>
      <x:c r="F20" s="161" t="n"/>
      <x:c r="G20" s="16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inlineStr">
        <x:is>
          <x:t xml:space="preserve">CAC</x:t>
        </x:is>
      </x:c>
      <x:c r="B21" s="462" t="n">
        <x:f>'Économie Unitaire'!B11*1000</x:f>
        <x:v>-4500000</x:v>
      </x:c>
      <x:c r="C21" s="462" t="n">
        <x:f>B21/1000</x:f>
        <x:v>-4500</x:v>
      </x:c>
      <x:c r="D21" s="161" t="str"/>
      <x:c r="E21" s="161" t="n"/>
      <x:c r="F21" s="161" t="n"/>
      <x:c r="G21" s="161" t="n"/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Support variable</x:t>
        </x:is>
      </x:c>
      <x:c r="B22" s="462" t="n">
        <x:f>'Économie Unitaire'!B12*1000</x:f>
        <x:v>-700000</x:v>
      </x:c>
      <x:c r="C22" s="462" t="n">
        <x:f>B22/1000</x:f>
        <x:v>-700</x:v>
      </x:c>
      <x:c r="D22" s="161" t="str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KYC / contrôle</x:t>
        </x:is>
      </x:c>
      <x:c r="B23" s="462" t="n">
        <x:f>'Économie Unitaire'!B13*1000</x:f>
        <x:v>-160000</x:v>
      </x:c>
      <x:c r="C23" s="462" t="n">
        <x:f>B23/1000</x:f>
        <x:v>-160</x:v>
      </x:c>
      <x:c r="D23" s="161" t="str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Fraude / paiement</x:t>
        </x:is>
      </x:c>
      <x:c r="B24" s="462" t="n">
        <x:f>'Économie Unitaire'!B14*1000</x:f>
        <x:v>-182850</x:v>
      </x:c>
      <x:c r="C24" s="462" t="n">
        <x:f>B24/1000</x:f>
        <x:v>-182.85</x:v>
      </x:c>
      <x:c r="D24" s="161" t="str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Affiliation</x:t>
        </x:is>
      </x:c>
      <x:c r="B25" s="462" t="n">
        <x:f>'Économie Unitaire'!B15*1000</x:f>
        <x:v>0</x:v>
      </x:c>
      <x:c r="C25" s="462" t="n">
        <x:f>B25/1000</x:f>
        <x:v>0</x:v>
      </x:c>
      <x:c r="D25" s="161" t="str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inlineStr">
        <x:is>
          <x:t xml:space="preserve">Cash payouts</x:t>
        </x:is>
      </x:c>
      <x:c r="B26" s="462" t="n">
        <x:f>-J12</x:f>
        <x:v>-3841200.405</x:v>
      </x:c>
      <x:c r="C26" s="462" t="n">
        <x:f>B26/1000</x:f>
        <x:v>-3841.2004049999996</x:v>
      </x:c>
      <x:c r="D26" s="161" t="str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Contribution avant OPEX fixe</x:t>
        </x:is>
      </x:c>
      <x:c r="B28" s="464" t="n">
        <x:f>SUM(B17:B26)</x:f>
        <x:v>25376648.845</x:v>
      </x:c>
      <x:c r="C28" s="464" t="n">
        <x:f>B28/1000</x:f>
        <x:v>25376.648845</x:v>
      </x:c>
      <x:c r="D28" s="289" t="str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4" t="inlineStr">
        <x:is>
          <x:t xml:space="preserve">Indicateur</x:t>
        </x:is>
      </x:c>
      <x:c r="B30" s="164" t="inlineStr">
        <x:is>
          <x:t xml:space="preserve">Valeur</x:t>
        </x:is>
      </x:c>
      <x:c r="C30" s="164" t="inlineStr">
        <x:is>
          <x:t xml:space="preserve">Unité</x:t>
        </x:is>
      </x:c>
      <x:c r="D30" s="164" t="inlineStr">
        <x:is>
          <x:t xml:space="preserve">Lecture</x:t>
        </x:is>
      </x:c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inlineStr">
        <x:is>
          <x:t xml:space="preserve">Réserve à 2,0x</x:t>
        </x:is>
      </x:c>
      <x:c r="B31" s="467" t="n">
        <x:f>J12*'Hypothèses'!B38</x:f>
        <x:v>7682400.81</x:v>
      </x:c>
      <x:c r="C31" s="161" t="inlineStr">
        <x:is>
          <x:t xml:space="preserve">FCFA</x:t>
        </x:is>
      </x:c>
      <x:c r="D31" s="161" t="inlineStr">
        <x:is>
          <x:t xml:space="preserve">Cash payout attendu × couverture cible</x:t>
        </x:is>
      </x:c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inlineStr">
        <x:is>
          <x:t xml:space="preserve">Comptes passés</x:t>
        </x:is>
      </x:c>
      <x:c r="B32" s="473" t="n">
        <x:f>1000*'Hypothèses'!B7</x:f>
        <x:v>80</x:v>
      </x:c>
      <x:c r="C32" s="161" t="inlineStr">
        <x:is>
          <x:t xml:space="preserve">comptes</x:t>
        </x:is>
      </x:c>
      <x:c r="D32" s="161" t="inlineStr">
        <x:is>
          <x:t xml:space="preserve">1 000 × taux de réussite</x:t>
        </x:is>
      </x:c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inlineStr">
        <x:is>
          <x:t xml:space="preserve">Comptes atteignant payout #1</x:t>
        </x:is>
      </x:c>
      <x:c r="B33" s="473" t="n">
        <x:f>C6</x:f>
        <x:v>27.999999999999996</x:v>
      </x:c>
      <x:c r="C33" s="161" t="inlineStr">
        <x:is>
          <x:t xml:space="preserve">comptes</x:t>
        </x:is>
      </x:c>
      <x:c r="D33" s="161" t="inlineStr">
        <x:is>
          <x:t xml:space="preserve">Probabilité cumulée</x:t>
        </x:is>
      </x:c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:J1"/>
    <x:mergeCell ref="A15:J15"/>
    <x:mergeCell ref="A4:J4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2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12" customWidth="1"/>
    <x:col min="16" max="16" width="12" customWidth="1"/>
    <x:col min="17" max="17" width="12" customWidth="1"/>
    <x:col min="18" max="18" width="12" customWidth="1"/>
    <x:col min="19" max="19" width="12" customWidth="1"/>
    <x:col min="20" max="20" width="12" customWidth="1"/>
    <x:col min="21" max="21" width="12" customWidth="1"/>
    <x:col min="22" max="22" width="12" customWidth="1"/>
    <x:col min="23" max="23" width="12" customWidth="1"/>
    <x:col min="24" max="24" width="12" customWidth="1"/>
    <x:col min="25" max="25" width="12" customWidth="1"/>
  </x:cols>
  <x:sheetData>
    <x:row r="1" ht="15" customHeight="1">
      <x:c r="A1" s="401" t="inlineStr">
        <x:is>
          <x:t xml:space="preserve">WARIBA — Prévision de trésorerie sur 24 mois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repurchases sont calculés sur les achats échoués du mois précédent. Les payouts sont projetés par cohorte avec des lags de 2 à 6 mois.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  <x:c r="S2" s="1" t="n"/>
      <x:c r="T2" s="1" t="n"/>
      <x:c r="U2" s="1" t="n"/>
      <x:c r="V2" s="1" t="n"/>
      <x:c r="W2" s="1" t="n"/>
      <x:c r="X2" s="1" t="n"/>
      <x:c r="Y2" s="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4" t="inlineStr">
        <x:is>
          <x:t xml:space="preserve">Mois</x:t>
        </x:is>
      </x:c>
      <x:c r="B4" s="164" t="inlineStr">
        <x:is>
          <x:t xml:space="preserve">M1</x:t>
        </x:is>
      </x:c>
      <x:c r="C4" s="164" t="inlineStr">
        <x:is>
          <x:t xml:space="preserve">M2</x:t>
        </x:is>
      </x:c>
      <x:c r="D4" s="164" t="inlineStr">
        <x:is>
          <x:t xml:space="preserve">M3</x:t>
        </x:is>
      </x:c>
      <x:c r="E4" s="164" t="inlineStr">
        <x:is>
          <x:t xml:space="preserve">M4</x:t>
        </x:is>
      </x:c>
      <x:c r="F4" s="164" t="inlineStr">
        <x:is>
          <x:t xml:space="preserve">M5</x:t>
        </x:is>
      </x:c>
      <x:c r="G4" s="164" t="inlineStr">
        <x:is>
          <x:t xml:space="preserve">M6</x:t>
        </x:is>
      </x:c>
      <x:c r="H4" s="164" t="inlineStr">
        <x:is>
          <x:t xml:space="preserve">M7</x:t>
        </x:is>
      </x:c>
      <x:c r="I4" s="164" t="inlineStr">
        <x:is>
          <x:t xml:space="preserve">M8</x:t>
        </x:is>
      </x:c>
      <x:c r="J4" s="164" t="inlineStr">
        <x:is>
          <x:t xml:space="preserve">M9</x:t>
        </x:is>
      </x:c>
      <x:c r="K4" s="164" t="inlineStr">
        <x:is>
          <x:t xml:space="preserve">M10</x:t>
        </x:is>
      </x:c>
      <x:c r="L4" s="164" t="inlineStr">
        <x:is>
          <x:t xml:space="preserve">M11</x:t>
        </x:is>
      </x:c>
      <x:c r="M4" s="164" t="inlineStr">
        <x:is>
          <x:t xml:space="preserve">M12</x:t>
        </x:is>
      </x:c>
      <x:c r="N4" s="164" t="inlineStr">
        <x:is>
          <x:t xml:space="preserve">M13</x:t>
        </x:is>
      </x:c>
      <x:c r="O4" s="164" t="inlineStr">
        <x:is>
          <x:t xml:space="preserve">M14</x:t>
        </x:is>
      </x:c>
      <x:c r="P4" s="164" t="inlineStr">
        <x:is>
          <x:t xml:space="preserve">M15</x:t>
        </x:is>
      </x:c>
      <x:c r="Q4" s="164" t="inlineStr">
        <x:is>
          <x:t xml:space="preserve">M16</x:t>
        </x:is>
      </x:c>
      <x:c r="R4" s="164" t="inlineStr">
        <x:is>
          <x:t xml:space="preserve">M17</x:t>
        </x:is>
      </x:c>
      <x:c r="S4" s="164" t="inlineStr">
        <x:is>
          <x:t xml:space="preserve">M18</x:t>
        </x:is>
      </x:c>
      <x:c r="T4" s="164" t="inlineStr">
        <x:is>
          <x:t xml:space="preserve">M19</x:t>
        </x:is>
      </x:c>
      <x:c r="U4" s="164" t="inlineStr">
        <x:is>
          <x:t xml:space="preserve">M20</x:t>
        </x:is>
      </x:c>
      <x:c r="V4" s="164" t="inlineStr">
        <x:is>
          <x:t xml:space="preserve">M21</x:t>
        </x:is>
      </x:c>
      <x:c r="W4" s="164" t="inlineStr">
        <x:is>
          <x:t xml:space="preserve">M22</x:t>
        </x:is>
      </x:c>
      <x:c r="X4" s="164" t="inlineStr">
        <x:is>
          <x:t xml:space="preserve">M23</x:t>
        </x:is>
      </x:c>
      <x:c r="Y4" s="164" t="inlineStr">
        <x:is>
          <x:t xml:space="preserve">M24</x:t>
        </x:is>
      </x:c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1" t="inlineStr">
        <x:is>
          <x:t xml:space="preserve">Nouveaux acheteurs</x:t>
        </x:is>
      </x:c>
      <x:c r="B5" s="472" t="n">
        <x:f>'Hypothèses'!B43</x:f>
        <x:v>25</x:v>
      </x:c>
      <x:c r="C5" s="472" t="n">
        <x:f>'Hypothèses'!C43</x:f>
        <x:v>40</x:v>
      </x:c>
      <x:c r="D5" s="472" t="n">
        <x:f>'Hypothèses'!D43</x:f>
        <x:v>60</x:v>
      </x:c>
      <x:c r="E5" s="472" t="n">
        <x:f>'Hypothèses'!E43</x:f>
        <x:v>80</x:v>
      </x:c>
      <x:c r="F5" s="472" t="n">
        <x:f>'Hypothèses'!F43</x:f>
        <x:v>100</x:v>
      </x:c>
      <x:c r="G5" s="472" t="n">
        <x:f>'Hypothèses'!G43</x:f>
        <x:v>130</x:v>
      </x:c>
      <x:c r="H5" s="472" t="n">
        <x:f>'Hypothèses'!H43</x:f>
        <x:v>160</x:v>
      </x:c>
      <x:c r="I5" s="472" t="n">
        <x:f>'Hypothèses'!I43</x:f>
        <x:v>200</x:v>
      </x:c>
      <x:c r="J5" s="472" t="n">
        <x:f>'Hypothèses'!J43</x:f>
        <x:v>240</x:v>
      </x:c>
      <x:c r="K5" s="472" t="n">
        <x:f>'Hypothèses'!K43</x:f>
        <x:v>280</x:v>
      </x:c>
      <x:c r="L5" s="472" t="n">
        <x:f>'Hypothèses'!L43</x:f>
        <x:v>320</x:v>
      </x:c>
      <x:c r="M5" s="472" t="n">
        <x:f>'Hypothèses'!M43</x:f>
        <x:v>360</x:v>
      </x:c>
      <x:c r="N5" s="472" t="n">
        <x:f>'Hypothèses'!N43</x:f>
        <x:v>400</x:v>
      </x:c>
      <x:c r="O5" s="472" t="n">
        <x:f>'Hypothèses'!O43</x:f>
        <x:v>450</x:v>
      </x:c>
      <x:c r="P5" s="472" t="n">
        <x:f>'Hypothèses'!P43</x:f>
        <x:v>500</x:v>
      </x:c>
      <x:c r="Q5" s="472" t="n">
        <x:f>'Hypothèses'!Q43</x:f>
        <x:v>550</x:v>
      </x:c>
      <x:c r="R5" s="472" t="n">
        <x:f>'Hypothèses'!R43</x:f>
        <x:v>600</x:v>
      </x:c>
      <x:c r="S5" s="472" t="n">
        <x:f>'Hypothèses'!S43</x:f>
        <x:v>650</x:v>
      </x:c>
      <x:c r="T5" s="472" t="n">
        <x:f>'Hypothèses'!T43</x:f>
        <x:v>700</x:v>
      </x:c>
      <x:c r="U5" s="472" t="n">
        <x:f>'Hypothèses'!U43</x:f>
        <x:v>750</x:v>
      </x:c>
      <x:c r="V5" s="472" t="n">
        <x:f>'Hypothèses'!V43</x:f>
        <x:v>800</x:v>
      </x:c>
      <x:c r="W5" s="472" t="n">
        <x:f>'Hypothèses'!W43</x:f>
        <x:v>850</x:v>
      </x:c>
      <x:c r="X5" s="472" t="n">
        <x:f>'Hypothèses'!X43</x:f>
        <x:v>900</x:v>
      </x:c>
      <x:c r="Y5" s="472" t="n">
        <x:f>'Hypothèses'!Y43</x:f>
        <x:v>1000</x:v>
      </x:c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Repurchases</x:t>
        </x:is>
      </x:c>
      <x:c r="B6" s="472" t="n">
        <x:v>0</x:v>
      </x:c>
      <x:c r="C6" s="472" t="n">
        <x:f>B7*(1-'Hypothèses'!B7)*'Hypothèses'!B22</x:f>
        <x:v>5.75</x:v>
      </x:c>
      <x:c r="D6" s="472" t="n">
        <x:f>C7*(1-'Hypothèses'!B7)*'Hypothèses'!B22</x:f>
        <x:v>10.5225</x:v>
      </x:c>
      <x:c r="E6" s="472" t="n">
        <x:f>D7*(1-'Hypothèses'!B7)*'Hypothèses'!B22</x:f>
        <x:v>16.220175</x:v>
      </x:c>
      <x:c r="F6" s="472" t="n">
        <x:f>E7*(1-'Hypothèses'!B7)*'Hypothèses'!B22</x:f>
        <x:v>22.13064025</x:v>
      </x:c>
      <x:c r="G6" s="472" t="n">
        <x:f>F7*(1-'Hypothèses'!B7)*'Hypothèses'!B22</x:f>
        <x:v>28.0900472575</x:v>
      </x:c>
      <x:c r="H6" s="472" t="n">
        <x:f>G7*(1-'Hypothèses'!B7)*'Hypothèses'!B22</x:f>
        <x:v>36.360710869225</x:v>
      </x:c>
      <x:c r="I6" s="472" t="n">
        <x:f>H7*(1-'Hypothèses'!B7)*'Hypothèses'!B22</x:f>
        <x:v>45.16296349992175</x:v>
      </x:c>
      <x:c r="J6" s="472" t="n">
        <x:f>I7*(1-'Hypothèses'!B7)*'Hypothèses'!B22</x:f>
        <x:v>56.38748160498201</x:v>
      </x:c>
      <x:c r="K6" s="472" t="n">
        <x:f>J7*(1-'Hypothèses'!B7)*'Hypothèses'!B22</x:f>
        <x:v>68.16912076914586</x:v>
      </x:c>
      <x:c r="L6" s="472" t="n">
        <x:f>K7*(1-'Hypothèses'!B7)*'Hypothèses'!B22</x:f>
        <x:v>80.07889777690356</x:v>
      </x:c>
      <x:c r="M6" s="472" t="n">
        <x:f>L7*(1-'Hypothèses'!B7)*'Hypothèses'!B22</x:f>
        <x:v>92.01814648868782</x:v>
      </x:c>
      <x:c r="N6" s="472" t="n">
        <x:f>M7*(1-'Hypothèses'!B7)*'Hypothèses'!B22</x:f>
        <x:v>103.9641736923982</x:v>
      </x:c>
      <x:c r="O6" s="472" t="n">
        <x:f>N7*(1-'Hypothèses'!B7)*'Hypothèses'!B22</x:f>
        <x:v>115.91175994925159</x:v>
      </x:c>
      <x:c r="P6" s="472" t="n">
        <x:f>O7*(1-'Hypothèses'!B7)*'Hypothèses'!B22</x:f>
        <x:v>130.15970478832787</x:v>
      </x:c>
      <x:c r="Q6" s="472" t="n">
        <x:f>P7*(1-'Hypothèses'!B7)*'Hypothèses'!B22</x:f>
        <x:v>144.9367321013154</x:v>
      </x:c>
      <x:c r="R6" s="472" t="n">
        <x:f>Q7*(1-'Hypothèses'!B7)*'Hypothèses'!B22</x:f>
        <x:v>159.83544838330255</x:v>
      </x:c>
      <x:c r="S6" s="472" t="n">
        <x:f>R7*(1-'Hypothèses'!B7)*'Hypothèses'!B22</x:f>
        <x:v>174.76215312815958</x:v>
      </x:c>
      <x:c r="T6" s="472" t="n">
        <x:f>S7*(1-'Hypothèses'!B7)*'Hypothèses'!B22</x:f>
        <x:v>189.6952952194767</x:v>
      </x:c>
      <x:c r="U6" s="472" t="n">
        <x:f>T7*(1-'Hypothèses'!B7)*'Hypothèses'!B22</x:f>
        <x:v>204.62991790047965</x:v>
      </x:c>
      <x:c r="V6" s="472" t="n">
        <x:f>U7*(1-'Hypothèses'!B7)*'Hypothèses'!B22</x:f>
        <x:v>219.56488111711033</x:v>
      </x:c>
      <x:c r="W6" s="472" t="n">
        <x:f>V7*(1-'Hypothèses'!B7)*'Hypothèses'!B22</x:f>
        <x:v>234.49992265693538</x:v>
      </x:c>
      <x:c r="X6" s="472" t="n">
        <x:f>W7*(1-'Hypothèses'!B7)*'Hypothèses'!B22</x:f>
        <x:v>249.43498221109513</x:v>
      </x:c>
      <x:c r="Y6" s="472" t="n">
        <x:f>X7*(1-'Hypothèses'!B7)*'Hypothèses'!B22</x:f>
        <x:v>264.3700459085519</x:v>
      </x:c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Achats totaux</x:t>
        </x:is>
      </x:c>
      <x:c r="B7" s="472" t="n">
        <x:f>B5+B6</x:f>
        <x:v>25</x:v>
      </x:c>
      <x:c r="C7" s="472" t="n">
        <x:f>C5+C6</x:f>
        <x:v>45.75</x:v>
      </x:c>
      <x:c r="D7" s="472" t="n">
        <x:f>D5+D6</x:f>
        <x:v>70.52250000000001</x:v>
      </x:c>
      <x:c r="E7" s="472" t="n">
        <x:f>E5+E6</x:f>
        <x:v>96.220175</x:v>
      </x:c>
      <x:c r="F7" s="472" t="n">
        <x:f>F5+F6</x:f>
        <x:v>122.13064025</x:v>
      </x:c>
      <x:c r="G7" s="472" t="n">
        <x:f>G5+G6</x:f>
        <x:v>158.0900472575</x:v>
      </x:c>
      <x:c r="H7" s="472" t="n">
        <x:f>H5+H6</x:f>
        <x:v>196.360710869225</x:v>
      </x:c>
      <x:c r="I7" s="472" t="n">
        <x:f>I5+I6</x:f>
        <x:v>245.16296349992174</x:v>
      </x:c>
      <x:c r="J7" s="472" t="n">
        <x:f>J5+J6</x:f>
        <x:v>296.387481604982</x:v>
      </x:c>
      <x:c r="K7" s="472" t="n">
        <x:f>K5+K6</x:f>
        <x:v>348.1691207691459</x:v>
      </x:c>
      <x:c r="L7" s="472" t="n">
        <x:f>L5+L6</x:f>
        <x:v>400.07889777690355</x:v>
      </x:c>
      <x:c r="M7" s="472" t="n">
        <x:f>M5+M6</x:f>
        <x:v>452.0181464886878</x:v>
      </x:c>
      <x:c r="N7" s="472" t="n">
        <x:f>N5+N6</x:f>
        <x:v>503.9641736923982</x:v>
      </x:c>
      <x:c r="O7" s="472" t="n">
        <x:f>O5+O6</x:f>
        <x:v>565.9117599492516</x:v>
      </x:c>
      <x:c r="P7" s="472" t="n">
        <x:f>P5+P6</x:f>
        <x:v>630.1597047883279</x:v>
      </x:c>
      <x:c r="Q7" s="472" t="n">
        <x:f>Q5+Q6</x:f>
        <x:v>694.9367321013154</x:v>
      </x:c>
      <x:c r="R7" s="472" t="n">
        <x:f>R5+R6</x:f>
        <x:v>759.8354483833025</x:v>
      </x:c>
      <x:c r="S7" s="472" t="n">
        <x:f>S5+S6</x:f>
        <x:v>824.7621531281595</x:v>
      </x:c>
      <x:c r="T7" s="472" t="n">
        <x:f>T5+T6</x:f>
        <x:v>889.6952952194767</x:v>
      </x:c>
      <x:c r="U7" s="472" t="n">
        <x:f>U5+U6</x:f>
        <x:v>954.6299179004797</x:v>
      </x:c>
      <x:c r="V7" s="472" t="n">
        <x:f>V5+V6</x:f>
        <x:v>1019.5648811171103</x:v>
      </x:c>
      <x:c r="W7" s="472" t="n">
        <x:f>W5+W6</x:f>
        <x:v>1084.4999226569353</x:v>
      </x:c>
      <x:c r="X7" s="472" t="n">
        <x:f>X5+X6</x:f>
        <x:v>1149.434982211095</x:v>
      </x:c>
      <x:c r="Y7" s="472" t="n">
        <x:f>Y5+Y6</x:f>
        <x:v>1264.370045908552</x:v>
      </x:c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Chiffre d’affaires</x:t>
        </x:is>
      </x:c>
      <x:c r="B8" s="462" t="n">
        <x:f>B7*'Économie Unitaire'!B7</x:f>
        <x:v>914250</x:v>
      </x:c>
      <x:c r="C8" s="462" t="n">
        <x:f>C7*'Économie Unitaire'!B7</x:f>
        <x:v>1673077.5</x:v>
      </x:c>
      <x:c r="D8" s="462" t="n">
        <x:f>D7*'Économie Unitaire'!B7</x:f>
        <x:v>2579007.825</x:v>
      </x:c>
      <x:c r="E8" s="462" t="n">
        <x:f>E7*'Économie Unitaire'!B7</x:f>
        <x:v>3518771.79975</x:v>
      </x:c>
      <x:c r="F8" s="462" t="n">
        <x:f>F7*'Économie Unitaire'!B7</x:f>
        <x:v>4466317.5139425</x:v>
      </x:c>
      <x:c r="G8" s="462" t="n">
        <x:f>G7*'Économie Unitaire'!B7</x:f>
        <x:v>5781353.028206775</x:v>
      </x:c>
      <x:c r="H8" s="462" t="n">
        <x:f>H7*'Économie Unitaire'!B7</x:f>
        <x:v>7180911.196487558</x:v>
      </x:c>
      <x:c r="I8" s="462" t="n">
        <x:f>I7*'Économie Unitaire'!B7</x:f>
        <x:v>8965609.575192139</x:v>
      </x:c>
      <x:c r="J8" s="462" t="n">
        <x:f>J7*'Économie Unitaire'!B7</x:f>
        <x:v>10838890.202294191</x:v>
      </x:c>
      <x:c r="K8" s="462" t="n">
        <x:f>K7*'Économie Unitaire'!B7</x:f>
        <x:v>12732544.746527664</x:v>
      </x:c>
      <x:c r="L8" s="462" t="n">
        <x:f>L7*'Économie Unitaire'!B7</x:f>
        <x:v>14630885.291701363</x:v>
      </x:c>
      <x:c r="M8" s="462" t="n">
        <x:f>M7*'Économie Unitaire'!B7</x:f>
        <x:v>16530303.617091313</x:v>
      </x:c>
      <x:c r="N8" s="462" t="n">
        <x:f>N7*'Économie Unitaire'!B7</x:f>
        <x:v>18429969.831931002</x:v>
      </x:c>
      <x:c r="O8" s="462" t="n">
        <x:f>O7*'Économie Unitaire'!B7</x:f>
        <x:v>20695393.06134413</x:v>
      </x:c>
      <x:c r="P8" s="462" t="n">
        <x:f>P7*'Économie Unitaire'!B7</x:f>
        <x:v>23044940.40410915</x:v>
      </x:c>
      <x:c r="Q8" s="462" t="n">
        <x:f>Q7*'Économie Unitaire'!B7</x:f>
        <x:v>25413836.292945106</x:v>
      </x:c>
      <x:c r="R8" s="462" t="n">
        <x:f>R7*'Économie Unitaire'!B7</x:f>
        <x:v>27787182.34737737</x:v>
      </x:c>
      <x:c r="S8" s="462" t="n">
        <x:f>S7*'Économie Unitaire'!B7</x:f>
        <x:v>30161551.939896792</x:v>
      </x:c>
      <x:c r="T8" s="462" t="n">
        <x:f>T7*'Économie Unitaire'!B7</x:f>
        <x:v>32536156.946176264</x:v>
      </x:c>
      <x:c r="U8" s="462" t="n">
        <x:f>U7*'Économie Unitaire'!B7</x:f>
        <x:v>34910816.09762054</x:v>
      </x:c>
      <x:c r="V8" s="462" t="n">
        <x:f>V7*'Économie Unitaire'!B7</x:f>
        <x:v>37285487.70245273</x:v>
      </x:c>
      <x:c r="W8" s="462" t="n">
        <x:f>W7*'Économie Unitaire'!B7</x:f>
        <x:v>39660162.171564125</x:v>
      </x:c>
      <x:c r="X8" s="462" t="n">
        <x:f>X7*'Économie Unitaire'!B7</x:f>
        <x:v>42034837.29945975</x:v>
      </x:c>
      <x:c r="Y8" s="462" t="n">
        <x:f>Y7*'Économie Unitaire'!B7</x:f>
        <x:v>46238012.57887574</x:v>
      </x:c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Remboursements</x:t>
        </x:is>
      </x:c>
      <x:c r="B9" s="462" t="n">
        <x:f>-B8*'Hypothèses'!B14</x:f>
        <x:v>-13713.75</x:v>
      </x:c>
      <x:c r="C9" s="462" t="n">
        <x:f>-C8*'Hypothèses'!B14</x:f>
        <x:v>-25096.1625</x:v>
      </x:c>
      <x:c r="D9" s="462" t="n">
        <x:f>-D8*'Hypothèses'!B14</x:f>
        <x:v>-38685.117375</x:v>
      </x:c>
      <x:c r="E9" s="462" t="n">
        <x:f>-E8*'Hypothèses'!B14</x:f>
        <x:v>-52781.57699625</x:v>
      </x:c>
      <x:c r="F9" s="462" t="n">
        <x:f>-F8*'Hypothèses'!B14</x:f>
        <x:v>-66994.76270913749</x:v>
      </x:c>
      <x:c r="G9" s="462" t="n">
        <x:f>-G8*'Hypothèses'!B14</x:f>
        <x:v>-86720.29542310162</x:v>
      </x:c>
      <x:c r="H9" s="462" t="n">
        <x:f>-H8*'Hypothèses'!B14</x:f>
        <x:v>-107713.66794731337</x:v>
      </x:c>
      <x:c r="I9" s="462" t="n">
        <x:f>-I8*'Hypothèses'!B14</x:f>
        <x:v>-134484.14362788206</x:v>
      </x:c>
      <x:c r="J9" s="462" t="n">
        <x:f>-J8*'Hypothèses'!B14</x:f>
        <x:v>-162583.35303441287</x:v>
      </x:c>
      <x:c r="K9" s="462" t="n">
        <x:f>-K8*'Hypothèses'!B14</x:f>
        <x:v>-190988.17119791495</x:v>
      </x:c>
      <x:c r="L9" s="462" t="n">
        <x:f>-L8*'Hypothèses'!B14</x:f>
        <x:v>-219463.27937552045</x:v>
      </x:c>
      <x:c r="M9" s="462" t="n">
        <x:f>-M8*'Hypothèses'!B14</x:f>
        <x:v>-247954.55425636968</x:v>
      </x:c>
      <x:c r="N9" s="462" t="n">
        <x:f>-N8*'Hypothèses'!B14</x:f>
        <x:v>-276449.547478965</x:v>
      </x:c>
      <x:c r="O9" s="462" t="n">
        <x:f>-O8*'Hypothèses'!B14</x:f>
        <x:v>-310430.895920162</x:v>
      </x:c>
      <x:c r="P9" s="462" t="n">
        <x:f>-P8*'Hypothèses'!B14</x:f>
        <x:v>-345674.1060616372</x:v>
      </x:c>
      <x:c r="Q9" s="462" t="n">
        <x:f>-Q8*'Hypothèses'!B14</x:f>
        <x:v>-381207.54439417657</x:v>
      </x:c>
      <x:c r="R9" s="462" t="n">
        <x:f>-R8*'Hypothèses'!B14</x:f>
        <x:v>-416807.73521066055</x:v>
      </x:c>
      <x:c r="S9" s="462" t="n">
        <x:f>-S8*'Hypothèses'!B14</x:f>
        <x:v>-452423.2790984519</x:v>
      </x:c>
      <x:c r="T9" s="462" t="n">
        <x:f>-T8*'Hypothèses'!B14</x:f>
        <x:v>-488042.35419264395</x:v>
      </x:c>
      <x:c r="U9" s="462" t="n">
        <x:f>-U8*'Hypothèses'!B14</x:f>
        <x:v>-523662.24146430806</x:v>
      </x:c>
      <x:c r="V9" s="462" t="n">
        <x:f>-V8*'Hypothèses'!B14</x:f>
        <x:v>-559282.3155367909</x:v>
      </x:c>
      <x:c r="W9" s="462" t="n">
        <x:f>-W8*'Hypothèses'!B14</x:f>
        <x:v>-594902.4325734618</x:v>
      </x:c>
      <x:c r="X9" s="462" t="n">
        <x:f>-X8*'Hypothèses'!B14</x:f>
        <x:v>-630522.5594918962</x:v>
      </x:c>
      <x:c r="Y9" s="462" t="n">
        <x:f>-Y8*'Hypothèses'!B14</x:f>
        <x:v>-693570.1886831361</x:v>
      </x:c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Frais PSP</x:t>
        </x:is>
      </x:c>
      <x:c r="B10" s="462" t="n">
        <x:f>-(B8+B9)*'Hypothèses'!B15</x:f>
        <x:v>-31518.768750000003</x:v>
      </x:c>
      <x:c r="C10" s="462" t="n">
        <x:f>-(C8+C9)*'Hypothèses'!B15</x:f>
        <x:v>-57679.3468125</x:v>
      </x:c>
      <x:c r="D10" s="462" t="n">
        <x:f>-(D8+D9)*'Hypothèses'!B15</x:f>
        <x:v>-88911.29476687501</x:v>
      </x:c>
      <x:c r="E10" s="462" t="n">
        <x:f>-(E8+E9)*'Hypothèses'!B15</x:f>
        <x:v>-121309.65779638125</x:v>
      </x:c>
      <x:c r="F10" s="462" t="n">
        <x:f>-(F8+F9)*'Hypothèses'!B15</x:f>
        <x:v>-153976.29629316772</x:v>
      </x:c>
      <x:c r="G10" s="462" t="n">
        <x:f>-(G8+G9)*'Hypothèses'!B15</x:f>
        <x:v>-199312.14564742858</x:v>
      </x:c>
      <x:c r="H10" s="462" t="n">
        <x:f>-(H8+H9)*'Hypothèses'!B15</x:f>
        <x:v>-247561.91349890857</x:v>
      </x:c>
      <x:c r="I10" s="462" t="n">
        <x:f>-(I8+I9)*'Hypothèses'!B15</x:f>
        <x:v>-309089.390104749</x:v>
      </x:c>
      <x:c r="J10" s="462" t="n">
        <x:f>-(J8+J9)*'Hypothèses'!B15</x:f>
        <x:v>-373670.7397240923</x:v>
      </x:c>
      <x:c r="K10" s="462" t="n">
        <x:f>-(K8+K9)*'Hypothèses'!B15</x:f>
        <x:v>-438954.48013654124</x:v>
      </x:c>
      <x:c r="L10" s="462" t="n">
        <x:f>-(L8+L9)*'Hypothèses'!B15</x:f>
        <x:v>-504399.7704314046</x:v>
      </x:c>
      <x:c r="M10" s="462" t="n">
        <x:f>-(M8+M9)*'Hypothèses'!B15</x:f>
        <x:v>-569882.217199223</x:v>
      </x:c>
      <x:c r="N10" s="462" t="n">
        <x:f>-(N8+N9)*'Hypothèses'!B15</x:f>
        <x:v>-635373.2099558213</x:v>
      </x:c>
      <x:c r="O10" s="462" t="n">
        <x:f>-(O8+O9)*'Hypothèses'!B15</x:f>
        <x:v>-713473.675789839</x:v>
      </x:c>
      <x:c r="P10" s="462" t="n">
        <x:f>-(P8+P9)*'Hypothèses'!B15</x:f>
        <x:v>-794474.3204316631</x:v>
      </x:c>
      <x:c r="Q10" s="462" t="n">
        <x:f>-(Q8+Q9)*'Hypothèses'!B15</x:f>
        <x:v>-876142.0061992826</x:v>
      </x:c>
      <x:c r="R10" s="462" t="n">
        <x:f>-(R8+R9)*'Hypothèses'!B15</x:f>
        <x:v>-957963.1114258349</x:v>
      </x:c>
      <x:c r="S10" s="462" t="n">
        <x:f>-(S8+S9)*'Hypothèses'!B15</x:f>
        <x:v>-1039819.503127942</x:v>
      </x:c>
      <x:c r="T10" s="462" t="n">
        <x:f>-(T8+T9)*'Hypothèses'!B15</x:f>
        <x:v>-1121684.010719427</x:v>
      </x:c>
      <x:c r="U10" s="462" t="n">
        <x:f>-(U8+U9)*'Hypothèses'!B15</x:f>
        <x:v>-1203550.3849654682</x:v>
      </x:c>
      <x:c r="V10" s="462" t="n">
        <x:f>-(V8+V9)*'Hypothèses'!B15</x:f>
        <x:v>-1285417.188542058</x:v>
      </x:c>
      <x:c r="W10" s="462" t="n">
        <x:f>-(W8+W9)*'Hypothèses'!B15</x:f>
        <x:v>-1367284.0908646735</x:v>
      </x:c>
      <x:c r="X10" s="462" t="n">
        <x:f>-(X8+X9)*'Hypothèses'!B15</x:f>
        <x:v>-1449151.015898875</x:v>
      </x:c>
      <x:c r="Y10" s="462" t="n">
        <x:f>-(Y8+Y9)*'Hypothèses'!B15</x:f>
        <x:v>-1594055.4836567414</x:v>
      </x:c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Provision fiscale</x:t>
        </x:is>
      </x:c>
      <x:c r="B11" s="462" t="n">
        <x:f>-B8*'Hypothèses'!B25</x:f>
        <x:v>0</x:v>
      </x:c>
      <x:c r="C11" s="462" t="n">
        <x:f>-C8*'Hypothèses'!B25</x:f>
        <x:v>0</x:v>
      </x:c>
      <x:c r="D11" s="462" t="n">
        <x:f>-D8*'Hypothèses'!B25</x:f>
        <x:v>0</x:v>
      </x:c>
      <x:c r="E11" s="462" t="n">
        <x:f>-E8*'Hypothèses'!B25</x:f>
        <x:v>0</x:v>
      </x:c>
      <x:c r="F11" s="462" t="n">
        <x:f>-F8*'Hypothèses'!B25</x:f>
        <x:v>0</x:v>
      </x:c>
      <x:c r="G11" s="462" t="n">
        <x:f>-G8*'Hypothèses'!B25</x:f>
        <x:v>0</x:v>
      </x:c>
      <x:c r="H11" s="462" t="n">
        <x:f>-H8*'Hypothèses'!B25</x:f>
        <x:v>0</x:v>
      </x:c>
      <x:c r="I11" s="462" t="n">
        <x:f>-I8*'Hypothèses'!B25</x:f>
        <x:v>0</x:v>
      </x:c>
      <x:c r="J11" s="462" t="n">
        <x:f>-J8*'Hypothèses'!B25</x:f>
        <x:v>0</x:v>
      </x:c>
      <x:c r="K11" s="462" t="n">
        <x:f>-K8*'Hypothèses'!B25</x:f>
        <x:v>0</x:v>
      </x:c>
      <x:c r="L11" s="462" t="n">
        <x:f>-L8*'Hypothèses'!B25</x:f>
        <x:v>0</x:v>
      </x:c>
      <x:c r="M11" s="462" t="n">
        <x:f>-M8*'Hypothèses'!B25</x:f>
        <x:v>0</x:v>
      </x:c>
      <x:c r="N11" s="462" t="n">
        <x:f>-N8*'Hypothèses'!B25</x:f>
        <x:v>0</x:v>
      </x:c>
      <x:c r="O11" s="462" t="n">
        <x:f>-O8*'Hypothèses'!B25</x:f>
        <x:v>0</x:v>
      </x:c>
      <x:c r="P11" s="462" t="n">
        <x:f>-P8*'Hypothèses'!B25</x:f>
        <x:v>0</x:v>
      </x:c>
      <x:c r="Q11" s="462" t="n">
        <x:f>-Q8*'Hypothèses'!B25</x:f>
        <x:v>0</x:v>
      </x:c>
      <x:c r="R11" s="462" t="n">
        <x:f>-R8*'Hypothèses'!B25</x:f>
        <x:v>0</x:v>
      </x:c>
      <x:c r="S11" s="462" t="n">
        <x:f>-S8*'Hypothèses'!B25</x:f>
        <x:v>0</x:v>
      </x:c>
      <x:c r="T11" s="462" t="n">
        <x:f>-T8*'Hypothèses'!B25</x:f>
        <x:v>0</x:v>
      </x:c>
      <x:c r="U11" s="462" t="n">
        <x:f>-U8*'Hypothèses'!B25</x:f>
        <x:v>0</x:v>
      </x:c>
      <x:c r="V11" s="462" t="n">
        <x:f>-V8*'Hypothèses'!B25</x:f>
        <x:v>0</x:v>
      </x:c>
      <x:c r="W11" s="462" t="n">
        <x:f>-W8*'Hypothèses'!B25</x:f>
        <x:v>0</x:v>
      </x:c>
      <x:c r="X11" s="462" t="n">
        <x:f>-X8*'Hypothèses'!B25</x:f>
        <x:v>0</x:v>
      </x:c>
      <x:c r="Y11" s="462" t="n">
        <x:f>-Y8*'Hypothèses'!B25</x:f>
        <x:v>0</x:v>
      </x:c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CAC nouveaux acheteurs</x:t>
        </x:is>
      </x:c>
      <x:c r="B12" s="462" t="n">
        <x:f>-B5*'Hypothèses'!B16</x:f>
        <x:v>-112500</x:v>
      </x:c>
      <x:c r="C12" s="462" t="n">
        <x:f>-C5*'Hypothèses'!B16</x:f>
        <x:v>-180000</x:v>
      </x:c>
      <x:c r="D12" s="462" t="n">
        <x:f>-D5*'Hypothèses'!B16</x:f>
        <x:v>-270000</x:v>
      </x:c>
      <x:c r="E12" s="462" t="n">
        <x:f>-E5*'Hypothèses'!B16</x:f>
        <x:v>-360000</x:v>
      </x:c>
      <x:c r="F12" s="462" t="n">
        <x:f>-F5*'Hypothèses'!B16</x:f>
        <x:v>-450000</x:v>
      </x:c>
      <x:c r="G12" s="462" t="n">
        <x:f>-G5*'Hypothèses'!B16</x:f>
        <x:v>-585000</x:v>
      </x:c>
      <x:c r="H12" s="462" t="n">
        <x:f>-H5*'Hypothèses'!B16</x:f>
        <x:v>-720000</x:v>
      </x:c>
      <x:c r="I12" s="462" t="n">
        <x:f>-I5*'Hypothèses'!B16</x:f>
        <x:v>-900000</x:v>
      </x:c>
      <x:c r="J12" s="462" t="n">
        <x:f>-J5*'Hypothèses'!B16</x:f>
        <x:v>-1080000</x:v>
      </x:c>
      <x:c r="K12" s="462" t="n">
        <x:f>-K5*'Hypothèses'!B16</x:f>
        <x:v>-1260000</x:v>
      </x:c>
      <x:c r="L12" s="462" t="n">
        <x:f>-L5*'Hypothèses'!B16</x:f>
        <x:v>-1440000</x:v>
      </x:c>
      <x:c r="M12" s="462" t="n">
        <x:f>-M5*'Hypothèses'!B16</x:f>
        <x:v>-1620000</x:v>
      </x:c>
      <x:c r="N12" s="462" t="n">
        <x:f>-N5*'Hypothèses'!B16</x:f>
        <x:v>-1800000</x:v>
      </x:c>
      <x:c r="O12" s="462" t="n">
        <x:f>-O5*'Hypothèses'!B16</x:f>
        <x:v>-2025000</x:v>
      </x:c>
      <x:c r="P12" s="462" t="n">
        <x:f>-P5*'Hypothèses'!B16</x:f>
        <x:v>-2250000</x:v>
      </x:c>
      <x:c r="Q12" s="462" t="n">
        <x:f>-Q5*'Hypothèses'!B16</x:f>
        <x:v>-2475000</x:v>
      </x:c>
      <x:c r="R12" s="462" t="n">
        <x:f>-R5*'Hypothèses'!B16</x:f>
        <x:v>-2700000</x:v>
      </x:c>
      <x:c r="S12" s="462" t="n">
        <x:f>-S5*'Hypothèses'!B16</x:f>
        <x:v>-2925000</x:v>
      </x:c>
      <x:c r="T12" s="462" t="n">
        <x:f>-T5*'Hypothèses'!B16</x:f>
        <x:v>-3150000</x:v>
      </x:c>
      <x:c r="U12" s="462" t="n">
        <x:f>-U5*'Hypothèses'!B16</x:f>
        <x:v>-3375000</x:v>
      </x:c>
      <x:c r="V12" s="462" t="n">
        <x:f>-V5*'Hypothèses'!B16</x:f>
        <x:v>-3600000</x:v>
      </x:c>
      <x:c r="W12" s="462" t="n">
        <x:f>-W5*'Hypothèses'!B16</x:f>
        <x:v>-3825000</x:v>
      </x:c>
      <x:c r="X12" s="462" t="n">
        <x:f>-X5*'Hypothèses'!B16</x:f>
        <x:v>-4050000</x:v>
      </x:c>
      <x:c r="Y12" s="462" t="n">
        <x:f>-Y5*'Hypothèses'!B16</x:f>
        <x:v>-4500000</x:v>
      </x:c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inlineStr">
        <x:is>
          <x:t xml:space="preserve">Support variable</x:t>
        </x:is>
      </x:c>
      <x:c r="B13" s="462" t="n">
        <x:f>-B7*'Hypothèses'!B17</x:f>
        <x:v>-17500</x:v>
      </x:c>
      <x:c r="C13" s="462" t="n">
        <x:f>-C7*'Hypothèses'!B17</x:f>
        <x:v>-32025</x:v>
      </x:c>
      <x:c r="D13" s="462" t="n">
        <x:f>-D7*'Hypothèses'!B17</x:f>
        <x:v>-49365.75000000001</x:v>
      </x:c>
      <x:c r="E13" s="462" t="n">
        <x:f>-E7*'Hypothèses'!B17</x:f>
        <x:v>-67354.1225</x:v>
      </x:c>
      <x:c r="F13" s="462" t="n">
        <x:f>-F7*'Hypothèses'!B17</x:f>
        <x:v>-85491.448175</x:v>
      </x:c>
      <x:c r="G13" s="462" t="n">
        <x:f>-G7*'Hypothèses'!B17</x:f>
        <x:v>-110663.03308025</x:v>
      </x:c>
      <x:c r="H13" s="462" t="n">
        <x:f>-H7*'Hypothèses'!B17</x:f>
        <x:v>-137452.4976084575</x:v>
      </x:c>
      <x:c r="I13" s="462" t="n">
        <x:f>-I7*'Hypothèses'!B17</x:f>
        <x:v>-171614.0744499452</x:v>
      </x:c>
      <x:c r="J13" s="462" t="n">
        <x:f>-J7*'Hypothèses'!B17</x:f>
        <x:v>-207471.2371234874</x:v>
      </x:c>
      <x:c r="K13" s="462" t="n">
        <x:f>-K7*'Hypothèses'!B17</x:f>
        <x:v>-243718.3845384021</x:v>
      </x:c>
      <x:c r="L13" s="462" t="n">
        <x:f>-L7*'Hypothèses'!B17</x:f>
        <x:v>-280055.2284438325</x:v>
      </x:c>
      <x:c r="M13" s="462" t="n">
        <x:f>-M7*'Hypothèses'!B17</x:f>
        <x:v>-316412.7025420815</x:v>
      </x:c>
      <x:c r="N13" s="462" t="n">
        <x:f>-N7*'Hypothèses'!B17</x:f>
        <x:v>-352774.92158467876</x:v>
      </x:c>
      <x:c r="O13" s="462" t="n">
        <x:f>-O7*'Hypothèses'!B17</x:f>
        <x:v>-396138.2319644761</x:v>
      </x:c>
      <x:c r="P13" s="462" t="n">
        <x:f>-P7*'Hypothèses'!B17</x:f>
        <x:v>-441111.7933518295</x:v>
      </x:c>
      <x:c r="Q13" s="462" t="n">
        <x:f>-Q7*'Hypothèses'!B17</x:f>
        <x:v>-486455.7124709208</x:v>
      </x:c>
      <x:c r="R13" s="462" t="n">
        <x:f>-R7*'Hypothèses'!B17</x:f>
        <x:v>-531884.8138683117</x:v>
      </x:c>
      <x:c r="S13" s="462" t="n">
        <x:f>-S7*'Hypothèses'!B17</x:f>
        <x:v>-577333.5071897117</x:v>
      </x:c>
      <x:c r="T13" s="462" t="n">
        <x:f>-T7*'Hypothèses'!B17</x:f>
        <x:v>-622786.7066536337</x:v>
      </x:c>
      <x:c r="U13" s="462" t="n">
        <x:f>-U7*'Hypothèses'!B17</x:f>
        <x:v>-668240.9425303357</x:v>
      </x:c>
      <x:c r="V13" s="462" t="n">
        <x:f>-V7*'Hypothèses'!B17</x:f>
        <x:v>-713695.4167819772</x:v>
      </x:c>
      <x:c r="W13" s="462" t="n">
        <x:f>-W7*'Hypothèses'!B17</x:f>
        <x:v>-759149.9458598547</x:v>
      </x:c>
      <x:c r="X13" s="462" t="n">
        <x:f>-X7*'Hypothèses'!B17</x:f>
        <x:v>-804604.4875477665</x:v>
      </x:c>
      <x:c r="Y13" s="462" t="n">
        <x:f>-Y7*'Hypothèses'!B17</x:f>
        <x:v>-885059.0321359864</x:v>
      </x:c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inlineStr">
        <x:is>
          <x:t xml:space="preserve">KYC / contrôle</x:t>
        </x:is>
      </x:c>
      <x:c r="B14" s="462" t="n">
        <x:f>-B7*'Hypothèses'!B7*'Hypothèses'!B18</x:f>
        <x:v>-4000</x:v>
      </x:c>
      <x:c r="C14" s="462" t="n">
        <x:f>-C7*'Hypothèses'!B7*'Hypothèses'!B18</x:f>
        <x:v>-7320</x:v>
      </x:c>
      <x:c r="D14" s="462" t="n">
        <x:f>-D7*'Hypothèses'!B7*'Hypothèses'!B18</x:f>
        <x:v>-11283.600000000002</x:v>
      </x:c>
      <x:c r="E14" s="462" t="n">
        <x:f>-E7*'Hypothèses'!B7*'Hypothèses'!B18</x:f>
        <x:v>-15395.228</x:v>
      </x:c>
      <x:c r="F14" s="462" t="n">
        <x:f>-F7*'Hypothèses'!B7*'Hypothèses'!B18</x:f>
        <x:v>-19540.90244</x:v>
      </x:c>
      <x:c r="G14" s="462" t="n">
        <x:f>-G7*'Hypothèses'!B7*'Hypothèses'!B18</x:f>
        <x:v>-25294.4075612</x:v>
      </x:c>
      <x:c r="H14" s="462" t="n">
        <x:f>-H7*'Hypothèses'!B7*'Hypothèses'!B18</x:f>
        <x:v>-31417.713739076</x:v>
      </x:c>
      <x:c r="I14" s="462" t="n">
        <x:f>-I7*'Hypothèses'!B7*'Hypothèses'!B18</x:f>
        <x:v>-39226.07415998748</x:v>
      </x:c>
      <x:c r="J14" s="462" t="n">
        <x:f>-J7*'Hypothèses'!B7*'Hypothèses'!B18</x:f>
        <x:v>-47421.99705679712</x:v>
      </x:c>
      <x:c r="K14" s="462" t="n">
        <x:f>-K7*'Hypothèses'!B7*'Hypothèses'!B18</x:f>
        <x:v>-55707.05932306334</x:v>
      </x:c>
      <x:c r="L14" s="462" t="n">
        <x:f>-L7*'Hypothèses'!B7*'Hypothèses'!B18</x:f>
        <x:v>-64012.62364430457</x:v>
      </x:c>
      <x:c r="M14" s="462" t="n">
        <x:f>-M7*'Hypothèses'!B7*'Hypothèses'!B18</x:f>
        <x:v>-72322.90343819006</x:v>
      </x:c>
      <x:c r="N14" s="462" t="n">
        <x:f>-N7*'Hypothèses'!B7*'Hypothèses'!B18</x:f>
        <x:v>-80634.2677907837</x:v>
      </x:c>
      <x:c r="O14" s="462" t="n">
        <x:f>-O7*'Hypothèses'!B7*'Hypothèses'!B18</x:f>
        <x:v>-90545.88159188026</x:v>
      </x:c>
      <x:c r="P14" s="462" t="n">
        <x:f>-P7*'Hypothèses'!B7*'Hypothèses'!B18</x:f>
        <x:v>-100825.55276613246</x:v>
      </x:c>
      <x:c r="Q14" s="462" t="n">
        <x:f>-Q7*'Hypothèses'!B7*'Hypothèses'!B18</x:f>
        <x:v>-111189.87713621047</x:v>
      </x:c>
      <x:c r="R14" s="462" t="n">
        <x:f>-R7*'Hypothèses'!B7*'Hypothèses'!B18</x:f>
        <x:v>-121573.67174132839</x:v>
      </x:c>
      <x:c r="S14" s="462" t="n">
        <x:f>-S7*'Hypothèses'!B7*'Hypothèses'!B18</x:f>
        <x:v>-131961.94450050552</x:v>
      </x:c>
      <x:c r="T14" s="462" t="n">
        <x:f>-T7*'Hypothèses'!B7*'Hypothèses'!B18</x:f>
        <x:v>-142351.2472351163</x:v>
      </x:c>
      <x:c r="U14" s="462" t="n">
        <x:f>-U7*'Hypothèses'!B7*'Hypothèses'!B18</x:f>
        <x:v>-152740.78686407674</x:v>
      </x:c>
      <x:c r="V14" s="462" t="n">
        <x:f>-V7*'Hypothèses'!B7*'Hypothèses'!B18</x:f>
        <x:v>-163130.38097873767</x:v>
      </x:c>
      <x:c r="W14" s="462" t="n">
        <x:f>-W7*'Hypothèses'!B7*'Hypothèses'!B18</x:f>
        <x:v>-173519.98762510964</x:v>
      </x:c>
      <x:c r="X14" s="462" t="n">
        <x:f>-X7*'Hypothèses'!B7*'Hypothèses'!B18</x:f>
        <x:v>-183909.59715377522</x:v>
      </x:c>
      <x:c r="Y14" s="462" t="n">
        <x:f>-Y7*'Hypothèses'!B7*'Hypothèses'!B18</x:f>
        <x:v>-202299.2073453683</x:v>
      </x:c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inlineStr">
        <x:is>
          <x:t xml:space="preserve">Fraude / paiement</x:t>
        </x:is>
      </x:c>
      <x:c r="B15" s="462" t="n">
        <x:f>-B8*'Hypothèses'!B20</x:f>
        <x:v>-4571.25</x:v>
      </x:c>
      <x:c r="C15" s="462" t="n">
        <x:f>-C8*'Hypothèses'!B20</x:f>
        <x:v>-8365.3875</x:v>
      </x:c>
      <x:c r="D15" s="462" t="n">
        <x:f>-D8*'Hypothèses'!B20</x:f>
        <x:v>-12895.039125000001</x:v>
      </x:c>
      <x:c r="E15" s="462" t="n">
        <x:f>-E8*'Hypothèses'!B20</x:f>
        <x:v>-17593.858998749998</x:v>
      </x:c>
      <x:c r="F15" s="462" t="n">
        <x:f>-F8*'Hypothèses'!B20</x:f>
        <x:v>-22331.587569712497</x:v>
      </x:c>
      <x:c r="G15" s="462" t="n">
        <x:f>-G8*'Hypothèses'!B20</x:f>
        <x:v>-28906.765141033877</x:v>
      </x:c>
      <x:c r="H15" s="462" t="n">
        <x:f>-H8*'Hypothèses'!B20</x:f>
        <x:v>-35904.55598243779</x:v>
      </x:c>
      <x:c r="I15" s="462" t="n">
        <x:f>-I8*'Hypothèses'!B20</x:f>
        <x:v>-44828.04787596069</x:v>
      </x:c>
      <x:c r="J15" s="462" t="n">
        <x:f>-J8*'Hypothèses'!B20</x:f>
        <x:v>-54194.451011470956</x:v>
      </x:c>
      <x:c r="K15" s="462" t="n">
        <x:f>-K8*'Hypothèses'!B20</x:f>
        <x:v>-63662.723732638326</x:v>
      </x:c>
      <x:c r="L15" s="462" t="n">
        <x:f>-L8*'Hypothèses'!B20</x:f>
        <x:v>-73154.42645850682</x:v>
      </x:c>
      <x:c r="M15" s="462" t="n">
        <x:f>-M8*'Hypothèses'!B20</x:f>
        <x:v>-82651.51808545657</x:v>
      </x:c>
      <x:c r="N15" s="462" t="n">
        <x:f>-N8*'Hypothèses'!B20</x:f>
        <x:v>-92149.84915965502</x:v>
      </x:c>
      <x:c r="O15" s="462" t="n">
        <x:f>-O8*'Hypothèses'!B20</x:f>
        <x:v>-103476.96530672067</x:v>
      </x:c>
      <x:c r="P15" s="462" t="n">
        <x:f>-P8*'Hypothèses'!B20</x:f>
        <x:v>-115224.70202054575</x:v>
      </x:c>
      <x:c r="Q15" s="462" t="n">
        <x:f>-Q8*'Hypothèses'!B20</x:f>
        <x:v>-127069.18146472554</x:v>
      </x:c>
      <x:c r="R15" s="462" t="n">
        <x:f>-R8*'Hypothèses'!B20</x:f>
        <x:v>-138935.91173688686</x:v>
      </x:c>
      <x:c r="S15" s="462" t="n">
        <x:f>-S8*'Hypothèses'!B20</x:f>
        <x:v>-150807.75969948396</x:v>
      </x:c>
      <x:c r="T15" s="462" t="n">
        <x:f>-T8*'Hypothèses'!B20</x:f>
        <x:v>-162680.78473088134</x:v>
      </x:c>
      <x:c r="U15" s="462" t="n">
        <x:f>-U8*'Hypothèses'!B20</x:f>
        <x:v>-174554.0804881027</x:v>
      </x:c>
      <x:c r="V15" s="462" t="n">
        <x:f>-V8*'Hypothèses'!B20</x:f>
        <x:v>-186427.43851226364</x:v>
      </x:c>
      <x:c r="W15" s="462" t="n">
        <x:f>-W8*'Hypothèses'!B20</x:f>
        <x:v>-198300.81085782062</x:v>
      </x:c>
      <x:c r="X15" s="462" t="n">
        <x:f>-X8*'Hypothèses'!B20</x:f>
        <x:v>-210174.18649729874</x:v>
      </x:c>
      <x:c r="Y15" s="462" t="n">
        <x:f>-Y8*'Hypothèses'!B20</x:f>
        <x:v>-231190.06289437873</x:v>
      </x:c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inlineStr">
        <x:is>
          <x:t xml:space="preserve">Affiliation</x:t>
        </x:is>
      </x:c>
      <x:c r="B16" s="462" t="n">
        <x:f>-B8*'Hypothèses'!B21</x:f>
        <x:v>0</x:v>
      </x:c>
      <x:c r="C16" s="462" t="n">
        <x:f>-C8*'Hypothèses'!B21</x:f>
        <x:v>0</x:v>
      </x:c>
      <x:c r="D16" s="462" t="n">
        <x:f>-D8*'Hypothèses'!B21</x:f>
        <x:v>0</x:v>
      </x:c>
      <x:c r="E16" s="462" t="n">
        <x:f>-E8*'Hypothèses'!B21</x:f>
        <x:v>0</x:v>
      </x:c>
      <x:c r="F16" s="462" t="n">
        <x:f>-F8*'Hypothèses'!B21</x:f>
        <x:v>0</x:v>
      </x:c>
      <x:c r="G16" s="462" t="n">
        <x:f>-G8*'Hypothèses'!B21</x:f>
        <x:v>0</x:v>
      </x:c>
      <x:c r="H16" s="462" t="n">
        <x:f>-H8*'Hypothèses'!B21</x:f>
        <x:v>0</x:v>
      </x:c>
      <x:c r="I16" s="462" t="n">
        <x:f>-I8*'Hypothèses'!B21</x:f>
        <x:v>0</x:v>
      </x:c>
      <x:c r="J16" s="462" t="n">
        <x:f>-J8*'Hypothèses'!B21</x:f>
        <x:v>0</x:v>
      </x:c>
      <x:c r="K16" s="462" t="n">
        <x:f>-K8*'Hypothèses'!B21</x:f>
        <x:v>0</x:v>
      </x:c>
      <x:c r="L16" s="462" t="n">
        <x:f>-L8*'Hypothèses'!B21</x:f>
        <x:v>0</x:v>
      </x:c>
      <x:c r="M16" s="462" t="n">
        <x:f>-M8*'Hypothèses'!B21</x:f>
        <x:v>0</x:v>
      </x:c>
      <x:c r="N16" s="462" t="n">
        <x:f>-N8*'Hypothèses'!B21</x:f>
        <x:v>0</x:v>
      </x:c>
      <x:c r="O16" s="462" t="n">
        <x:f>-O8*'Hypothèses'!B21</x:f>
        <x:v>0</x:v>
      </x:c>
      <x:c r="P16" s="462" t="n">
        <x:f>-P8*'Hypothèses'!B21</x:f>
        <x:v>0</x:v>
      </x:c>
      <x:c r="Q16" s="462" t="n">
        <x:f>-Q8*'Hypothèses'!B21</x:f>
        <x:v>0</x:v>
      </x:c>
      <x:c r="R16" s="462" t="n">
        <x:f>-R8*'Hypothèses'!B21</x:f>
        <x:v>0</x:v>
      </x:c>
      <x:c r="S16" s="462" t="n">
        <x:f>-S8*'Hypothèses'!B21</x:f>
        <x:v>0</x:v>
      </x:c>
      <x:c r="T16" s="462" t="n">
        <x:f>-T8*'Hypothèses'!B21</x:f>
        <x:v>0</x:v>
      </x:c>
      <x:c r="U16" s="462" t="n">
        <x:f>-U8*'Hypothèses'!B21</x:f>
        <x:v>0</x:v>
      </x:c>
      <x:c r="V16" s="462" t="n">
        <x:f>-V8*'Hypothèses'!B21</x:f>
        <x:v>0</x:v>
      </x:c>
      <x:c r="W16" s="462" t="n">
        <x:f>-W8*'Hypothèses'!B21</x:f>
        <x:v>0</x:v>
      </x:c>
      <x:c r="X16" s="462" t="n">
        <x:f>-X8*'Hypothèses'!B21</x:f>
        <x:v>0</x:v>
      </x:c>
      <x:c r="Y16" s="462" t="n">
        <x:f>-Y8*'Hypothèses'!B21</x:f>
        <x:v>0</x:v>
      </x:c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289" t="inlineStr">
        <x:is>
          <x:t xml:space="preserve">Cash net avant réserve et OPEX</x:t>
        </x:is>
      </x:c>
      <x:c r="B17" s="464" t="n">
        <x:f>SUM(B8:B16)</x:f>
        <x:v>730446.23125</x:v>
      </x:c>
      <x:c r="C17" s="464" t="n">
        <x:f>SUM(C8:C16)</x:f>
        <x:v>1362591.6031875</x:v>
      </x:c>
      <x:c r="D17" s="464" t="n">
        <x:f>SUM(D8:D16)</x:f>
        <x:v>2107867.023733125</x:v>
      </x:c>
      <x:c r="E17" s="464" t="n">
        <x:f>SUM(E8:E16)</x:f>
        <x:v>2884337.3554586186</x:v>
      </x:c>
      <x:c r="F17" s="464" t="n">
        <x:f>SUM(F8:F16)</x:f>
        <x:v>3667982.5167554826</x:v>
      </x:c>
      <x:c r="G17" s="464" t="n">
        <x:f>SUM(G8:G16)</x:f>
        <x:v>4745456.381353761</x:v>
      </x:c>
      <x:c r="H17" s="464" t="n">
        <x:f>SUM(H8:H16)</x:f>
        <x:v>5900860.847711365</x:v>
      </x:c>
      <x:c r="I17" s="464" t="n">
        <x:f>SUM(I8:I16)</x:f>
        <x:v>7366367.844973615</x:v>
      </x:c>
      <x:c r="J17" s="464" t="n">
        <x:f>SUM(J8:J16)</x:f>
        <x:v>8913548.42434393</x:v>
      </x:c>
      <x:c r="K17" s="464" t="n">
        <x:f>SUM(K8:K16)</x:f>
        <x:v>10479513.927599102</x:v>
      </x:c>
      <x:c r="L17" s="464" t="n">
        <x:f>SUM(L8:L16)</x:f>
        <x:v>12049799.963347794</x:v>
      </x:c>
      <x:c r="M17" s="464" t="n">
        <x:f>SUM(M8:M16)</x:f>
        <x:v>13621079.72156999</x:v>
      </x:c>
      <x:c r="N17" s="464" t="n">
        <x:f>SUM(N8:N16)</x:f>
        <x:v>15192588.035961097</x:v>
      </x:c>
      <x:c r="O17" s="464" t="n">
        <x:f>SUM(O8:O16)</x:f>
        <x:v>17056327.410771053</x:v>
      </x:c>
      <x:c r="P17" s="464" t="n">
        <x:f>SUM(P8:P16)</x:f>
        <x:v>18997629.92947734</x:v>
      </x:c>
      <x:c r="Q17" s="464" t="n">
        <x:f>SUM(Q8:Q16)</x:f>
        <x:v>20956771.97127979</x:v>
      </x:c>
      <x:c r="R17" s="464" t="n">
        <x:f>SUM(R8:R16)</x:f>
        <x:v>22920017.10339435</x:v>
      </x:c>
      <x:c r="S17" s="464" t="n">
        <x:f>SUM(S8:S16)</x:f>
        <x:v>24884205.946280695</x:v>
      </x:c>
      <x:c r="T17" s="464" t="n">
        <x:f>SUM(T8:T16)</x:f>
        <x:v>26848611.842644565</x:v>
      </x:c>
      <x:c r="U17" s="464" t="n">
        <x:f>SUM(U8:U16)</x:f>
        <x:v>28813067.661308248</x:v>
      </x:c>
      <x:c r="V17" s="464" t="n">
        <x:f>SUM(V8:V16)</x:f>
        <x:v>30777534.9621009</x:v>
      </x:c>
      <x:c r="W17" s="464" t="n">
        <x:f>SUM(W8:W16)</x:f>
        <x:v>32742004.903783206</x:v>
      </x:c>
      <x:c r="X17" s="464" t="n">
        <x:f>SUM(X8:X16)</x:f>
        <x:v>34706475.45287013</x:v>
      </x:c>
      <x:c r="Y17" s="464" t="n">
        <x:f>SUM(Y8:Y16)</x:f>
        <x:v>38131838.60416013</x:v>
      </x:c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inlineStr">
        <x:is>
          <x:t xml:space="preserve">Transfert vers réserve</x:t>
        </x:is>
      </x:c>
      <x:c r="B18" s="462" t="n">
        <x:f>MAX(0,(B8+B9+B10+B11)*'Hypothèses'!B23)</x:f>
        <x:v>304156.1184375</x:v>
      </x:c>
      <x:c r="C18" s="462" t="n">
        <x:f>MAX(0,(C8+C9+C10+C11)*'Hypothèses'!B23)</x:f>
        <x:v>556605.696740625</x:v>
      </x:c>
      <x:c r="D18" s="462" t="n">
        <x:f>MAX(0,(D8+D9+D10+D11)*'Hypothèses'!B23)</x:f>
        <x:v>857993.9945003438</x:v>
      </x:c>
      <x:c r="E18" s="462" t="n">
        <x:f>MAX(0,(E8+E9+E10+E11)*'Hypothèses'!B23)</x:f>
        <x:v>1170638.1977350789</x:v>
      </x:c>
      <x:c r="F18" s="462" t="n">
        <x:f>MAX(0,(F8+F9+F10+F11)*'Hypothèses'!B23)</x:f>
        <x:v>1485871.2592290682</x:v>
      </x:c>
      <x:c r="G18" s="462" t="n">
        <x:f>MAX(0,(G8+G9+G10+G11)*'Hypothèses'!B23)</x:f>
        <x:v>1923362.2054976854</x:v>
      </x:c>
      <x:c r="H18" s="462" t="n">
        <x:f>MAX(0,(H8+H9+H10+H11)*'Hypothèses'!B23)</x:f>
        <x:v>2388972.4652644675</x:v>
      </x:c>
      <x:c r="I18" s="462" t="n">
        <x:f>MAX(0,(I8+I9+I10+I11)*'Hypothèses'!B23)</x:f>
        <x:v>2982712.6145108277</x:v>
      </x:c>
      <x:c r="J18" s="462" t="n">
        <x:f>MAX(0,(J8+J9+J10+J11)*'Hypothèses'!B23)</x:f>
        <x:v>3605922.63833749</x:v>
      </x:c>
      <x:c r="K18" s="462" t="n">
        <x:f>MAX(0,(K8+K9+K10+K11)*'Hypothèses'!B23)</x:f>
        <x:v>4235910.733317622</x:v>
      </x:c>
      <x:c r="L18" s="462" t="n">
        <x:f>MAX(0,(L8+L9+L10+L11)*'Hypothèses'!B23)</x:f>
        <x:v>4867457.784663053</x:v>
      </x:c>
      <x:c r="M18" s="462" t="n">
        <x:f>MAX(0,(M8+M9+M10+M11)*'Hypothèses'!B23)</x:f>
        <x:v>5499363.3959725015</x:v>
      </x:c>
      <x:c r="N18" s="462" t="n">
        <x:f>MAX(0,(N8+N9+N10+N11)*'Hypothèses'!B23)</x:f>
        <x:v>6131351.476073674</x:v>
      </x:c>
      <x:c r="O18" s="462" t="n">
        <x:f>MAX(0,(O8+O9+O10+O11)*'Hypothèses'!B23)</x:f>
        <x:v>6885020.971371945</x:v>
      </x:c>
      <x:c r="P18" s="462" t="n">
        <x:f>MAX(0,(P8+P9+P10+P11)*'Hypothèses'!B23)</x:f>
        <x:v>7666677.192165546</x:v>
      </x:c>
      <x:c r="Q18" s="462" t="n">
        <x:f>MAX(0,(Q8+Q9+Q10+Q11)*'Hypothèses'!B23)</x:f>
        <x:v>8454770.359823076</x:v>
      </x:c>
      <x:c r="R18" s="462" t="n">
        <x:f>MAX(0,(R8+R9+R10+R11)*'Hypothèses'!B23)</x:f>
        <x:v>9244344.025259305</x:v>
      </x:c>
      <x:c r="S18" s="462" t="n">
        <x:f>MAX(0,(S8+S9+S10+S11)*'Hypothèses'!B23)</x:f>
        <x:v>10034258.205184639</x:v>
      </x:c>
      <x:c r="T18" s="462" t="n">
        <x:f>MAX(0,(T8+T9+T10+T11)*'Hypothèses'!B23)</x:f>
        <x:v>10824250.703442467</x:v>
      </x:c>
      <x:c r="U18" s="462" t="n">
        <x:f>MAX(0,(U8+U9+U10+U11)*'Hypothèses'!B23)</x:f>
        <x:v>11614261.214916766</x:v>
      </x:c>
      <x:c r="V18" s="462" t="n">
        <x:f>MAX(0,(V8+V9+V10+V11)*'Hypothèses'!B23)</x:f>
        <x:v>12404275.869430857</x:v>
      </x:c>
      <x:c r="W18" s="462" t="n">
        <x:f>MAX(0,(W8+W9+W10+W11)*'Hypothèses'!B23)</x:f>
        <x:v>13194291.476844097</x:v>
      </x:c>
      <x:c r="X18" s="462" t="n">
        <x:f>MAX(0,(X8+X9+X10+X11)*'Hypothèses'!B23)</x:f>
        <x:v>13984307.30342414</x:v>
      </x:c>
      <x:c r="Y18" s="462" t="n">
        <x:f>MAX(0,(Y8+Y9+Y10+Y11)*'Hypothèses'!B23)</x:f>
        <x:v>15382635.41728755</x:v>
      </x:c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inlineStr">
        <x:is>
          <x:t xml:space="preserve">OPEX fixe</x:t>
        </x:is>
      </x:c>
      <x:c r="B19" s="462" t="n">
        <x:f>-'Hypothèses'!B24</x:f>
        <x:v>-900000</x:v>
      </x:c>
      <x:c r="C19" s="462" t="n">
        <x:f>-'Hypothèses'!B24</x:f>
        <x:v>-900000</x:v>
      </x:c>
      <x:c r="D19" s="462" t="n">
        <x:f>-'Hypothèses'!B24</x:f>
        <x:v>-900000</x:v>
      </x:c>
      <x:c r="E19" s="462" t="n">
        <x:f>-'Hypothèses'!B24</x:f>
        <x:v>-900000</x:v>
      </x:c>
      <x:c r="F19" s="462" t="n">
        <x:f>-'Hypothèses'!B24</x:f>
        <x:v>-900000</x:v>
      </x:c>
      <x:c r="G19" s="462" t="n">
        <x:f>-'Hypothèses'!B24</x:f>
        <x:v>-900000</x:v>
      </x:c>
      <x:c r="H19" s="462" t="n">
        <x:f>-'Hypothèses'!B24</x:f>
        <x:v>-900000</x:v>
      </x:c>
      <x:c r="I19" s="462" t="n">
        <x:f>-'Hypothèses'!B24</x:f>
        <x:v>-900000</x:v>
      </x:c>
      <x:c r="J19" s="462" t="n">
        <x:f>-'Hypothèses'!B24</x:f>
        <x:v>-900000</x:v>
      </x:c>
      <x:c r="K19" s="462" t="n">
        <x:f>-'Hypothèses'!B24</x:f>
        <x:v>-900000</x:v>
      </x:c>
      <x:c r="L19" s="462" t="n">
        <x:f>-'Hypothèses'!B24</x:f>
        <x:v>-900000</x:v>
      </x:c>
      <x:c r="M19" s="462" t="n">
        <x:f>-'Hypothèses'!B24</x:f>
        <x:v>-900000</x:v>
      </x:c>
      <x:c r="N19" s="462" t="n">
        <x:f>-'Hypothèses'!B24</x:f>
        <x:v>-900000</x:v>
      </x:c>
      <x:c r="O19" s="462" t="n">
        <x:f>-'Hypothèses'!B24</x:f>
        <x:v>-900000</x:v>
      </x:c>
      <x:c r="P19" s="462" t="n">
        <x:f>-'Hypothèses'!B24</x:f>
        <x:v>-900000</x:v>
      </x:c>
      <x:c r="Q19" s="462" t="n">
        <x:f>-'Hypothèses'!B24</x:f>
        <x:v>-900000</x:v>
      </x:c>
      <x:c r="R19" s="462" t="n">
        <x:f>-'Hypothèses'!B24</x:f>
        <x:v>-900000</x:v>
      </x:c>
      <x:c r="S19" s="462" t="n">
        <x:f>-'Hypothèses'!B24</x:f>
        <x:v>-900000</x:v>
      </x:c>
      <x:c r="T19" s="462" t="n">
        <x:f>-'Hypothèses'!B24</x:f>
        <x:v>-900000</x:v>
      </x:c>
      <x:c r="U19" s="462" t="n">
        <x:f>-'Hypothèses'!B24</x:f>
        <x:v>-900000</x:v>
      </x:c>
      <x:c r="V19" s="462" t="n">
        <x:f>-'Hypothèses'!B24</x:f>
        <x:v>-900000</x:v>
      </x:c>
      <x:c r="W19" s="462" t="n">
        <x:f>-'Hypothèses'!B24</x:f>
        <x:v>-900000</x:v>
      </x:c>
      <x:c r="X19" s="462" t="n">
        <x:f>-'Hypothèses'!B24</x:f>
        <x:v>-900000</x:v>
      </x:c>
      <x:c r="Y19" s="462" t="n">
        <x:f>-'Hypothèses'!B24</x:f>
        <x:v>-900000</x:v>
      </x:c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289" t="inlineStr">
        <x:is>
          <x:t xml:space="preserve">Cash-flow exploitation</x:t>
        </x:is>
      </x:c>
      <x:c r="B20" s="464" t="n">
        <x:f>B17-B18+B19</x:f>
        <x:v>-473709.8871875</x:v>
      </x:c>
      <x:c r="C20" s="464" t="n">
        <x:f>C17-C18+C19</x:f>
        <x:v>-94014.09355312493</x:v>
      </x:c>
      <x:c r="D20" s="464" t="n">
        <x:f>D17-D18+D19</x:f>
        <x:v>349873.0292327814</x:v>
      </x:c>
      <x:c r="E20" s="464" t="n">
        <x:f>E17-E18+E19</x:f>
        <x:v>813699.1577235397</x:v>
      </x:c>
      <x:c r="F20" s="464" t="n">
        <x:f>F17-F18+F19</x:f>
        <x:v>1282111.2575264145</x:v>
      </x:c>
      <x:c r="G20" s="464" t="n">
        <x:f>G17-G18+G19</x:f>
        <x:v>1922094.1758560757</x:v>
      </x:c>
      <x:c r="H20" s="464" t="n">
        <x:f>H17-H18+H19</x:f>
        <x:v>2611888.382446897</x:v>
      </x:c>
      <x:c r="I20" s="464" t="n">
        <x:f>I17-I18+I19</x:f>
        <x:v>3483655.2304627877</x:v>
      </x:c>
      <x:c r="J20" s="464" t="n">
        <x:f>J17-J18+J19</x:f>
        <x:v>4407625.78600644</x:v>
      </x:c>
      <x:c r="K20" s="464" t="n">
        <x:f>K17-K18+K19</x:f>
        <x:v>5343603.19428148</x:v>
      </x:c>
      <x:c r="L20" s="464" t="n">
        <x:f>L17-L18+L19</x:f>
        <x:v>6282342.178684741</x:v>
      </x:c>
      <x:c r="M20" s="464" t="n">
        <x:f>M17-M18+M19</x:f>
        <x:v>7221716.325597489</x:v>
      </x:c>
      <x:c r="N20" s="464" t="n">
        <x:f>N17-N18+N19</x:f>
        <x:v>8161236.559887424</x:v>
      </x:c>
      <x:c r="O20" s="464" t="n">
        <x:f>O17-O18+O19</x:f>
        <x:v>9271306.439399108</x:v>
      </x:c>
      <x:c r="P20" s="464" t="n">
        <x:f>P17-P18+P19</x:f>
        <x:v>10430952.737311795</x:v>
      </x:c>
      <x:c r="Q20" s="464" t="n">
        <x:f>Q17-Q18+Q19</x:f>
        <x:v>11602001.611456713</x:v>
      </x:c>
      <x:c r="R20" s="464" t="n">
        <x:f>R17-R18+R19</x:f>
        <x:v>12775673.078135043</x:v>
      </x:c>
      <x:c r="S20" s="464" t="n">
        <x:f>S17-S18+S19</x:f>
        <x:v>13949947.741096057</x:v>
      </x:c>
      <x:c r="T20" s="464" t="n">
        <x:f>T17-T18+T19</x:f>
        <x:v>15124361.139202097</x:v>
      </x:c>
      <x:c r="U20" s="464" t="n">
        <x:f>U17-U18+U19</x:f>
        <x:v>16298806.446391482</x:v>
      </x:c>
      <x:c r="V20" s="464" t="n">
        <x:f>V17-V18+V19</x:f>
        <x:v>17473259.092670046</x:v>
      </x:c>
      <x:c r="W20" s="464" t="n">
        <x:f>W17-W18+W19</x:f>
        <x:v>18647713.426939107</x:v>
      </x:c>
      <x:c r="X20" s="464" t="n">
        <x:f>X17-X18+X19</x:f>
        <x:v>19822168.14944599</x:v>
      </x:c>
      <x:c r="Y20" s="464" t="n">
        <x:f>Y17-Y18+Y19</x:f>
        <x:v>21849203.18687258</x:v>
      </x:c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inlineStr">
        <x:is>
          <x:t xml:space="preserve">Payout #1</x:t>
        </x:is>
      </x:c>
      <x:c r="B21" s="462" t="n">
        <x:v>0</x:v>
      </x:c>
      <x:c r="C21" s="462" t="n">
        <x:v>0</x:v>
      </x:c>
      <x:c r="D21" s="462" t="n">
        <x:f>-B7*'Économie Unitaire'!F22</x:f>
        <x:v>-41983.2</x:v>
      </x:c>
      <x:c r="E21" s="462" t="n">
        <x:f>-C7*'Économie Unitaire'!F22</x:f>
        <x:v>-76829.256</x:v>
      </x:c>
      <x:c r="F21" s="462" t="n">
        <x:f>-D7*'Économie Unitaire'!F22</x:f>
        <x:v>-118430.40888</x:v>
      </x:c>
      <x:c r="G21" s="462" t="n">
        <x:f>-E7*'Économie Unitaire'!F22</x:f>
        <x:v>-161585.23404239997</x:v>
      </x:c>
      <x:c r="H21" s="462" t="n">
        <x:f>-F7*'Économie Unitaire'!F22</x:f>
        <x:v>-205097.40382975197</x:v>
      </x:c>
      <x:c r="I21" s="462" t="n">
        <x:f>-G7*'Économie Unitaire'!F22</x:f>
        <x:v>-265485.0428808429</x:v>
      </x:c>
      <x:c r="J21" s="462" t="n">
        <x:f>-H7*'Économie Unitaire'!F22</x:f>
        <x:v>-329754.0398625938</x:v>
      </x:c>
      <x:c r="K21" s="462" t="n">
        <x:f>-I7*'Économie Unitaire'!F22</x:f>
        <x:v>-411709.02916839655</x:v>
      </x:c>
      <x:c r="L21" s="462" t="n">
        <x:f>-J7*'Économie Unitaire'!F22</x:f>
        <x:v>-497731.7967087311</x:v>
      </x:c>
      <x:c r="M21" s="462" t="n">
        <x:f>-K7*'Économie Unitaire'!F22</x:f>
        <x:v>-584690.1532430081</x:v>
      </x:c>
      <x:c r="N21" s="462" t="n">
        <x:f>-L7*'Économie Unitaire'!F22</x:f>
        <x:v>-671863.6952458918</x:v>
      </x:c>
      <x:c r="O21" s="462" t="n">
        <x:f>-M7*'Économie Unitaire'!F22</x:f>
        <x:v>-759086.729906555</x:v>
      </x:c>
      <x:c r="P21" s="462" t="n">
        <x:f>-N7*'Économie Unitaire'!F22</x:f>
        <x:v>-846321.1478785076</x:v>
      </x:c>
      <x:c r="Q21" s="462" t="n">
        <x:f>-O7*'Économie Unitaire'!F22</x:f>
        <x:v>-950351.4640120567</x:v>
      </x:c>
      <x:c r="R21" s="462" t="n">
        <x:f>-P7*'Économie Unitaire'!F22</x:f>
        <x:v>-1058244.8367227728</x:v>
      </x:c>
      <x:c r="S21" s="462" t="n">
        <x:f>-Q7*'Économie Unitaire'!F22</x:f>
        <x:v>-1167026.7124462377</x:v>
      </x:c>
      <x:c r="T21" s="462" t="n">
        <x:f>-R7*'Économie Unitaire'!F22</x:f>
        <x:v>-1276012.9438626345</x:v>
      </x:c>
      <x:c r="U21" s="462" t="n">
        <x:f>-S7*'Économie Unitaire'!F22</x:f>
        <x:v>-1385046.1770884057</x:v>
      </x:c>
      <x:c r="V21" s="462" t="n">
        <x:f>-T7*'Économie Unitaire'!F22</x:f>
        <x:v>-1494090.2207303331</x:v>
      </x:c>
      <x:c r="W21" s="462" t="n">
        <x:f>-U7*'Économie Unitaire'!F22</x:f>
        <x:v>-1603136.7507679765</x:v>
      </x:c>
      <x:c r="X21" s="462" t="n">
        <x:f>-V7*'Économie Unitaire'!F22</x:f>
        <x:v>-1712183.8526766344</x:v>
      </x:c>
      <x:c r="Y21" s="462" t="n">
        <x:f>-W7*'Économie Unitaire'!F22</x:f>
        <x:v>-1821231.0861156255</x:v>
      </x:c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Payout #2</x:t>
        </x:is>
      </x:c>
      <x:c r="B22" s="462" t="n">
        <x:v>0</x:v>
      </x:c>
      <x:c r="C22" s="462" t="n">
        <x:v>0</x:v>
      </x:c>
      <x:c r="D22" s="462" t="n">
        <x:v>0</x:v>
      </x:c>
      <x:c r="E22" s="462" t="n">
        <x:f>-B7*'Économie Unitaire'!F23</x:f>
        <x:v>-23090.760000000002</x:v>
      </x:c>
      <x:c r="F22" s="462" t="n">
        <x:f>-C7*'Économie Unitaire'!F23</x:f>
        <x:v>-42256.0908</x:v>
      </x:c>
      <x:c r="G22" s="462" t="n">
        <x:f>-D7*'Économie Unitaire'!F23</x:f>
        <x:v>-65136.72488400001</x:v>
      </x:c>
      <x:c r="H22" s="462" t="n">
        <x:f>-E7*'Économie Unitaire'!F23</x:f>
        <x:v>-88871.87872332</x:v>
      </x:c>
      <x:c r="I22" s="462" t="n">
        <x:f>-F7*'Économie Unitaire'!F23</x:f>
        <x:v>-112803.5721063636</x:v>
      </x:c>
      <x:c r="J22" s="462" t="n">
        <x:f>-G7*'Économie Unitaire'!F23</x:f>
        <x:v>-146016.77358446363</x:v>
      </x:c>
      <x:c r="K22" s="462" t="n">
        <x:f>-H7*'Économie Unitaire'!F23</x:f>
        <x:v>-181364.72192442662</x:v>
      </x:c>
      <x:c r="L22" s="462" t="n">
        <x:f>-I7*'Économie Unitaire'!F23</x:f>
        <x:v>-226439.96604261812</x:v>
      </x:c>
      <x:c r="M22" s="462" t="n">
        <x:f>-J7*'Économie Unitaire'!F23</x:f>
        <x:v>-273752.48818980216</x:v>
      </x:c>
      <x:c r="N22" s="462" t="n">
        <x:f>-K7*'Économie Unitaire'!F23</x:f>
        <x:v>-321579.5842836545</x:v>
      </x:c>
      <x:c r="O22" s="462" t="n">
        <x:f>-L7*'Économie Unitaire'!F23</x:f>
        <x:v>-369525.03238524054</x:v>
      </x:c>
      <x:c r="P22" s="462" t="n">
        <x:f>-M7*'Économie Unitaire'!F23</x:f>
        <x:v>-417497.70144860534</x:v>
      </x:c>
      <x:c r="Q22" s="462" t="n">
        <x:f>-N7*'Économie Unitaire'!F23</x:f>
        <x:v>-465476.63133317925</x:v>
      </x:c>
      <x:c r="R22" s="462" t="n">
        <x:f>-O7*'Économie Unitaire'!F23</x:f>
        <x:v>-522693.30520663125</x:v>
      </x:c>
      <x:c r="S22" s="462" t="n">
        <x:f>-P7*'Économie Unitaire'!F23</x:f>
        <x:v>-582034.6601975252</x:v>
      </x:c>
      <x:c r="T22" s="462" t="n">
        <x:f>-Q7*'Économie Unitaire'!F23</x:f>
        <x:v>-641864.6918454309</x:v>
      </x:c>
      <x:c r="U22" s="462" t="n">
        <x:f>-R7*'Économie Unitaire'!F23</x:f>
        <x:v>-701807.1191244491</x:v>
      </x:c>
      <x:c r="V22" s="462" t="n">
        <x:f>-S7*'Économie Unitaire'!F23</x:f>
        <x:v>-761775.3973986233</x:v>
      </x:c>
      <x:c r="W22" s="462" t="n">
        <x:f>-T7*'Économie Unitaire'!F23</x:f>
        <x:v>-821749.6214016834</x:v>
      </x:c>
      <x:c r="X22" s="462" t="n">
        <x:f>-U7*'Économie Unitaire'!F23</x:f>
        <x:v>-881725.2129223872</x:v>
      </x:c>
      <x:c r="Y22" s="462" t="n">
        <x:f>-V7*'Économie Unitaire'!F23</x:f>
        <x:v>-941701.1189721491</x:v>
      </x:c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Payout #3</x:t>
        </x:is>
      </x:c>
      <x:c r="B23" s="462" t="n">
        <x:v>0</x:v>
      </x:c>
      <x:c r="C23" s="462" t="n">
        <x:v>0</x:v>
      </x:c>
      <x:c r="D23" s="462" t="n">
        <x:v>0</x:v>
      </x:c>
      <x:c r="E23" s="462" t="n">
        <x:v>0</x:v>
      </x:c>
      <x:c r="F23" s="462" t="n">
        <x:f>-B7*'Économie Unitaire'!F24</x:f>
        <x:v>-17318.07</x:v>
      </x:c>
      <x:c r="G23" s="462" t="n">
        <x:f>-C7*'Économie Unitaire'!F24</x:f>
        <x:v>-31692.0681</x:v>
      </x:c>
      <x:c r="H23" s="462" t="n">
        <x:f>-D7*'Économie Unitaire'!F24</x:f>
        <x:v>-48852.543663000004</x:v>
      </x:c>
      <x:c r="I23" s="462" t="n">
        <x:f>-E7*'Économie Unitaire'!F24</x:f>
        <x:v>-66653.90904249</x:v>
      </x:c>
      <x:c r="J23" s="462" t="n">
        <x:f>-F7*'Économie Unitaire'!F24</x:f>
        <x:v>-84602.6790797727</x:v>
      </x:c>
      <x:c r="K23" s="462" t="n">
        <x:f>-G7*'Économie Unitaire'!F24</x:f>
        <x:v>-109512.58018834773</x:v>
      </x:c>
      <x:c r="L23" s="462" t="n">
        <x:f>-H7*'Économie Unitaire'!F24</x:f>
        <x:v>-136023.54144331996</x:v>
      </x:c>
      <x:c r="M23" s="462" t="n">
        <x:f>-I7*'Économie Unitaire'!F24</x:f>
        <x:v>-169829.97453196358</x:v>
      </x:c>
      <x:c r="N23" s="462" t="n">
        <x:f>-J7*'Économie Unitaire'!F24</x:f>
        <x:v>-205314.36614235162</x:v>
      </x:c>
      <x:c r="O23" s="462" t="n">
        <x:f>-K7*'Économie Unitaire'!F24</x:f>
        <x:v>-241184.68821274088</x:v>
      </x:c>
      <x:c r="P23" s="462" t="n">
        <x:f>-L7*'Économie Unitaire'!F24</x:f>
        <x:v>-277143.7742889304</x:v>
      </x:c>
      <x:c r="Q23" s="462" t="n">
        <x:f>-M7*'Économie Unitaire'!F24</x:f>
        <x:v>-313123.276086454</x:v>
      </x:c>
      <x:c r="R23" s="462" t="n">
        <x:f>-N7*'Économie Unitaire'!F24</x:f>
        <x:v>-349107.4734998844</x:v>
      </x:c>
      <x:c r="S23" s="462" t="n">
        <x:f>-O7*'Économie Unitaire'!F24</x:f>
        <x:v>-392019.9789049734</x:v>
      </x:c>
      <x:c r="T23" s="462" t="n">
        <x:f>-P7*'Économie Unitaire'!F24</x:f>
        <x:v>-436525.9951481439</x:v>
      </x:c>
      <x:c r="U23" s="462" t="n">
        <x:f>-Q7*'Économie Unitaire'!F24</x:f>
        <x:v>-481398.5188840731</x:v>
      </x:c>
      <x:c r="V23" s="462" t="n">
        <x:f>-R7*'Économie Unitaire'!F24</x:f>
        <x:v>-526355.3393433368</x:v>
      </x:c>
      <x:c r="W23" s="462" t="n">
        <x:f>-S7*'Économie Unitaire'!F24</x:f>
        <x:v>-571331.5480489674</x:v>
      </x:c>
      <x:c r="X23" s="462" t="n">
        <x:f>-T7*'Économie Unitaire'!F24</x:f>
        <x:v>-616312.2160512626</x:v>
      </x:c>
      <x:c r="Y23" s="462" t="n">
        <x:f>-U7*'Économie Unitaire'!F24</x:f>
        <x:v>-661293.9096917904</x:v>
      </x:c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Payout #4</x:t>
        </x:is>
      </x:c>
      <x:c r="B24" s="462" t="n">
        <x:v>0</x:v>
      </x:c>
      <x:c r="C24" s="462" t="n">
        <x:v>0</x:v>
      </x:c>
      <x:c r="D24" s="462" t="n">
        <x:v>0</x:v>
      </x:c>
      <x:c r="E24" s="462" t="n">
        <x:v>0</x:v>
      </x:c>
      <x:c r="F24" s="462" t="n">
        <x:v>0</x:v>
      </x:c>
      <x:c r="G24" s="462" t="n">
        <x:f>-B7*'Économie Unitaire'!F25</x:f>
        <x:v>-7793.1314999999995</x:v>
      </x:c>
      <x:c r="H24" s="462" t="n">
        <x:f>-C7*'Économie Unitaire'!F25</x:f>
        <x:v>-14261.430645</x:v>
      </x:c>
      <x:c r="I24" s="462" t="n">
        <x:f>-D7*'Économie Unitaire'!F25</x:f>
        <x:v>-21983.64464835</x:v>
      </x:c>
      <x:c r="J24" s="462" t="n">
        <x:f>-E7*'Économie Unitaire'!F25</x:f>
        <x:v>-29994.259069120497</x:v>
      </x:c>
      <x:c r="K24" s="462" t="n">
        <x:f>-F7*'Économie Unitaire'!F25</x:f>
        <x:v>-38071.20558589771</x:v>
      </x:c>
      <x:c r="L24" s="462" t="n">
        <x:f>-G7*'Économie Unitaire'!F25</x:f>
        <x:v>-49280.66108475647</x:v>
      </x:c>
      <x:c r="M24" s="462" t="n">
        <x:f>-H7*'Économie Unitaire'!F25</x:f>
        <x:v>-61210.59364949398</x:v>
      </x:c>
      <x:c r="N24" s="462" t="n">
        <x:f>-I7*'Économie Unitaire'!F25</x:f>
        <x:v>-76423.48853938362</x:v>
      </x:c>
      <x:c r="O24" s="462" t="n">
        <x:f>-J7*'Économie Unitaire'!F25</x:f>
        <x:v>-92391.46476405823</x:v>
      </x:c>
      <x:c r="P24" s="462" t="n">
        <x:f>-K7*'Économie Unitaire'!F25</x:f>
        <x:v>-108533.1096957334</x:v>
      </x:c>
      <x:c r="Q24" s="462" t="n">
        <x:f>-L7*'Économie Unitaire'!F25</x:f>
        <x:v>-124714.69843001867</x:v>
      </x:c>
      <x:c r="R24" s="462" t="n">
        <x:f>-M7*'Économie Unitaire'!F25</x:f>
        <x:v>-140905.47423890428</x:v>
      </x:c>
      <x:c r="S24" s="462" t="n">
        <x:f>-N7*'Économie Unitaire'!F25</x:f>
        <x:v>-157098.363074948</x:v>
      </x:c>
      <x:c r="T24" s="462" t="n">
        <x:f>-O7*'Économie Unitaire'!F25</x:f>
        <x:v>-176408.99050723805</x:v>
      </x:c>
      <x:c r="U24" s="462" t="n">
        <x:f>-P7*'Économie Unitaire'!F25</x:f>
        <x:v>-196436.69781666473</x:v>
      </x:c>
      <x:c r="V24" s="462" t="n">
        <x:f>-Q7*'Économie Unitaire'!F25</x:f>
        <x:v>-216629.3334978329</x:v>
      </x:c>
      <x:c r="W24" s="462" t="n">
        <x:f>-R7*'Économie Unitaire'!F25</x:f>
        <x:v>-236859.90270450155</x:v>
      </x:c>
      <x:c r="X24" s="462" t="n">
        <x:f>-S7*'Économie Unitaire'!F25</x:f>
        <x:v>-257099.19662203532</x:v>
      </x:c>
      <x:c r="Y24" s="462" t="n">
        <x:f>-T7*'Économie Unitaire'!F25</x:f>
        <x:v>-277340.49722306815</x:v>
      </x:c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Payout #5</x:t>
        </x:is>
      </x:c>
      <x:c r="B25" s="462" t="n">
        <x:v>0</x:v>
      </x:c>
      <x:c r="C25" s="462" t="n">
        <x:v>0</x:v>
      </x:c>
      <x:c r="D25" s="462" t="n">
        <x:v>0</x:v>
      </x:c>
      <x:c r="E25" s="462" t="n">
        <x:v>0</x:v>
      </x:c>
      <x:c r="F25" s="462" t="n">
        <x:v>0</x:v>
      </x:c>
      <x:c r="G25" s="462" t="n">
        <x:v>0</x:v>
      </x:c>
      <x:c r="H25" s="462" t="n">
        <x:f>-B7*'Économie Unitaire'!F26</x:f>
        <x:v>-5844.8486250000005</x:v>
      </x:c>
      <x:c r="I25" s="462" t="n">
        <x:f>-C7*'Économie Unitaire'!F26</x:f>
        <x:v>-10696.07298375</x:v>
      </x:c>
      <x:c r="J25" s="462" t="n">
        <x:f>-D7*'Économie Unitaire'!F26</x:f>
        <x:v>-16487.733486262503</x:v>
      </x:c>
      <x:c r="K25" s="462" t="n">
        <x:f>-E7*'Économie Unitaire'!F26</x:f>
        <x:v>-22495.694301840376</x:v>
      </x:c>
      <x:c r="L25" s="462" t="n">
        <x:f>-F7*'Économie Unitaire'!F26</x:f>
        <x:v>-28553.404189423287</x:v>
      </x:c>
      <x:c r="M25" s="462" t="n">
        <x:f>-G7*'Économie Unitaire'!F26</x:f>
        <x:v>-36960.49581356736</x:v>
      </x:c>
      <x:c r="N25" s="462" t="n">
        <x:f>-H7*'Économie Unitaire'!F26</x:f>
        <x:v>-45907.94523712049</x:v>
      </x:c>
      <x:c r="O25" s="462" t="n">
        <x:f>-I7*'Économie Unitaire'!F26</x:f>
        <x:v>-57317.616404537715</x:v>
      </x:c>
      <x:c r="P25" s="462" t="n">
        <x:f>-J7*'Économie Unitaire'!F26</x:f>
        <x:v>-69293.59857304367</x:v>
      </x:c>
      <x:c r="Q25" s="462" t="n">
        <x:f>-K7*'Économie Unitaire'!F26</x:f>
        <x:v>-81399.83227180006</x:v>
      </x:c>
      <x:c r="R25" s="462" t="n">
        <x:f>-L7*'Économie Unitaire'!F26</x:f>
        <x:v>-93536.02382251402</x:v>
      </x:c>
      <x:c r="S25" s="462" t="n">
        <x:f>-M7*'Économie Unitaire'!F26</x:f>
        <x:v>-105679.10567917823</x:v>
      </x:c>
      <x:c r="T25" s="462" t="n">
        <x:f>-N7*'Économie Unitaire'!F26</x:f>
        <x:v>-117823.772306211</x:v>
      </x:c>
      <x:c r="U25" s="462" t="n">
        <x:f>-O7*'Économie Unitaire'!F26</x:f>
        <x:v>-132306.74288042853</x:v>
      </x:c>
      <x:c r="V25" s="462" t="n">
        <x:f>-P7*'Économie Unitaire'!F26</x:f>
        <x:v>-147327.52336249856</x:v>
      </x:c>
      <x:c r="W25" s="462" t="n">
        <x:f>-Q7*'Économie Unitaire'!F26</x:f>
        <x:v>-162472.0001233747</x:v>
      </x:c>
      <x:c r="X25" s="462" t="n">
        <x:f>-R7*'Économie Unitaire'!F26</x:f>
        <x:v>-177644.92702837617</x:v>
      </x:c>
      <x:c r="Y25" s="462" t="n">
        <x:f>-S7*'Économie Unitaire'!F26</x:f>
        <x:v>-192824.3974665265</x:v>
      </x:c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289" t="inlineStr">
        <x:is>
          <x:t xml:space="preserve">Payouts totaux</x:t>
        </x:is>
      </x:c>
      <x:c r="B26" s="464" t="n">
        <x:f>SUM(B21:B25)</x:f>
        <x:v>0</x:v>
      </x:c>
      <x:c r="C26" s="464" t="n">
        <x:f>SUM(C21:C25)</x:f>
        <x:v>0</x:v>
      </x:c>
      <x:c r="D26" s="464" t="n">
        <x:f>SUM(D21:D25)</x:f>
        <x:v>-41983.2</x:v>
      </x:c>
      <x:c r="E26" s="464" t="n">
        <x:f>SUM(E21:E25)</x:f>
        <x:v>-99920.016</x:v>
      </x:c>
      <x:c r="F26" s="464" t="n">
        <x:f>SUM(F21:F25)</x:f>
        <x:v>-178004.56968000002</x:v>
      </x:c>
      <x:c r="G26" s="464" t="n">
        <x:f>SUM(G21:G25)</x:f>
        <x:v>-266207.1585264</x:v>
      </x:c>
      <x:c r="H26" s="464" t="n">
        <x:f>SUM(H21:H25)</x:f>
        <x:v>-362928.10548607196</x:v>
      </x:c>
      <x:c r="I26" s="464" t="n">
        <x:f>SUM(I21:I25)</x:f>
        <x:v>-477622.2416617966</x:v>
      </x:c>
      <x:c r="J26" s="464" t="n">
        <x:f>SUM(J21:J25)</x:f>
        <x:v>-606855.4850822132</x:v>
      </x:c>
      <x:c r="K26" s="464" t="n">
        <x:f>SUM(K21:K25)</x:f>
        <x:v>-763153.231168909</x:v>
      </x:c>
      <x:c r="L26" s="464" t="n">
        <x:f>SUM(L21:L25)</x:f>
        <x:v>-938029.369468849</x:v>
      </x:c>
      <x:c r="M26" s="464" t="n">
        <x:f>SUM(M21:M25)</x:f>
        <x:v>-1126443.7054278352</x:v>
      </x:c>
      <x:c r="N26" s="464" t="n">
        <x:f>SUM(N21:N25)</x:f>
        <x:v>-1321089.079448402</x:v>
      </x:c>
      <x:c r="O26" s="464" t="n">
        <x:f>SUM(O21:O25)</x:f>
        <x:v>-1519505.5316731324</x:v>
      </x:c>
      <x:c r="P26" s="464" t="n">
        <x:f>SUM(P21:P25)</x:f>
        <x:v>-1718789.3318848205</x:v>
      </x:c>
      <x:c r="Q26" s="464" t="n">
        <x:f>SUM(Q21:Q25)</x:f>
        <x:v>-1935065.9021335088</x:v>
      </x:c>
      <x:c r="R26" s="464" t="n">
        <x:f>SUM(R21:R25)</x:f>
        <x:v>-2164487.113490707</x:v>
      </x:c>
      <x:c r="S26" s="464" t="n">
        <x:f>SUM(S21:S25)</x:f>
        <x:v>-2403858.820302862</x:v>
      </x:c>
      <x:c r="T26" s="464" t="n">
        <x:f>SUM(T21:T25)</x:f>
        <x:v>-2648636.393669658</x:v>
      </x:c>
      <x:c r="U26" s="464" t="n">
        <x:f>SUM(U21:U25)</x:f>
        <x:v>-2896995.2557940213</x:v>
      </x:c>
      <x:c r="V26" s="464" t="n">
        <x:f>SUM(V21:V25)</x:f>
        <x:v>-3146177.814332625</x:v>
      </x:c>
      <x:c r="W26" s="464" t="n">
        <x:f>SUM(W21:W25)</x:f>
        <x:v>-3395549.8230465036</x:v>
      </x:c>
      <x:c r="X26" s="464" t="n">
        <x:f>SUM(X21:X25)</x:f>
        <x:v>-3644965.405300696</x:v>
      </x:c>
      <x:c r="Y26" s="464" t="n">
        <x:f>SUM(Y21:Y25)</x:f>
        <x:v>-3894391.009469159</x:v>
      </x:c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289" t="inlineStr">
        <x:is>
          <x:t xml:space="preserve">Cash-flow réserve</x:t>
        </x:is>
      </x:c>
      <x:c r="B27" s="464" t="n">
        <x:f>B18+B26</x:f>
        <x:v>304156.1184375</x:v>
      </x:c>
      <x:c r="C27" s="464" t="n">
        <x:f>C18+C26</x:f>
        <x:v>556605.696740625</x:v>
      </x:c>
      <x:c r="D27" s="464" t="n">
        <x:f>D18+D26</x:f>
        <x:v>816010.7945003439</x:v>
      </x:c>
      <x:c r="E27" s="464" t="n">
        <x:f>E18+E26</x:f>
        <x:v>1070718.1817350788</x:v>
      </x:c>
      <x:c r="F27" s="464" t="n">
        <x:f>F18+F26</x:f>
        <x:v>1307866.6895490682</x:v>
      </x:c>
      <x:c r="G27" s="464" t="n">
        <x:f>G18+G26</x:f>
        <x:v>1657155.0469712853</x:v>
      </x:c>
      <x:c r="H27" s="464" t="n">
        <x:f>H18+H26</x:f>
        <x:v>2026044.3597783956</x:v>
      </x:c>
      <x:c r="I27" s="464" t="n">
        <x:f>I18+I26</x:f>
        <x:v>2505090.3728490314</x:v>
      </x:c>
      <x:c r="J27" s="464" t="n">
        <x:f>J18+J26</x:f>
        <x:v>2999067.153255277</x:v>
      </x:c>
      <x:c r="K27" s="464" t="n">
        <x:f>K18+K26</x:f>
        <x:v>3472757.502148713</x:v>
      </x:c>
      <x:c r="L27" s="464" t="n">
        <x:f>L18+L26</x:f>
        <x:v>3929428.415194204</x:v>
      </x:c>
      <x:c r="M27" s="464" t="n">
        <x:f>M18+M26</x:f>
        <x:v>4372919.690544667</x:v>
      </x:c>
      <x:c r="N27" s="464" t="n">
        <x:f>N18+N26</x:f>
        <x:v>4810262.396625272</x:v>
      </x:c>
      <x:c r="O27" s="464" t="n">
        <x:f>O18+O26</x:f>
        <x:v>5365515.439698813</x:v>
      </x:c>
      <x:c r="P27" s="464" t="n">
        <x:f>P18+P26</x:f>
        <x:v>5947887.860280726</x:v>
      </x:c>
      <x:c r="Q27" s="464" t="n">
        <x:f>Q18+Q26</x:f>
        <x:v>6519704.4576895675</x:v>
      </x:c>
      <x:c r="R27" s="464" t="n">
        <x:f>R18+R26</x:f>
        <x:v>7079856.9117685985</x:v>
      </x:c>
      <x:c r="S27" s="464" t="n">
        <x:f>S18+S26</x:f>
        <x:v>7630399.384881776</x:v>
      </x:c>
      <x:c r="T27" s="464" t="n">
        <x:f>T18+T26</x:f>
        <x:v>8175614.30977281</x:v>
      </x:c>
      <x:c r="U27" s="464" t="n">
        <x:f>U18+U26</x:f>
        <x:v>8717265.959122743</x:v>
      </x:c>
      <x:c r="V27" s="464" t="n">
        <x:f>V18+V26</x:f>
        <x:v>9258098.055098232</x:v>
      </x:c>
      <x:c r="W27" s="464" t="n">
        <x:f>W18+W26</x:f>
        <x:v>9798741.653797593</x:v>
      </x:c>
      <x:c r="X27" s="464" t="n">
        <x:f>X18+X26</x:f>
        <x:v>10339341.898123445</x:v>
      </x:c>
      <x:c r="Y27" s="464" t="n">
        <x:f>Y18+Y26</x:f>
        <x:v>11488244.407818392</x:v>
      </x:c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Trésorerie exploitation fin</x:t>
        </x:is>
      </x:c>
      <x:c r="B28" s="464" t="n">
        <x:f>'Hypothèses'!B36+B20</x:f>
        <x:v>526290.1128125</x:v>
      </x:c>
      <x:c r="C28" s="464" t="n">
        <x:f>B28+C20</x:f>
        <x:v>432276.01925937505</x:v>
      </x:c>
      <x:c r="D28" s="464" t="n">
        <x:f>C28+D20</x:f>
        <x:v>782149.0484921564</x:v>
      </x:c>
      <x:c r="E28" s="464" t="n">
        <x:f>D28+E20</x:f>
        <x:v>1595848.2062156962</x:v>
      </x:c>
      <x:c r="F28" s="464" t="n">
        <x:f>E28+F20</x:f>
        <x:v>2877959.463742111</x:v>
      </x:c>
      <x:c r="G28" s="464" t="n">
        <x:f>F28+G20</x:f>
        <x:v>4800053.639598187</x:v>
      </x:c>
      <x:c r="H28" s="464" t="n">
        <x:f>G28+H20</x:f>
        <x:v>7411942.022045084</x:v>
      </x:c>
      <x:c r="I28" s="464" t="n">
        <x:f>H28+I20</x:f>
        <x:v>10895597.252507873</x:v>
      </x:c>
      <x:c r="J28" s="464" t="n">
        <x:f>I28+J20</x:f>
        <x:v>15303223.038514312</x:v>
      </x:c>
      <x:c r="K28" s="464" t="n">
        <x:f>J28+K20</x:f>
        <x:v>20646826.232795794</x:v>
      </x:c>
      <x:c r="L28" s="464" t="n">
        <x:f>K28+L20</x:f>
        <x:v>26929168.411480535</x:v>
      </x:c>
      <x:c r="M28" s="464" t="n">
        <x:f>L28+M20</x:f>
        <x:v>34150884.737078026</x:v>
      </x:c>
      <x:c r="N28" s="464" t="n">
        <x:f>M28+N20</x:f>
        <x:v>42312121.29696545</x:v>
      </x:c>
      <x:c r="O28" s="464" t="n">
        <x:f>N28+O20</x:f>
        <x:v>51583427.73636456</x:v>
      </x:c>
      <x:c r="P28" s="464" t="n">
        <x:f>O28+P20</x:f>
        <x:v>62014380.47367635</x:v>
      </x:c>
      <x:c r="Q28" s="464" t="n">
        <x:f>P28+Q20</x:f>
        <x:v>73616382.08513306</x:v>
      </x:c>
      <x:c r="R28" s="464" t="n">
        <x:f>Q28+R20</x:f>
        <x:v>86392055.1632681</x:v>
      </x:c>
      <x:c r="S28" s="464" t="n">
        <x:f>R28+S20</x:f>
        <x:v>100342002.90436417</x:v>
      </x:c>
      <x:c r="T28" s="464" t="n">
        <x:f>S28+T20</x:f>
        <x:v>115466364.04356627</x:v>
      </x:c>
      <x:c r="U28" s="464" t="n">
        <x:f>T28+U20</x:f>
        <x:v>131765170.48995775</x:v>
      </x:c>
      <x:c r="V28" s="464" t="n">
        <x:f>U28+V20</x:f>
        <x:v>149238429.5826278</x:v>
      </x:c>
      <x:c r="W28" s="464" t="n">
        <x:f>V28+W20</x:f>
        <x:v>167886143.0095669</x:v>
      </x:c>
      <x:c r="X28" s="464" t="n">
        <x:f>W28+X20</x:f>
        <x:v>187708311.15901288</x:v>
      </x:c>
      <x:c r="Y28" s="464" t="n">
        <x:f>X28+Y20</x:f>
        <x:v>209557514.34588546</x:v>
      </x:c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289" t="inlineStr">
        <x:is>
          <x:t xml:space="preserve">Réserve payout fin</x:t>
        </x:is>
      </x:c>
      <x:c r="B29" s="464" t="n">
        <x:f>'Hypothèses'!B37+B27</x:f>
        <x:v>2304156.1184374997</x:v>
      </x:c>
      <x:c r="C29" s="464" t="n">
        <x:f>B29+C27</x:f>
        <x:v>2860761.8151781247</x:v>
      </x:c>
      <x:c r="D29" s="464" t="n">
        <x:f>C29+D27</x:f>
        <x:v>3676772.6096784687</x:v>
      </x:c>
      <x:c r="E29" s="464" t="n">
        <x:f>D29+E27</x:f>
        <x:v>4747490.7914135475</x:v>
      </x:c>
      <x:c r="F29" s="464" t="n">
        <x:f>E29+F27</x:f>
        <x:v>6055357.480962615</x:v>
      </x:c>
      <x:c r="G29" s="464" t="n">
        <x:f>F29+G27</x:f>
        <x:v>7712512.527933901</x:v>
      </x:c>
      <x:c r="H29" s="464" t="n">
        <x:f>G29+H27</x:f>
        <x:v>9738556.887712296</x:v>
      </x:c>
      <x:c r="I29" s="464" t="n">
        <x:f>H29+I27</x:f>
        <x:v>12243647.260561328</x:v>
      </x:c>
      <x:c r="J29" s="464" t="n">
        <x:f>I29+J27</x:f>
        <x:v>15242714.413816605</x:v>
      </x:c>
      <x:c r="K29" s="464" t="n">
        <x:f>J29+K27</x:f>
        <x:v>18715471.91596532</x:v>
      </x:c>
      <x:c r="L29" s="464" t="n">
        <x:f>K29+L27</x:f>
        <x:v>22644900.331159525</x:v>
      </x:c>
      <x:c r="M29" s="464" t="n">
        <x:f>L29+M27</x:f>
        <x:v>27017820.02170419</x:v>
      </x:c>
      <x:c r="N29" s="464" t="n">
        <x:f>M29+N27</x:f>
        <x:v>31828082.418329462</x:v>
      </x:c>
      <x:c r="O29" s="464" t="n">
        <x:f>N29+O27</x:f>
        <x:v>37193597.85802828</x:v>
      </x:c>
      <x:c r="P29" s="464" t="n">
        <x:f>O29+P27</x:f>
        <x:v>43141485.718309</x:v>
      </x:c>
      <x:c r="Q29" s="464" t="n">
        <x:f>P29+Q27</x:f>
        <x:v>49661190.17599857</x:v>
      </x:c>
      <x:c r="R29" s="464" t="n">
        <x:f>Q29+R27</x:f>
        <x:v>56741047.08776717</x:v>
      </x:c>
      <x:c r="S29" s="464" t="n">
        <x:f>R29+S27</x:f>
        <x:v>64371446.47264895</x:v>
      </x:c>
      <x:c r="T29" s="464" t="n">
        <x:f>S29+T27</x:f>
        <x:v>72547060.78242175</x:v>
      </x:c>
      <x:c r="U29" s="464" t="n">
        <x:f>T29+U27</x:f>
        <x:v>81264326.7415445</x:v>
      </x:c>
      <x:c r="V29" s="464" t="n">
        <x:f>U29+V27</x:f>
        <x:v>90522424.79664274</x:v>
      </x:c>
      <x:c r="W29" s="464" t="n">
        <x:f>V29+W27</x:f>
        <x:v>100321166.45044033</x:v>
      </x:c>
      <x:c r="X29" s="464" t="n">
        <x:f>W29+X27</x:f>
        <x:v>110660508.34856378</x:v>
      </x:c>
      <x:c r="Y29" s="464" t="n">
        <x:f>X29+Y27</x:f>
        <x:v>122148752.75638217</x:v>
      </x:c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inlineStr">
        <x:is>
          <x:t xml:space="preserve">Payouts prochains 30 jours</x:t>
        </x:is>
      </x:c>
      <x:c r="B30" s="462" t="n">
        <x:f>0</x:f>
        <x:v>0</x:v>
      </x:c>
      <x:c r="C30" s="462" t="n">
        <x:f>B7*'Économie Unitaire'!F22</x:f>
        <x:v>41983.2</x:v>
      </x:c>
      <x:c r="D30" s="462" t="n">
        <x:f>C7*'Économie Unitaire'!F22+B7*'Économie Unitaire'!F23</x:f>
        <x:v>99920.016</x:v>
      </x:c>
      <x:c r="E30" s="462" t="n">
        <x:f>D7*'Économie Unitaire'!F22+C7*'Économie Unitaire'!F23+B7*'Économie Unitaire'!F24</x:f>
        <x:v>178004.56968000002</x:v>
      </x:c>
      <x:c r="F30" s="462" t="n">
        <x:f>E7*'Économie Unitaire'!F22+D7*'Économie Unitaire'!F23+C7*'Économie Unitaire'!F24+B7*'Économie Unitaire'!F25</x:f>
        <x:v>266207.1585264</x:v>
      </x:c>
      <x:c r="G30" s="462" t="n">
        <x:f>F7*'Économie Unitaire'!F22+E7*'Économie Unitaire'!F23+D7*'Économie Unitaire'!F24+C7*'Économie Unitaire'!F25+B7*'Économie Unitaire'!F26</x:f>
        <x:v>362928.10548607196</x:v>
      </x:c>
      <x:c r="H30" s="462" t="n">
        <x:f>G7*'Économie Unitaire'!F22+F7*'Économie Unitaire'!F23+E7*'Économie Unitaire'!F24+D7*'Économie Unitaire'!F25+C7*'Économie Unitaire'!F26</x:f>
        <x:v>477622.2416617966</x:v>
      </x:c>
      <x:c r="I30" s="462" t="n">
        <x:f>H7*'Économie Unitaire'!F22+G7*'Économie Unitaire'!F23+F7*'Économie Unitaire'!F24+E7*'Économie Unitaire'!F25+D7*'Économie Unitaire'!F26</x:f>
        <x:v>606855.4850822132</x:v>
      </x:c>
      <x:c r="J30" s="462" t="n">
        <x:f>I7*'Économie Unitaire'!F22+H7*'Économie Unitaire'!F23+G7*'Économie Unitaire'!F24+F7*'Économie Unitaire'!F25+E7*'Économie Unitaire'!F26</x:f>
        <x:v>763153.231168909</x:v>
      </x:c>
      <x:c r="K30" s="462" t="n">
        <x:f>J7*'Économie Unitaire'!F22+I7*'Économie Unitaire'!F23+H7*'Économie Unitaire'!F24+G7*'Économie Unitaire'!F25+F7*'Économie Unitaire'!F26</x:f>
        <x:v>938029.369468849</x:v>
      </x:c>
      <x:c r="L30" s="462" t="n">
        <x:f>K7*'Économie Unitaire'!F22+J7*'Économie Unitaire'!F23+I7*'Économie Unitaire'!F24+H7*'Économie Unitaire'!F25+G7*'Économie Unitaire'!F26</x:f>
        <x:v>1126443.7054278352</x:v>
      </x:c>
      <x:c r="M30" s="462" t="n">
        <x:f>L7*'Économie Unitaire'!F22+K7*'Économie Unitaire'!F23+J7*'Économie Unitaire'!F24+I7*'Économie Unitaire'!F25+H7*'Économie Unitaire'!F26</x:f>
        <x:v>1321089.079448402</x:v>
      </x:c>
      <x:c r="N30" s="462" t="n">
        <x:f>M7*'Économie Unitaire'!F22+L7*'Économie Unitaire'!F23+K7*'Économie Unitaire'!F24+J7*'Économie Unitaire'!F25+I7*'Économie Unitaire'!F26</x:f>
        <x:v>1519505.5316731324</x:v>
      </x:c>
      <x:c r="O30" s="462" t="n">
        <x:f>N7*'Économie Unitaire'!F22+M7*'Économie Unitaire'!F23+L7*'Économie Unitaire'!F24+K7*'Économie Unitaire'!F25+J7*'Économie Unitaire'!F26</x:f>
        <x:v>1718789.3318848205</x:v>
      </x:c>
      <x:c r="P30" s="462" t="n">
        <x:f>O7*'Économie Unitaire'!F22+N7*'Économie Unitaire'!F23+M7*'Économie Unitaire'!F24+L7*'Économie Unitaire'!F25+K7*'Économie Unitaire'!F26</x:f>
        <x:v>1935065.9021335088</x:v>
      </x:c>
      <x:c r="Q30" s="462" t="n">
        <x:f>P7*'Économie Unitaire'!F22+O7*'Économie Unitaire'!F23+N7*'Économie Unitaire'!F24+M7*'Économie Unitaire'!F25+L7*'Économie Unitaire'!F26</x:f>
        <x:v>2164487.113490707</x:v>
      </x:c>
      <x:c r="R30" s="462" t="n">
        <x:f>Q7*'Économie Unitaire'!F22+P7*'Économie Unitaire'!F23+O7*'Économie Unitaire'!F24+N7*'Économie Unitaire'!F25+M7*'Économie Unitaire'!F26</x:f>
        <x:v>2403858.820302862</x:v>
      </x:c>
      <x:c r="S30" s="462" t="n">
        <x:f>R7*'Économie Unitaire'!F22+Q7*'Économie Unitaire'!F23+P7*'Économie Unitaire'!F24+O7*'Économie Unitaire'!F25+N7*'Économie Unitaire'!F26</x:f>
        <x:v>2648636.393669658</x:v>
      </x:c>
      <x:c r="T30" s="462" t="n">
        <x:f>S7*'Économie Unitaire'!F22+R7*'Économie Unitaire'!F23+Q7*'Économie Unitaire'!F24+P7*'Économie Unitaire'!F25+O7*'Économie Unitaire'!F26</x:f>
        <x:v>2896995.2557940213</x:v>
      </x:c>
      <x:c r="U30" s="462" t="n">
        <x:f>T7*'Économie Unitaire'!F22+S7*'Économie Unitaire'!F23+R7*'Économie Unitaire'!F24+Q7*'Économie Unitaire'!F25+P7*'Économie Unitaire'!F26</x:f>
        <x:v>3146177.814332625</x:v>
      </x:c>
      <x:c r="V30" s="462" t="n">
        <x:f>U7*'Économie Unitaire'!F22+T7*'Économie Unitaire'!F23+S7*'Économie Unitaire'!F24+R7*'Économie Unitaire'!F25+Q7*'Économie Unitaire'!F26</x:f>
        <x:v>3395549.8230465036</x:v>
      </x:c>
      <x:c r="W30" s="462" t="n">
        <x:f>V7*'Économie Unitaire'!F22+U7*'Économie Unitaire'!F23+T7*'Économie Unitaire'!F24+S7*'Économie Unitaire'!F25+R7*'Économie Unitaire'!F26</x:f>
        <x:v>3644965.405300696</x:v>
      </x:c>
      <x:c r="X30" s="462" t="n">
        <x:f>W7*'Économie Unitaire'!F22+V7*'Économie Unitaire'!F23+U7*'Économie Unitaire'!F24+T7*'Économie Unitaire'!F25+S7*'Économie Unitaire'!F26</x:f>
        <x:v>3894391.009469159</x:v>
      </x:c>
      <x:c r="Y30" s="462" t="n">
        <x:f>X7*'Économie Unitaire'!F22+W7*'Économie Unitaire'!F23+V7*'Économie Unitaire'!F24+U7*'Économie Unitaire'!F25+T7*'Économie Unitaire'!F26</x:f>
        <x:v>4143818.918677906</x:v>
      </x:c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289" t="inlineStr">
        <x:is>
          <x:t xml:space="preserve">Couverture réserve</x:t>
        </x:is>
      </x:c>
      <x:c r="B31" s="474" t="str">
        <x:f>IF(B30&gt;0,B29/B30,"")</x:f>
      </x:c>
      <x:c r="C31" s="474" t="n">
        <x:f>IF(C30&gt;0,C29/C30,"")</x:f>
        <x:v>68.1406328049821</x:v>
      </x:c>
      <x:c r="D31" s="474" t="n">
        <x:f>IF(D30&gt;0,D29/D30,"")</x:f>
        <x:v>36.79715793558788</x:v>
      </x:c>
      <x:c r="E31" s="474" t="n">
        <x:f>IF(E30&gt;0,E29/E30,"")</x:f>
        <x:v>26.670611883437278</x:v>
      </x:c>
      <x:c r="F31" s="474" t="n">
        <x:f>IF(F30&gt;0,F29/F30,"")</x:f>
        <x:v>22.746786804991576</x:v>
      </x:c>
      <x:c r="G31" s="474" t="n">
        <x:f>IF(G30&gt;0,G29/G30,"")</x:f>
        <x:v>21.250799845342602</x:v>
      </x:c>
      <x:c r="H31" s="474" t="n">
        <x:f>IF(H30&gt;0,H29/H30,"")</x:f>
        <x:v>20.3896637096062</x:v>
      </x:c>
      <x:c r="I31" s="474" t="n">
        <x:f>IF(I30&gt;0,I29/I30,"")</x:f>
        <x:v>20.17555672072838</x:v>
      </x:c>
      <x:c r="J31" s="474" t="n">
        <x:f>IF(J30&gt;0,J29/J30,"")</x:f>
        <x:v>19.973334045208187</x:v>
      </x:c>
      <x:c r="K31" s="474" t="n">
        <x:f>IF(K30&gt;0,K29/K30,"")</x:f>
        <x:v>19.951903986292873</x:v>
      </x:c>
      <x:c r="L31" s="474" t="n">
        <x:f>IF(L30&gt;0,L29/L30,"")</x:f>
        <x:v>20.103002237966923</x:v>
      </x:c>
      <x:c r="M31" s="474" t="n">
        <x:f>IF(M30&gt;0,M29/M30,"")</x:f>
        <x:v>20.451172023150033</x:v>
      </x:c>
      <x:c r="N31" s="474" t="n">
        <x:f>IF(N30&gt;0,N29/N30,"")</x:f>
        <x:v>20.946341921693076</x:v>
      </x:c>
      <x:c r="O31" s="474" t="n">
        <x:f>IF(O30&gt;0,O29/O30,"")</x:f>
        <x:v>21.639416284508737</x:v>
      </x:c>
      <x:c r="P31" s="474" t="n">
        <x:f>IF(P30&gt;0,P29/P30,"")</x:f>
        <x:v>22.294582148723364</x:v>
      </x:c>
      <x:c r="Q31" s="474" t="n">
        <x:f>IF(Q30&gt;0,Q29/Q30,"")</x:f>
        <x:v>22.94362940138234</x:v>
      </x:c>
      <x:c r="R31" s="474" t="n">
        <x:f>IF(R30&gt;0,R29/R30,"")</x:f>
        <x:v>23.604151212432004</x:v>
      </x:c>
      <x:c r="S31" s="474" t="n">
        <x:f>IF(S30&gt;0,S29/S30,"")</x:f>
        <x:v>24.30361775081667</x:v>
      </x:c>
      <x:c r="T31" s="474" t="n">
        <x:f>IF(T30&gt;0,T29/T30,"")</x:f>
        <x:v>25.042174521110056</x:v>
      </x:c>
      <x:c r="U31" s="474" t="n">
        <x:f>IF(U30&gt;0,U29/U30,"")</x:f>
        <x:v>25.829540330282473</x:v>
      </x:c>
      <x:c r="V31" s="474" t="n">
        <x:f>IF(V30&gt;0,V29/V30,"")</x:f>
        <x:v>26.659136079300872</x:v>
      </x:c>
      <x:c r="W31" s="474" t="n">
        <x:f>IF(W30&gt;0,W29/W30,"")</x:f>
        <x:v>27.523214981560084</x:v>
      </x:c>
      <x:c r="X31" s="474" t="n">
        <x:f>IF(X30&gt;0,X29/X30,"")</x:f>
        <x:v>28.41535636239254</x:v>
      </x:c>
      <x:c r="Y31" s="474" t="n">
        <x:f>IF(Y30&gt;0,Y29/Y30,"")</x:f>
        <x:v>29.47733845361997</x:v>
      </x:c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289" t="inlineStr">
        <x:is>
          <x:t xml:space="preserve">Cash total fin</x:t>
        </x:is>
      </x:c>
      <x:c r="B32" s="464" t="n">
        <x:f>B28+B29</x:f>
        <x:v>2830446.2312499997</x:v>
      </x:c>
      <x:c r="C32" s="464" t="n">
        <x:f>C28+C29</x:f>
        <x:v>3293037.8344374998</x:v>
      </x:c>
      <x:c r="D32" s="464" t="n">
        <x:f>D28+D29</x:f>
        <x:v>4458921.658170626</x:v>
      </x:c>
      <x:c r="E32" s="464" t="n">
        <x:f>E28+E29</x:f>
        <x:v>6343338.997629244</x:v>
      </x:c>
      <x:c r="F32" s="464" t="n">
        <x:f>F28+F29</x:f>
        <x:v>8933316.944704726</x:v>
      </x:c>
      <x:c r="G32" s="464" t="n">
        <x:f>G28+G29</x:f>
        <x:v>12512566.167532088</x:v>
      </x:c>
      <x:c r="H32" s="464" t="n">
        <x:f>H28+H29</x:f>
        <x:v>17150498.90975738</x:v>
      </x:c>
      <x:c r="I32" s="464" t="n">
        <x:f>I28+I29</x:f>
        <x:v>23139244.5130692</x:v>
      </x:c>
      <x:c r="J32" s="464" t="n">
        <x:f>J28+J29</x:f>
        <x:v>30545937.452330917</x:v>
      </x:c>
      <x:c r="K32" s="464" t="n">
        <x:f>K28+K29</x:f>
        <x:v>39362298.14876111</x:v>
      </x:c>
      <x:c r="L32" s="464" t="n">
        <x:f>L28+L29</x:f>
        <x:v>49574068.74264006</x:v>
      </x:c>
      <x:c r="M32" s="464" t="n">
        <x:f>M28+M29</x:f>
        <x:v>61168704.758782215</x:v>
      </x:c>
      <x:c r="N32" s="464" t="n">
        <x:f>N28+N29</x:f>
        <x:v>74140203.71529491</x:v>
      </x:c>
      <x:c r="O32" s="464" t="n">
        <x:f>O28+O29</x:f>
        <x:v>88777025.59439284</x:v>
      </x:c>
      <x:c r="P32" s="464" t="n">
        <x:f>P28+P29</x:f>
        <x:v>105155866.19198535</x:v>
      </x:c>
      <x:c r="Q32" s="464" t="n">
        <x:f>Q28+Q29</x:f>
        <x:v>123277572.26113163</x:v>
      </x:c>
      <x:c r="R32" s="464" t="n">
        <x:f>R28+R29</x:f>
        <x:v>143133102.25103527</x:v>
      </x:c>
      <x:c r="S32" s="464" t="n">
        <x:f>S28+S29</x:f>
        <x:v>164713449.37701312</x:v>
      </x:c>
      <x:c r="T32" s="464" t="n">
        <x:f>T28+T29</x:f>
        <x:v>188013424.82598802</x:v>
      </x:c>
      <x:c r="U32" s="464" t="n">
        <x:f>U28+U29</x:f>
        <x:v>213029497.23150223</x:v>
      </x:c>
      <x:c r="V32" s="464" t="n">
        <x:f>V28+V29</x:f>
        <x:v>239760854.37927055</x:v>
      </x:c>
      <x:c r="W32" s="464" t="n">
        <x:f>W28+W29</x:f>
        <x:v>268207309.46000725</x:v>
      </x:c>
      <x:c r="X32" s="464" t="n">
        <x:f>X28+X29</x:f>
        <x:v>298368819.50757664</x:v>
      </x:c>
      <x:c r="Y32" s="464" t="n">
        <x:f>Y28+Y29</x:f>
        <x:v>331706267.1022676</x:v>
      </x:c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289" t="inlineStr">
        <x:is>
          <x:t xml:space="preserve">Statut réserve</x:t>
        </x:is>
      </x:c>
      <x:c r="B33" s="289" t="str">
        <x:f>IF(B31="","DÉMARRAGE",IF(B31&gt;=2,"NORMAL",IF(B31&gt;=1.5,"PRUDENCE",IF(B31&gt;=1.2,"DÉFENSIF","CRITIQUE"))))</x:f>
        <x:v>DÉMARRAGE</x:v>
      </x:c>
      <x:c r="C33" s="289" t="str">
        <x:f>IF(C31="","DÉMARRAGE",IF(C31&gt;=2,"NORMAL",IF(C31&gt;=1.5,"PRUDENCE",IF(C31&gt;=1.2,"DÉFENSIF","CRITIQUE"))))</x:f>
        <x:v>NORMAL</x:v>
      </x:c>
      <x:c r="D33" s="289" t="str">
        <x:f>IF(D31="","DÉMARRAGE",IF(D31&gt;=2,"NORMAL",IF(D31&gt;=1.5,"PRUDENCE",IF(D31&gt;=1.2,"DÉFENSIF","CRITIQUE"))))</x:f>
        <x:v>NORMAL</x:v>
      </x:c>
      <x:c r="E33" s="289" t="str">
        <x:f>IF(E31="","DÉMARRAGE",IF(E31&gt;=2,"NORMAL",IF(E31&gt;=1.5,"PRUDENCE",IF(E31&gt;=1.2,"DÉFENSIF","CRITIQUE"))))</x:f>
        <x:v>NORMAL</x:v>
      </x:c>
      <x:c r="F33" s="289" t="str">
        <x:f>IF(F31="","DÉMARRAGE",IF(F31&gt;=2,"NORMAL",IF(F31&gt;=1.5,"PRUDENCE",IF(F31&gt;=1.2,"DÉFENSIF","CRITIQUE"))))</x:f>
        <x:v>NORMAL</x:v>
      </x:c>
      <x:c r="G33" s="289" t="str">
        <x:f>IF(G31="","DÉMARRAGE",IF(G31&gt;=2,"NORMAL",IF(G31&gt;=1.5,"PRUDENCE",IF(G31&gt;=1.2,"DÉFENSIF","CRITIQUE"))))</x:f>
        <x:v>NORMAL</x:v>
      </x:c>
      <x:c r="H33" s="289" t="str">
        <x:f>IF(H31="","DÉMARRAGE",IF(H31&gt;=2,"NORMAL",IF(H31&gt;=1.5,"PRUDENCE",IF(H31&gt;=1.2,"DÉFENSIF","CRITIQUE"))))</x:f>
        <x:v>NORMAL</x:v>
      </x:c>
      <x:c r="I33" s="289" t="str">
        <x:f>IF(I31="","DÉMARRAGE",IF(I31&gt;=2,"NORMAL",IF(I31&gt;=1.5,"PRUDENCE",IF(I31&gt;=1.2,"DÉFENSIF","CRITIQUE"))))</x:f>
        <x:v>NORMAL</x:v>
      </x:c>
      <x:c r="J33" s="289" t="str">
        <x:f>IF(J31="","DÉMARRAGE",IF(J31&gt;=2,"NORMAL",IF(J31&gt;=1.5,"PRUDENCE",IF(J31&gt;=1.2,"DÉFENSIF","CRITIQUE"))))</x:f>
        <x:v>NORMAL</x:v>
      </x:c>
      <x:c r="K33" s="289" t="str">
        <x:f>IF(K31="","DÉMARRAGE",IF(K31&gt;=2,"NORMAL",IF(K31&gt;=1.5,"PRUDENCE",IF(K31&gt;=1.2,"DÉFENSIF","CRITIQUE"))))</x:f>
        <x:v>NORMAL</x:v>
      </x:c>
      <x:c r="L33" s="289" t="str">
        <x:f>IF(L31="","DÉMARRAGE",IF(L31&gt;=2,"NORMAL",IF(L31&gt;=1.5,"PRUDENCE",IF(L31&gt;=1.2,"DÉFENSIF","CRITIQUE"))))</x:f>
        <x:v>NORMAL</x:v>
      </x:c>
      <x:c r="M33" s="289" t="str">
        <x:f>IF(M31="","DÉMARRAGE",IF(M31&gt;=2,"NORMAL",IF(M31&gt;=1.5,"PRUDENCE",IF(M31&gt;=1.2,"DÉFENSIF","CRITIQUE"))))</x:f>
        <x:v>NORMAL</x:v>
      </x:c>
      <x:c r="N33" s="289" t="str">
        <x:f>IF(N31="","DÉMARRAGE",IF(N31&gt;=2,"NORMAL",IF(N31&gt;=1.5,"PRUDENCE",IF(N31&gt;=1.2,"DÉFENSIF","CRITIQUE"))))</x:f>
        <x:v>NORMAL</x:v>
      </x:c>
      <x:c r="O33" s="289" t="str">
        <x:f>IF(O31="","DÉMARRAGE",IF(O31&gt;=2,"NORMAL",IF(O31&gt;=1.5,"PRUDENCE",IF(O31&gt;=1.2,"DÉFENSIF","CRITIQUE"))))</x:f>
        <x:v>NORMAL</x:v>
      </x:c>
      <x:c r="P33" s="289" t="str">
        <x:f>IF(P31="","DÉMARRAGE",IF(P31&gt;=2,"NORMAL",IF(P31&gt;=1.5,"PRUDENCE",IF(P31&gt;=1.2,"DÉFENSIF","CRITIQUE"))))</x:f>
        <x:v>NORMAL</x:v>
      </x:c>
      <x:c r="Q33" s="289" t="str">
        <x:f>IF(Q31="","DÉMARRAGE",IF(Q31&gt;=2,"NORMAL",IF(Q31&gt;=1.5,"PRUDENCE",IF(Q31&gt;=1.2,"DÉFENSIF","CRITIQUE"))))</x:f>
        <x:v>NORMAL</x:v>
      </x:c>
      <x:c r="R33" s="289" t="str">
        <x:f>IF(R31="","DÉMARRAGE",IF(R31&gt;=2,"NORMAL",IF(R31&gt;=1.5,"PRUDENCE",IF(R31&gt;=1.2,"DÉFENSIF","CRITIQUE"))))</x:f>
        <x:v>NORMAL</x:v>
      </x:c>
      <x:c r="S33" s="289" t="str">
        <x:f>IF(S31="","DÉMARRAGE",IF(S31&gt;=2,"NORMAL",IF(S31&gt;=1.5,"PRUDENCE",IF(S31&gt;=1.2,"DÉFENSIF","CRITIQUE"))))</x:f>
        <x:v>NORMAL</x:v>
      </x:c>
      <x:c r="T33" s="289" t="str">
        <x:f>IF(T31="","DÉMARRAGE",IF(T31&gt;=2,"NORMAL",IF(T31&gt;=1.5,"PRUDENCE",IF(T31&gt;=1.2,"DÉFENSIF","CRITIQUE"))))</x:f>
        <x:v>NORMAL</x:v>
      </x:c>
      <x:c r="U33" s="289" t="str">
        <x:f>IF(U31="","DÉMARRAGE",IF(U31&gt;=2,"NORMAL",IF(U31&gt;=1.5,"PRUDENCE",IF(U31&gt;=1.2,"DÉFENSIF","CRITIQUE"))))</x:f>
        <x:v>NORMAL</x:v>
      </x:c>
      <x:c r="V33" s="289" t="str">
        <x:f>IF(V31="","DÉMARRAGE",IF(V31&gt;=2,"NORMAL",IF(V31&gt;=1.5,"PRUDENCE",IF(V31&gt;=1.2,"DÉFENSIF","CRITIQUE"))))</x:f>
        <x:v>NORMAL</x:v>
      </x:c>
      <x:c r="W33" s="289" t="str">
        <x:f>IF(W31="","DÉMARRAGE",IF(W31&gt;=2,"NORMAL",IF(W31&gt;=1.5,"PRUDENCE",IF(W31&gt;=1.2,"DÉFENSIF","CRITIQUE"))))</x:f>
        <x:v>NORMAL</x:v>
      </x:c>
      <x:c r="X33" s="289" t="str">
        <x:f>IF(X31="","DÉMARRAGE",IF(X31&gt;=2,"NORMAL",IF(X31&gt;=1.5,"PRUDENCE",IF(X31&gt;=1.2,"DÉFENSIF","CRITIQUE"))))</x:f>
        <x:v>NORMAL</x:v>
      </x:c>
      <x:c r="Y33" s="289" t="str">
        <x:f>IF(Y31="","DÉMARRAGE",IF(Y31&gt;=2,"NORMAL",IF(Y31&gt;=1.5,"PRUDENCE",IF(Y31&gt;=1.2,"DÉFENSIF","CRITIQUE"))))</x:f>
        <x:v>NORMAL</x:v>
      </x:c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Y2"/>
    <x:mergeCell ref="A1:Y1"/>
  </x:mergeCells>
  <x:conditionalFormatting sqref="B31:Y31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conditionalFormatting sqref="B33:Y33">
    <x:cfRule type="expression" dxfId="0" priority="2">
      <x:formula>B33="CRITIQUE"</x:formula>
    </x:cfRule>
    <x:cfRule type="expression" dxfId="1" priority="3">
      <x:formula>B33="DÉFENSIF"</x:formula>
    </x:cfRule>
    <x:cfRule type="expression" dxfId="2" priority="4">
      <x:formula>B33="NORMAL"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8" customWidth="1"/>
    <x:col min="3" max="3" width="18" customWidth="1"/>
    <x:col min="4" max="4" width="18" customWidth="1"/>
    <x:col min="5" max="5" width="14" customWidth="1"/>
    <x:col min="6" max="6" width="32" customWidth="1"/>
  </x:cols>
  <x:sheetData>
    <x:row r="1" ht="15" customHeight="1">
      <x:c r="A1" s="401" t="inlineStr">
        <x:is>
          <x:t xml:space="preserve">WARIBA — Comparaison Base / Upside / Stress</x:t>
        </x:is>
      </x:c>
      <x:c r="B1" s="1" t="n"/>
      <x:c r="C1" s="1" t="n"/>
      <x:c r="D1" s="1" t="n"/>
      <x:c r="E1" s="1" t="n"/>
      <x:c r="F1" s="1" t="n"/>
      <x:c r="G1" s="161" t="n"/>
      <x:c r="H1" s="16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résultats sont calculés indépendamment du scénario actif pour éviter une lecture partielle.</x:t>
        </x:is>
      </x:c>
      <x:c r="B2" s="1" t="n"/>
      <x:c r="C2" s="1" t="n"/>
      <x:c r="D2" s="1" t="n"/>
      <x:c r="E2" s="1" t="n"/>
      <x:c r="F2" s="1" t="n"/>
      <x:c r="G2" s="161" t="n"/>
      <x:c r="H2" s="16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4" t="inlineStr">
        <x:is>
          <x:t xml:space="preserve">Indicateur</x:t>
        </x:is>
      </x:c>
      <x:c r="B4" s="164" t="inlineStr">
        <x:is>
          <x:t xml:space="preserve">Base</x:t>
        </x:is>
      </x:c>
      <x:c r="C4" s="164" t="inlineStr">
        <x:is>
          <x:t xml:space="preserve">Upside</x:t>
        </x:is>
      </x:c>
      <x:c r="D4" s="164" t="inlineStr">
        <x:is>
          <x:t xml:space="preserve">Stress</x:t>
        </x:is>
      </x:c>
      <x:c r="E4" s="164" t="inlineStr">
        <x:is>
          <x:t xml:space="preserve">Unité</x:t>
        </x:is>
      </x:c>
      <x:c r="F4" s="164" t="inlineStr">
        <x:is>
          <x:t xml:space="preserve">Lecture</x:t>
        </x:is>
      </x:c>
      <x:c r="G4" s="161" t="n"/>
      <x:c r="H4" s="16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1" t="inlineStr">
        <x:is>
          <x:t xml:space="preserve">Prix moyen pondéré</x:t>
        </x:is>
      </x:c>
      <x:c r="B5" s="467" t="n">
        <x:f>SUMPRODUCT('Hypothèses'!B30:B32,'Hypothèses'!C30:C32)</x:f>
        <x:v>36570</x:v>
      </x:c>
      <x:c r="C5" s="467" t="n">
        <x:f>SUMPRODUCT('Hypothèses'!B30:B32,'Hypothèses'!C30:C32)</x:f>
        <x:v>36570</x:v>
      </x:c>
      <x:c r="D5" s="467" t="n">
        <x:f>SUMPRODUCT('Hypothèses'!B30:B32,'Hypothèses'!C30:C32)</x:f>
        <x:v>36570</x:v>
      </x:c>
      <x:c r="E5" s="161" t="inlineStr">
        <x:is>
          <x:t xml:space="preserve">FCFA</x:t>
        </x:is>
      </x:c>
      <x:c r="F5" s="161" t="inlineStr">
        <x:is>
          <x:t xml:space="preserve">Offre pondérée</x:t>
        </x:is>
      </x:c>
      <x:c r="G5" s="161" t="n"/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Coût payout attendu / achat</x:t>
        </x:is>
      </x:c>
      <x:c r="B6" s="467" t="n">
        <x:f>((('Hypothèses'!E7*'Hypothèses'!E8))*(SUMPRODUCT('Hypothèses'!C30:C32,'Hypothèses'!E30:E32)*'Hypothèses'!B35)*'Hypothèses'!E13*0.8*(1+'Hypothèses'!E19)+((('Hypothèses'!E7*'Hypothèses'!E8)*'Hypothèses'!E9))*(SUMPRODUCT('Hypothèses'!C30:C32,'Hypothèses'!E30:E32)*'Hypothèses'!B35)*'Hypothèses'!E13*0.8*(1+'Hypothèses'!E19)+(((('Hypothèses'!E7*'Hypothèses'!E8)*'Hypothèses'!E9)*'Hypothèses'!E10))*(SUMPRODUCT('Hypothèses'!C30:C32,'Hypothèses'!F30:F32)*'Hypothèses'!B35)*'Hypothèses'!E13*0.8*(1+'Hypothèses'!E19)+((((('Hypothèses'!E7*'Hypothèses'!E8)*'Hypothèses'!E9)*'Hypothèses'!E10)*'Hypothèses'!E11))*(SUMPRODUCT('Hypothèses'!C30:C32,'Hypothèses'!F30:F32)*'Hypothèses'!B35)*'Hypothèses'!E13*0.8*(1+'Hypothèses'!E19)+(((((('Hypothèses'!E7*'Hypothèses'!E8)*'Hypothèses'!E9)*'Hypothèses'!E10)*'Hypothèses'!E11)*'Hypothèses'!E12))*(SUMPRODUCT('Hypothèses'!C30:C32,'Hypothèses'!G30:G32)*'Hypothèses'!B35)*'Hypothèses'!E13*0.9*(1+'Hypothèses'!E19))</x:f>
        <x:v>3841.2004049999996</x:v>
      </x:c>
      <x:c r="C6" s="467" t="n">
        <x:f>((('Hypothèses'!F7*'Hypothèses'!F8))*(SUMPRODUCT('Hypothèses'!C30:C32,'Hypothèses'!E30:E32)*'Hypothèses'!B35)*'Hypothèses'!F13*0.8*(1+'Hypothèses'!F19)+((('Hypothèses'!F7*'Hypothèses'!F8)*'Hypothèses'!F9))*(SUMPRODUCT('Hypothèses'!C30:C32,'Hypothèses'!E30:E32)*'Hypothèses'!B35)*'Hypothèses'!F13*0.8*(1+'Hypothèses'!F19)+(((('Hypothèses'!F7*'Hypothèses'!F8)*'Hypothèses'!F9)*'Hypothèses'!F10))*(SUMPRODUCT('Hypothèses'!C30:C32,'Hypothèses'!F30:F32)*'Hypothèses'!B35)*'Hypothèses'!F13*0.8*(1+'Hypothèses'!F19)+((((('Hypothèses'!F7*'Hypothèses'!F8)*'Hypothèses'!F9)*'Hypothèses'!F10)*'Hypothèses'!F11))*(SUMPRODUCT('Hypothèses'!C30:C32,'Hypothèses'!F30:F32)*'Hypothèses'!B35)*'Hypothèses'!F13*0.8*(1+'Hypothèses'!F19)+(((((('Hypothèses'!F7*'Hypothèses'!F8)*'Hypothèses'!F9)*'Hypothèses'!F10)*'Hypothèses'!F11)*'Hypothèses'!F12))*(SUMPRODUCT('Hypothèses'!C30:C32,'Hypothèses'!G30:G32)*'Hypothèses'!B35)*'Hypothèses'!F13*0.9*(1+'Hypothèses'!F19))</x:f>
        <x:v>1094.7500566406252</x:v>
      </x:c>
      <x:c r="D6" s="467" t="n">
        <x:f>((('Hypothèses'!G7*'Hypothèses'!G8))*(SUMPRODUCT('Hypothèses'!C30:C32,'Hypothèses'!E30:E32)*'Hypothèses'!B35)*'Hypothèses'!G13*0.8*(1+'Hypothèses'!G19)+((('Hypothèses'!G7*'Hypothèses'!G8)*'Hypothèses'!G9))*(SUMPRODUCT('Hypothèses'!C30:C32,'Hypothèses'!E30:E32)*'Hypothèses'!B35)*'Hypothèses'!G13*0.8*(1+'Hypothèses'!G19)+(((('Hypothèses'!G7*'Hypothèses'!G8)*'Hypothèses'!G9)*'Hypothèses'!G10))*(SUMPRODUCT('Hypothèses'!C30:C32,'Hypothèses'!F30:F32)*'Hypothèses'!B35)*'Hypothèses'!G13*0.8*(1+'Hypothèses'!G19)+((((('Hypothèses'!G7*'Hypothèses'!G8)*'Hypothèses'!G9)*'Hypothèses'!G10)*'Hypothèses'!G11))*(SUMPRODUCT('Hypothèses'!C30:C32,'Hypothèses'!F30:F32)*'Hypothèses'!B35)*'Hypothèses'!G13*0.8*(1+'Hypothèses'!G19)+(((((('Hypothèses'!G7*'Hypothèses'!G8)*'Hypothèses'!G9)*'Hypothèses'!G10)*'Hypothèses'!G11)*'Hypothèses'!G12))*(SUMPRODUCT('Hypothèses'!C30:C32,'Hypothèses'!G30:G32)*'Hypothèses'!B35)*'Hypothèses'!G13*0.9*(1+'Hypothèses'!G19))</x:f>
        <x:v>15580.401283125004</x:v>
      </x:c>
      <x:c r="E6" s="161" t="inlineStr">
        <x:is>
          <x:t xml:space="preserve">FCFA</x:t>
        </x:is>
      </x:c>
      <x:c r="F6" s="161" t="inlineStr">
        <x:is>
          <x:t xml:space="preserve">Cash trader + frais</x:t>
        </x:is>
      </x:c>
      <x:c r="G6" s="161" t="n"/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Contribution / achat</x:t>
        </x:is>
      </x:c>
      <x:c r="B7" s="467" t="n">
        <x:f>B5-B5*'Hypothèses'!E14-(B5-B5*'Hypothèses'!E14)*'Hypothèses'!E15-B5*'Hypothèses'!E25-'Hypothèses'!E16-'Hypothèses'!E17-'Hypothèses'!E7*'Hypothèses'!E18-B5*'Hypothèses'!E20-B5*'Hypothèses'!E21-B6</x:f>
        <x:v>25376.648845</x:v>
      </x:c>
      <x:c r="C7" s="467" t="n">
        <x:f>C5-C5*'Hypothèses'!F14-(C5-C5*'Hypothèses'!F14)*'Hypothèses'!F15-C5*'Hypothèses'!F25-'Hypothèses'!F16-'Hypothèses'!F17-'Hypothèses'!F7*'Hypothèses'!F18-C5*'Hypothèses'!F20-C5*'Hypothèses'!F21-C6</x:f>
        <x:v>29875.28094335938</x:v>
      </x:c>
      <x:c r="D7" s="467" t="n">
        <x:f>D5-D5*'Hypothèses'!G14-(D5-D5*'Hypothèses'!G14)*'Hypothèses'!G15-D5*'Hypothèses'!G25-'Hypothèses'!G16-'Hypothèses'!G17-'Hypothèses'!G7*'Hypothèses'!G18-D5*'Hypothèses'!G20-D5*'Hypothèses'!G21-D6</x:f>
        <x:v>7499.168216874998</x:v>
      </x:c>
      <x:c r="E7" s="161" t="inlineStr">
        <x:is>
          <x:t xml:space="preserve">FCFA</x:t>
        </x:is>
      </x:c>
      <x:c r="F7" s="161" t="inlineStr">
        <x:is>
          <x:t xml:space="preserve">Après coûts variables et payouts</x:t>
        </x:is>
      </x:c>
      <x:c r="G7" s="161" t="n"/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Marge de contribution</x:t>
        </x:is>
      </x:c>
      <x:c r="B8" s="475" t="n">
        <x:f>B7/B5</x:f>
        <x:v>0.6939198480995351</x:v>
      </x:c>
      <x:c r="C8" s="475" t="n">
        <x:f>C7/C5</x:f>
        <x:v>0.8169341247842324</x:v>
      </x:c>
      <x:c r="D8" s="475" t="n">
        <x:f>D7/D5</x:f>
        <x:v>0.2050633912188952</x:v>
      </x:c>
      <x:c r="E8" s="161" t="inlineStr">
        <x:is>
          <x:t xml:space="preserve">%</x:t>
        </x:is>
      </x:c>
      <x:c r="F8" s="161" t="str"/>
      <x:c r="G8" s="161" t="n"/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Break-even mensuel</x:t>
        </x:is>
      </x:c>
      <x:c r="B9" s="473" t="n">
        <x:f>IF(B7&gt;0,'Hypothèses'!E24/B7,0)</x:f>
        <x:v>35.46567576740254</x:v>
      </x:c>
      <x:c r="C9" s="473" t="n">
        <x:f>IF(C7&gt;0,'Hypothèses'!F24/C7,0)</x:f>
        <x:v>23.430742001293034</x:v>
      </x:c>
      <x:c r="D9" s="473" t="n">
        <x:f>IF(D7&gt;0,'Hypothèses'!G24/D7,0)</x:f>
        <x:v>173.3525588977556</x:v>
      </x:c>
      <x:c r="E9" s="161" t="inlineStr">
        <x:is>
          <x:t xml:space="preserve">achats</x:t>
        </x:is>
      </x:c>
      <x:c r="F9" s="161" t="inlineStr">
        <x:is>
          <x:t xml:space="preserve">OPEX ÷ contribution</x:t>
        </x:is>
      </x:c>
      <x:c r="G9" s="161" t="n"/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Réserve / 1 000 achats à 2,0x</x:t>
        </x:is>
      </x:c>
      <x:c r="B10" s="467" t="n">
        <x:f>B6*1000*'Hypothèses'!B38</x:f>
        <x:v>7682400.81</x:v>
      </x:c>
      <x:c r="C10" s="467" t="n">
        <x:f>C6*1000*'Hypothèses'!B38</x:f>
        <x:v>2189500.1132812505</x:v>
      </x:c>
      <x:c r="D10" s="467" t="n">
        <x:f>D6*1000*'Hypothèses'!B38</x:f>
        <x:v>31160802.566250008</x:v>
      </x:c>
      <x:c r="E10" s="161" t="inlineStr">
        <x:is>
          <x:t xml:space="preserve">FCFA</x:t>
        </x:is>
      </x:c>
      <x:c r="F10" s="161" t="str"/>
      <x:c r="G10" s="161" t="n"/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Probabilité payout #1 / achat</x:t>
        </x:is>
      </x:c>
      <x:c r="B11" s="475" t="n">
        <x:f>('Hypothèses'!E7*'Hypothèses'!E8)</x:f>
        <x:v>0.027999999999999997</x:v>
      </x:c>
      <x:c r="C11" s="475" t="n">
        <x:f>('Hypothèses'!F7*'Hypothèses'!F8)</x:f>
        <x:v>0.0125</x:v>
      </x:c>
      <x:c r="D11" s="475" t="n">
        <x:f>('Hypothèses'!G7*'Hypothèses'!G8)</x:f>
        <x:v>0.07</x:v>
      </x:c>
      <x:c r="E11" s="161" t="inlineStr">
        <x:is>
          <x:t xml:space="preserve">%</x:t>
        </x:is>
      </x:c>
      <x:c r="F11" s="161" t="str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Probabilité payout #5 / achat</x:t>
        </x:is>
      </x:c>
      <x:c r="B12" s="475" t="n">
        <x:f>((((('Hypothèses'!E7*'Hypothèses'!E8)*'Hypothèses'!E9)*'Hypothèses'!E10)*'Hypothèses'!E11)*'Hypothèses'!E12)</x:f>
        <x:v>0.001386</x:v>
      </x:c>
      <x:c r="C12" s="475" t="n">
        <x:f>((((('Hypothèses'!F7*'Hypothèses'!F8)*'Hypothèses'!F9)*'Hypothèses'!F10)*'Hypothèses'!F11)*'Hypothèses'!F12)</x:f>
        <x:v>0.00023625</x:v>
      </x:c>
      <x:c r="D12" s="475" t="n">
        <x:f>((((('Hypothèses'!G7*'Hypothèses'!G8)*'Hypothèses'!G9)*'Hypothèses'!G10)*'Hypothèses'!G11)*'Hypothèses'!G12)</x:f>
        <x:v>0.007507500000000001</x:v>
      </x:c>
      <x:c r="E12" s="161" t="inlineStr">
        <x:is>
          <x:t xml:space="preserve">%</x:t>
        </x:is>
      </x:c>
      <x:c r="F12" s="161" t="str"/>
      <x:c r="G12" s="161" t="n"/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n"/>
      <x:c r="B14" s="161" t="n"/>
      <x:c r="C14" s="161" t="n"/>
      <x:c r="D14" s="161" t="n"/>
      <x:c r="E14" s="161" t="n"/>
      <x:c r="F14" s="161" t="n"/>
      <x:c r="G14" s="161" t="n"/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n"/>
      <x:c r="B15" s="161" t="n"/>
      <x:c r="C15" s="161" t="n"/>
      <x:c r="D15" s="161" t="n"/>
      <x:c r="E15" s="161" t="n"/>
      <x:c r="F15" s="161" t="n"/>
      <x:c r="G15" s="161" t="n"/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n"/>
      <x:c r="B16" s="161" t="n"/>
      <x:c r="C16" s="161" t="n"/>
      <x:c r="D16" s="161" t="n"/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61" t="n"/>
      <x:c r="B17" s="161" t="n"/>
      <x:c r="C17" s="161" t="n"/>
      <x:c r="D17" s="161" t="n"/>
      <x:c r="E17" s="161" t="n"/>
      <x:c r="F17" s="161" t="n"/>
      <x:c r="G17" s="161" t="n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n"/>
      <x:c r="B18" s="161" t="n"/>
      <x:c r="C18" s="161" t="n"/>
      <x:c r="D18" s="161" t="n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n"/>
      <x:c r="B19" s="161" t="n"/>
      <x:c r="C19" s="161" t="n"/>
      <x:c r="D19" s="161" t="n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1" t="n"/>
      <x:c r="B20" s="161" t="n"/>
      <x:c r="C20" s="161" t="n"/>
      <x:c r="D20" s="161" t="n"/>
      <x:c r="E20" s="161" t="n"/>
      <x:c r="F20" s="161" t="n"/>
      <x:c r="G20" s="16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n"/>
      <x:c r="B21" s="161" t="n"/>
      <x:c r="C21" s="161" t="n"/>
      <x:c r="D21" s="161" t="n"/>
      <x:c r="E21" s="161" t="n"/>
      <x:c r="F21" s="161" t="n"/>
      <x:c r="G21" s="161" t="n"/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n"/>
      <x:c r="B22" s="161" t="n"/>
      <x:c r="C22" s="161" t="n"/>
      <x:c r="D22" s="161" t="n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F2"/>
    <x:mergeCell ref="A1:F1"/>
  </x:mergeCells>
  <x:conditionalFormatting sqref="B7:D8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5" customWidth="1"/>
    <x:col min="2" max="2" width="15" customWidth="1"/>
    <x:col min="3" max="3" width="15" customWidth="1"/>
    <x:col min="4" max="4" width="15" customWidth="1"/>
    <x:col min="5" max="5" width="15" customWidth="1"/>
    <x:col min="6" max="6" width="15" customWidth="1"/>
    <x:col min="7" max="7" width="15" customWidth="1"/>
  </x:cols>
  <x:sheetData>
    <x:row r="1" ht="15" customHeight="1">
      <x:c r="A1" s="401" t="inlineStr">
        <x:is>
          <x:t xml:space="preserve">WARIBA — Sensibilités économiques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matrices testent les deux variables les plus dangereuses : taux de réussite et utilisation des caps.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8" t="inlineStr">
        <x:is>
          <x:t xml:space="preserve">A. Contribution par achat — FCFA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4" t="inlineStr">
        <x:is>
          <x:t xml:space="preserve">Pass rate \ Cap usage</x:t>
        </x:is>
      </x:c>
      <x:c r="B5" s="476" t="n">
        <x:v>0.5</x:v>
      </x:c>
      <x:c r="C5" s="476" t="n">
        <x:v>0.6</x:v>
      </x:c>
      <x:c r="D5" s="476" t="n">
        <x:v>0.7</x:v>
      </x:c>
      <x:c r="E5" s="476" t="n">
        <x:v>0.8</x:v>
      </x:c>
      <x:c r="F5" s="476" t="n">
        <x:v>0.9</x:v>
      </x:c>
      <x:c r="G5" s="476" t="n">
        <x:v>1</x:v>
      </x:c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477" t="n">
        <x:v>0.05</x:v>
      </x:c>
      <x:c r="B6" s="467" t="n">
        <x:f>'Économie Unitaire'!B17-('Économie Unitaire'!B28*($A6/'Hypothèses'!B7)*(B$5/'Hypothèses'!B13))</x:f>
        <x:v>27503.027640624998</x:v>
      </x:c>
      <x:c r="C6" s="467" t="n">
        <x:f>'Économie Unitaire'!B17-('Économie Unitaire'!B28*($A6/'Hypothèses'!B7)*(C$5/'Hypothèses'!B13))</x:f>
        <x:v>27160.06331875</x:v>
      </x:c>
      <x:c r="D6" s="467" t="n">
        <x:f>'Économie Unitaire'!B17-('Économie Unitaire'!B28*($A6/'Hypothèses'!B7)*(D$5/'Hypothèses'!B13))</x:f>
        <x:v>26817.098996875</x:v>
      </x:c>
      <x:c r="E6" s="467" t="n">
        <x:f>'Économie Unitaire'!B17-('Économie Unitaire'!B28*($A6/'Hypothèses'!B7)*(E$5/'Hypothèses'!B13))</x:f>
        <x:v>26474.134675</x:v>
      </x:c>
      <x:c r="F6" s="467" t="n">
        <x:f>'Économie Unitaire'!B17-('Économie Unitaire'!B28*($A6/'Hypothèses'!B7)*(F$5/'Hypothèses'!B13))</x:f>
        <x:v>26131.170353125</x:v>
      </x:c>
      <x:c r="G6" s="467" t="n">
        <x:f>'Économie Unitaire'!B17-('Économie Unitaire'!B28*($A6/'Hypothèses'!B7)*(G$5/'Hypothèses'!B13))</x:f>
        <x:v>25788.20603125</x:v>
      </x:c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477" t="n">
        <x:v>0.08</x:v>
      </x:c>
      <x:c r="B7" s="467" t="n">
        <x:f>'Économie Unitaire'!B17-('Économie Unitaire'!B28*($A7/'Hypothèses'!B7)*(B$5/'Hypothèses'!B13))</x:f>
        <x:v>26474.134675</x:v>
      </x:c>
      <x:c r="C7" s="467" t="n">
        <x:f>'Économie Unitaire'!B17-('Économie Unitaire'!B28*($A7/'Hypothèses'!B7)*(C$5/'Hypothèses'!B13))</x:f>
        <x:v>25925.39176</x:v>
      </x:c>
      <x:c r="D7" s="467" t="n">
        <x:f>'Économie Unitaire'!B17-('Économie Unitaire'!B28*($A7/'Hypothèses'!B7)*(D$5/'Hypothèses'!B13))</x:f>
        <x:v>25376.648845</x:v>
      </x:c>
      <x:c r="E7" s="467" t="n">
        <x:f>'Économie Unitaire'!B17-('Économie Unitaire'!B28*($A7/'Hypothèses'!B7)*(E$5/'Hypothèses'!B13))</x:f>
        <x:v>24827.90593</x:v>
      </x:c>
      <x:c r="F7" s="467" t="n">
        <x:f>'Économie Unitaire'!B17-('Économie Unitaire'!B28*($A7/'Hypothèses'!B7)*(F$5/'Hypothèses'!B13))</x:f>
        <x:v>24279.163015</x:v>
      </x:c>
      <x:c r="G7" s="467" t="n">
        <x:f>'Économie Unitaire'!B17-('Économie Unitaire'!B28*($A7/'Hypothèses'!B7)*(G$5/'Hypothèses'!B13))</x:f>
        <x:v>23730.4201</x:v>
      </x:c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477" t="n">
        <x:v>0.11</x:v>
      </x:c>
      <x:c r="B8" s="467" t="n">
        <x:f>'Économie Unitaire'!B17-('Économie Unitaire'!B28*($A8/'Hypothèses'!B7)*(B$5/'Hypothèses'!B13))</x:f>
        <x:v>25445.241709374997</x:v>
      </x:c>
      <x:c r="C8" s="467" t="n">
        <x:f>'Économie Unitaire'!B17-('Économie Unitaire'!B28*($A8/'Hypothèses'!B7)*(C$5/'Hypothèses'!B13))</x:f>
        <x:v>24690.72020125</x:v>
      </x:c>
      <x:c r="D8" s="467" t="n">
        <x:f>'Économie Unitaire'!B17-('Économie Unitaire'!B28*($A8/'Hypothèses'!B7)*(D$5/'Hypothèses'!B13))</x:f>
        <x:v>23936.198693125</x:v>
      </x:c>
      <x:c r="E8" s="467" t="n">
        <x:f>'Économie Unitaire'!B17-('Économie Unitaire'!B28*($A8/'Hypothèses'!B7)*(E$5/'Hypothèses'!B13))</x:f>
        <x:v>23181.677185</x:v>
      </x:c>
      <x:c r="F8" s="467" t="n">
        <x:f>'Économie Unitaire'!B17-('Économie Unitaire'!B28*($A8/'Hypothèses'!B7)*(F$5/'Hypothèses'!B13))</x:f>
        <x:v>22427.155676874998</x:v>
      </x:c>
      <x:c r="G8" s="467" t="n">
        <x:f>'Économie Unitaire'!B17-('Économie Unitaire'!B28*($A8/'Hypothèses'!B7)*(G$5/'Hypothèses'!B13))</x:f>
        <x:v>21672.63416875</x:v>
      </x:c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477" t="n">
        <x:v>0.14</x:v>
      </x:c>
      <x:c r="B9" s="467" t="n">
        <x:f>'Économie Unitaire'!B17-('Économie Unitaire'!B28*($A9/'Hypothèses'!B7)*(B$5/'Hypothèses'!B13))</x:f>
        <x:v>24416.34874375</x:v>
      </x:c>
      <x:c r="C9" s="467" t="n">
        <x:f>'Économie Unitaire'!B17-('Économie Unitaire'!B28*($A9/'Hypothèses'!B7)*(C$5/'Hypothèses'!B13))</x:f>
        <x:v>23456.048642499998</x:v>
      </x:c>
      <x:c r="D9" s="467" t="n">
        <x:f>'Économie Unitaire'!B17-('Économie Unitaire'!B28*($A9/'Hypothèses'!B7)*(D$5/'Hypothèses'!B13))</x:f>
        <x:v>22495.74854125</x:v>
      </x:c>
      <x:c r="E9" s="467" t="n">
        <x:f>'Économie Unitaire'!B17-('Économie Unitaire'!B28*($A9/'Hypothèses'!B7)*(E$5/'Hypothèses'!B13))</x:f>
        <x:v>21535.44844</x:v>
      </x:c>
      <x:c r="F9" s="467" t="n">
        <x:f>'Économie Unitaire'!B17-('Économie Unitaire'!B28*($A9/'Hypothèses'!B7)*(F$5/'Hypothèses'!B13))</x:f>
        <x:v>20575.148338749997</x:v>
      </x:c>
      <x:c r="G9" s="467" t="n">
        <x:f>'Économie Unitaire'!B17-('Économie Unitaire'!B28*($A9/'Hypothèses'!B7)*(G$5/'Hypothèses'!B13))</x:f>
        <x:v>19614.8482375</x:v>
      </x:c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477" t="n">
        <x:v>0.17</x:v>
      </x:c>
      <x:c r="B10" s="467" t="n">
        <x:f>'Économie Unitaire'!B17-('Économie Unitaire'!B28*($A10/'Hypothèses'!B7)*(B$5/'Hypothèses'!B13))</x:f>
        <x:v>23387.455778125</x:v>
      </x:c>
      <x:c r="C10" s="467" t="n">
        <x:f>'Économie Unitaire'!B17-('Économie Unitaire'!B28*($A10/'Hypothèses'!B7)*(C$5/'Hypothèses'!B13))</x:f>
        <x:v>22221.377083749998</x:v>
      </x:c>
      <x:c r="D10" s="467" t="n">
        <x:f>'Économie Unitaire'!B17-('Économie Unitaire'!B28*($A10/'Hypothèses'!B7)*(D$5/'Hypothèses'!B13))</x:f>
        <x:v>21055.298389375</x:v>
      </x:c>
      <x:c r="E10" s="467" t="n">
        <x:f>'Économie Unitaire'!B17-('Économie Unitaire'!B28*($A10/'Hypothèses'!B7)*(E$5/'Hypothèses'!B13))</x:f>
        <x:v>19889.219695</x:v>
      </x:c>
      <x:c r="F10" s="467" t="n">
        <x:f>'Économie Unitaire'!B17-('Économie Unitaire'!B28*($A10/'Hypothèses'!B7)*(F$5/'Hypothèses'!B13))</x:f>
        <x:v>18723.141000625</x:v>
      </x:c>
      <x:c r="G10" s="467" t="n">
        <x:f>'Économie Unitaire'!B17-('Économie Unitaire'!B28*($A10/'Hypothèses'!B7)*(G$5/'Hypothèses'!B13))</x:f>
        <x:v>17557.06230625</x:v>
      </x:c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477" t="n">
        <x:v>0.2</x:v>
      </x:c>
      <x:c r="B11" s="467" t="n">
        <x:f>'Économie Unitaire'!B17-('Économie Unitaire'!B28*($A11/'Hypothèses'!B7)*(B$5/'Hypothèses'!B13))</x:f>
        <x:v>22358.5628125</x:v>
      </x:c>
      <x:c r="C11" s="467" t="n">
        <x:f>'Économie Unitaire'!B17-('Économie Unitaire'!B28*($A11/'Hypothèses'!B7)*(C$5/'Hypothèses'!B13))</x:f>
        <x:v>20986.705524999998</x:v>
      </x:c>
      <x:c r="D11" s="467" t="n">
        <x:f>'Économie Unitaire'!B17-('Économie Unitaire'!B28*($A11/'Hypothèses'!B7)*(D$5/'Hypothèses'!B13))</x:f>
        <x:v>19614.848237500002</x:v>
      </x:c>
      <x:c r="E11" s="467" t="n">
        <x:f>'Économie Unitaire'!B17-('Économie Unitaire'!B28*($A11/'Hypothèses'!B7)*(E$5/'Hypothèses'!B13))</x:f>
        <x:v>18242.99095</x:v>
      </x:c>
      <x:c r="F11" s="467" t="n">
        <x:f>'Économie Unitaire'!B17-('Économie Unitaire'!B28*($A11/'Hypothèses'!B7)*(F$5/'Hypothèses'!B13))</x:f>
        <x:v>16871.1336625</x:v>
      </x:c>
      <x:c r="G11" s="467" t="n">
        <x:f>'Économie Unitaire'!B17-('Économie Unitaire'!B28*($A11/'Hypothèses'!B7)*(G$5/'Hypothèses'!B13))</x:f>
        <x:v>15499.276375000001</x:v>
      </x:c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n"/>
      <x:c r="B12" s="161" t="n"/>
      <x:c r="C12" s="161" t="n"/>
      <x:c r="D12" s="161" t="n"/>
      <x:c r="E12" s="161" t="n"/>
      <x:c r="F12" s="161" t="n"/>
      <x:c r="G12" s="161" t="n"/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8" t="inlineStr">
        <x:is>
          <x:t xml:space="preserve">B. Réserve requise pour 1 000 achats — FCFA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4" t="inlineStr">
        <x:is>
          <x:t xml:space="preserve">Pass rate \ Cap usage</x:t>
        </x:is>
      </x:c>
      <x:c r="B15" s="476" t="n">
        <x:v>0.5</x:v>
      </x:c>
      <x:c r="C15" s="476" t="n">
        <x:v>0.6</x:v>
      </x:c>
      <x:c r="D15" s="476" t="n">
        <x:v>0.7</x:v>
      </x:c>
      <x:c r="E15" s="476" t="n">
        <x:v>0.8</x:v>
      </x:c>
      <x:c r="F15" s="476" t="n">
        <x:v>0.9</x:v>
      </x:c>
      <x:c r="G15" s="476" t="n">
        <x:v>1</x:v>
      </x:c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477" t="n">
        <x:v>0.05</x:v>
      </x:c>
      <x:c r="B16" s="467" t="n">
        <x:f>'Économie Unitaire'!B28*($A16/'Hypothèses'!B7)*(B$15/'Hypothèses'!B13)*1000*'Hypothèses'!B38</x:f>
        <x:v>3429643.2187499995</x:v>
      </x:c>
      <x:c r="C16" s="467" t="n">
        <x:f>'Économie Unitaire'!B28*($A16/'Hypothèses'!B7)*(C$15/'Hypothèses'!B13)*1000*'Hypothèses'!B38</x:f>
        <x:v>4115571.8625</x:v>
      </x:c>
      <x:c r="D16" s="467" t="n">
        <x:f>'Économie Unitaire'!B28*($A16/'Hypothèses'!B7)*(D$15/'Hypothèses'!B13)*1000*'Hypothèses'!B38</x:f>
        <x:v>4801500.50625</x:v>
      </x:c>
      <x:c r="E16" s="467" t="n">
        <x:f>'Économie Unitaire'!B28*($A16/'Hypothèses'!B7)*(E$15/'Hypothèses'!B13)*1000*'Hypothèses'!B38</x:f>
        <x:v>5487429.15</x:v>
      </x:c>
      <x:c r="F16" s="467" t="n">
        <x:f>'Économie Unitaire'!B28*($A16/'Hypothèses'!B7)*(F$15/'Hypothèses'!B13)*1000*'Hypothèses'!B38</x:f>
        <x:v>6173357.793749999</x:v>
      </x:c>
      <x:c r="G16" s="467" t="n">
        <x:f>'Économie Unitaire'!B28*($A16/'Hypothèses'!B7)*(G$15/'Hypothèses'!B13)*1000*'Hypothèses'!B38</x:f>
        <x:v>6859286.437499999</x:v>
      </x:c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477" t="n">
        <x:v>0.08</x:v>
      </x:c>
      <x:c r="B17" s="467" t="n">
        <x:f>'Économie Unitaire'!B28*($A17/'Hypothèses'!B7)*(B$15/'Hypothèses'!B13)*1000*'Hypothèses'!B38</x:f>
        <x:v>5487429.15</x:v>
      </x:c>
      <x:c r="C17" s="467" t="n">
        <x:f>'Économie Unitaire'!B28*($A17/'Hypothèses'!B7)*(C$15/'Hypothèses'!B13)*1000*'Hypothèses'!B38</x:f>
        <x:v>6584914.9799999995</x:v>
      </x:c>
      <x:c r="D17" s="467" t="n">
        <x:f>'Économie Unitaire'!B28*($A17/'Hypothèses'!B7)*(D$15/'Hypothèses'!B13)*1000*'Hypothèses'!B38</x:f>
        <x:v>7682400.81</x:v>
      </x:c>
      <x:c r="E17" s="467" t="n">
        <x:f>'Économie Unitaire'!B28*($A17/'Hypothèses'!B7)*(E$15/'Hypothèses'!B13)*1000*'Hypothèses'!B38</x:f>
        <x:v>8779886.64</x:v>
      </x:c>
      <x:c r="F17" s="467" t="n">
        <x:f>'Économie Unitaire'!B28*($A17/'Hypothèses'!B7)*(F$15/'Hypothèses'!B13)*1000*'Hypothèses'!B38</x:f>
        <x:v>9877372.47</x:v>
      </x:c>
      <x:c r="G17" s="467" t="n">
        <x:f>'Économie Unitaire'!B28*($A17/'Hypothèses'!B7)*(G$15/'Hypothèses'!B13)*1000*'Hypothèses'!B38</x:f>
        <x:v>10974858.3</x:v>
      </x:c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477" t="n">
        <x:v>0.11</x:v>
      </x:c>
      <x:c r="B18" s="467" t="n">
        <x:f>'Économie Unitaire'!B28*($A18/'Hypothèses'!B7)*(B$15/'Hypothèses'!B13)*1000*'Hypothèses'!B38</x:f>
        <x:v>7545215.081250001</x:v>
      </x:c>
      <x:c r="C18" s="467" t="n">
        <x:f>'Économie Unitaire'!B28*($A18/'Hypothèses'!B7)*(C$15/'Hypothèses'!B13)*1000*'Hypothèses'!B38</x:f>
        <x:v>9054258.0975</x:v>
      </x:c>
      <x:c r="D18" s="467" t="n">
        <x:f>'Économie Unitaire'!B28*($A18/'Hypothèses'!B7)*(D$15/'Hypothèses'!B13)*1000*'Hypothèses'!B38</x:f>
        <x:v>10563301.11375</x:v>
      </x:c>
      <x:c r="E18" s="467" t="n">
        <x:f>'Économie Unitaire'!B28*($A18/'Hypothèses'!B7)*(E$15/'Hypothèses'!B13)*1000*'Hypothèses'!B38</x:f>
        <x:v>12072344.13</x:v>
      </x:c>
      <x:c r="F18" s="467" t="n">
        <x:f>'Économie Unitaire'!B28*($A18/'Hypothèses'!B7)*(F$15/'Hypothèses'!B13)*1000*'Hypothèses'!B38</x:f>
        <x:v>13581387.14625</x:v>
      </x:c>
      <x:c r="G18" s="467" t="n">
        <x:f>'Économie Unitaire'!B28*($A18/'Hypothèses'!B7)*(G$15/'Hypothèses'!B13)*1000*'Hypothèses'!B38</x:f>
        <x:v>15090430.162500001</x:v>
      </x:c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477" t="n">
        <x:v>0.14</x:v>
      </x:c>
      <x:c r="B19" s="467" t="n">
        <x:f>'Économie Unitaire'!B28*($A19/'Hypothèses'!B7)*(B$15/'Hypothèses'!B13)*1000*'Hypothèses'!B38</x:f>
        <x:v>9603001.012500001</x:v>
      </x:c>
      <x:c r="C19" s="467" t="n">
        <x:f>'Économie Unitaire'!B28*($A19/'Hypothèses'!B7)*(C$15/'Hypothèses'!B13)*1000*'Hypothèses'!B38</x:f>
        <x:v>11523601.215</x:v>
      </x:c>
      <x:c r="D19" s="467" t="n">
        <x:f>'Économie Unitaire'!B28*($A19/'Hypothèses'!B7)*(D$15/'Hypothèses'!B13)*1000*'Hypothèses'!B38</x:f>
        <x:v>13444201.4175</x:v>
      </x:c>
      <x:c r="E19" s="467" t="n">
        <x:f>'Économie Unitaire'!B28*($A19/'Hypothèses'!B7)*(E$15/'Hypothèses'!B13)*1000*'Hypothèses'!B38</x:f>
        <x:v>15364801.620000003</x:v>
      </x:c>
      <x:c r="F19" s="467" t="n">
        <x:f>'Économie Unitaire'!B28*($A19/'Hypothèses'!B7)*(F$15/'Hypothèses'!B13)*1000*'Hypothèses'!B38</x:f>
        <x:v>17285401.8225</x:v>
      </x:c>
      <x:c r="G19" s="467" t="n">
        <x:f>'Économie Unitaire'!B28*($A19/'Hypothèses'!B7)*(G$15/'Hypothèses'!B13)*1000*'Hypothèses'!B38</x:f>
        <x:v>19206002.025000002</x:v>
      </x:c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477" t="n">
        <x:v>0.17</x:v>
      </x:c>
      <x:c r="B20" s="467" t="n">
        <x:f>'Économie Unitaire'!B28*($A20/'Hypothèses'!B7)*(B$15/'Hypothèses'!B13)*1000*'Hypothèses'!B38</x:f>
        <x:v>11660786.943749998</x:v>
      </x:c>
      <x:c r="C20" s="467" t="n">
        <x:f>'Économie Unitaire'!B28*($A20/'Hypothèses'!B7)*(C$15/'Hypothèses'!B13)*1000*'Hypothèses'!B38</x:f>
        <x:v>13992944.3325</x:v>
      </x:c>
      <x:c r="D20" s="467" t="n">
        <x:f>'Économie Unitaire'!B28*($A20/'Hypothèses'!B7)*(D$15/'Hypothèses'!B13)*1000*'Hypothèses'!B38</x:f>
        <x:v>16325101.721249998</x:v>
      </x:c>
      <x:c r="E20" s="467" t="n">
        <x:f>'Économie Unitaire'!B28*($A20/'Hypothèses'!B7)*(E$15/'Hypothèses'!B13)*1000*'Hypothèses'!B38</x:f>
        <x:v>18657259.11</x:v>
      </x:c>
      <x:c r="F20" s="467" t="n">
        <x:f>'Économie Unitaire'!B28*($A20/'Hypothèses'!B7)*(F$15/'Hypothèses'!B13)*1000*'Hypothèses'!B38</x:f>
        <x:v>20989416.498749997</x:v>
      </x:c>
      <x:c r="G20" s="467" t="n">
        <x:f>'Économie Unitaire'!B28*($A20/'Hypothèses'!B7)*(G$15/'Hypothèses'!B13)*1000*'Hypothèses'!B38</x:f>
        <x:v>23321573.887499996</x:v>
      </x:c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477" t="n">
        <x:v>0.2</x:v>
      </x:c>
      <x:c r="B21" s="467" t="n">
        <x:f>'Économie Unitaire'!B28*($A21/'Hypothèses'!B7)*(B$15/'Hypothèses'!B13)*1000*'Hypothèses'!B38</x:f>
        <x:v>13718572.874999998</x:v>
      </x:c>
      <x:c r="C21" s="467" t="n">
        <x:f>'Économie Unitaire'!B28*($A21/'Hypothèses'!B7)*(C$15/'Hypothèses'!B13)*1000*'Hypothèses'!B38</x:f>
        <x:v>16462287.45</x:v>
      </x:c>
      <x:c r="D21" s="467" t="n">
        <x:f>'Économie Unitaire'!B28*($A21/'Hypothèses'!B7)*(D$15/'Hypothèses'!B13)*1000*'Hypothèses'!B38</x:f>
        <x:v>19206002.025</x:v>
      </x:c>
      <x:c r="E21" s="467" t="n">
        <x:f>'Économie Unitaire'!B28*($A21/'Hypothèses'!B7)*(E$15/'Hypothèses'!B13)*1000*'Hypothèses'!B38</x:f>
        <x:v>21949716.6</x:v>
      </x:c>
      <x:c r="F21" s="467" t="n">
        <x:f>'Économie Unitaire'!B28*($A21/'Hypothèses'!B7)*(F$15/'Hypothèses'!B13)*1000*'Hypothèses'!B38</x:f>
        <x:v>24693431.174999997</x:v>
      </x:c>
      <x:c r="G21" s="467" t="n">
        <x:f>'Économie Unitaire'!B28*($A21/'Hypothèses'!B7)*(G$15/'Hypothèses'!B13)*1000*'Hypothèses'!B38</x:f>
        <x:v>27437145.749999996</x:v>
      </x:c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n"/>
      <x:c r="B22" s="161" t="n"/>
      <x:c r="C22" s="161" t="n"/>
      <x:c r="D22" s="161" t="n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:H2"/>
    <x:mergeCell ref="A14:H14"/>
    <x:mergeCell ref="A1:H1"/>
  </x:mergeCells>
  <x:conditionalFormatting sqref="B6:G11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conditionalFormatting sqref="B16:G21">
    <x:cfRule type="colorScale" priority="2">
      <x:colorScale>
        <x:cfvo type="min"/>
        <x:cfvo type="percentile" val="50"/>
        <x:cfvo type="max"/>
        <x:color rgb="FFE3F3EC"/>
        <x:color rgb="FFFFF1D5"/>
        <x:color rgb="FFFBE7E7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18" customWidth="1"/>
    <x:col min="3" max="3" width="18" customWidth="1"/>
    <x:col min="4" max="4" width="15" customWidth="1"/>
    <x:col min="5" max="5" width="15" customWidth="1"/>
    <x:col min="6" max="6" width="40" customWidth="1"/>
    <x:col min="7" max="7" width="18" customWidth="1"/>
    <x:col min="8" max="8" width="18" customWidth="1"/>
  </x:cols>
  <x:sheetData>
    <x:row r="1" ht="15" customHeight="1">
      <x:c r="A1" s="404" t="inlineStr">
        <x:is>
          <x:t xml:space="preserve">WARIBA — Gates financiers et décisions de lancement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Un résultat positif ne remplace pas les gates juridiques, PSP, données de marché, sécurité et opérations.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n"/>
      <x:c r="B3" s="157" t="n"/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405" t="inlineStr">
        <x:is>
          <x:t xml:space="preserve">A. Gates calculés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49" t="inlineStr">
        <x:is>
          <x:t xml:space="preserve">Gate</x:t>
        </x:is>
      </x:c>
      <x:c r="B5" s="149" t="inlineStr">
        <x:is>
          <x:t xml:space="preserve">Mesure</x:t>
        </x:is>
      </x:c>
      <x:c r="C5" s="149" t="inlineStr">
        <x:is>
          <x:t xml:space="preserve">Seuil</x:t>
        </x:is>
      </x:c>
      <x:c r="D5" s="149" t="inlineStr">
        <x:is>
          <x:t xml:space="preserve">Résultat</x:t>
        </x:is>
      </x:c>
      <x:c r="E5" s="149" t="inlineStr">
        <x:is>
          <x:t xml:space="preserve">Statut</x:t>
        </x:is>
      </x:c>
      <x:c r="F5" s="149" t="inlineStr">
        <x:is>
          <x:t xml:space="preserve">Action</x:t>
        </x:is>
      </x:c>
      <x:c r="G5" s="149" t="inlineStr">
        <x:is>
          <x:t xml:space="preserve">Responsable</x:t>
        </x:is>
      </x:c>
      <x:c r="H5" s="149" t="inlineStr">
        <x:is>
          <x:t xml:space="preserve">Decision Log</x:t>
        </x:is>
      </x:c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57" t="inlineStr">
        <x:is>
          <x:t xml:space="preserve">Contribution positive</x:t>
        </x:is>
      </x:c>
      <x:c r="B6" s="452" t="n">
        <x:f>'Économie Unitaire'!B32</x:f>
        <x:v>25376.648845</x:v>
      </x:c>
      <x:c r="C6" s="157" t="inlineStr">
        <x:is>
          <x:t xml:space="preserve">&gt; 0</x:t>
        </x:is>
      </x:c>
      <x:c r="D6" s="380" t="str">
        <x:f>IF(B6&gt;0,"PASS","FAIL")</x:f>
        <x:v>PASS</x:v>
      </x:c>
      <x:c r="E6" s="380" t="str">
        <x:f>D6</x:f>
        <x:v>PASS</x:v>
      </x:c>
      <x:c r="F6" s="157" t="inlineStr">
        <x:is>
          <x:t xml:space="preserve">Continuer seulement si positive</x:t>
        </x:is>
      </x:c>
      <x:c r="G6" s="157" t="inlineStr">
        <x:is>
          <x:t xml:space="preserve">CFO</x:t>
        </x:is>
      </x:c>
      <x:c r="H6" s="157" t="inlineStr">
        <x:is>
          <x:t xml:space="preserve">FM-001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Marge de contribution</x:t>
        </x:is>
      </x:c>
      <x:c r="B7" s="448" t="n">
        <x:f>'Économie Unitaire'!B33</x:f>
        <x:v>0.6939198480995351</x:v>
      </x:c>
      <x:c r="C7" s="157" t="inlineStr">
        <x:is>
          <x:t xml:space="preserve">≥ 35 %</x:t>
        </x:is>
      </x:c>
      <x:c r="D7" s="380" t="str">
        <x:f>IF(B7&gt;=0.35,"PASS","FAIL")</x:f>
        <x:v>PASS</x:v>
      </x:c>
      <x:c r="E7" s="380" t="str">
        <x:f>D7</x:f>
        <x:v>PASS</x:v>
      </x:c>
      <x:c r="F7" s="157" t="inlineStr">
        <x:is>
          <x:t xml:space="preserve">Revoir prix/caps/coûts</x:t>
        </x:is>
      </x:c>
      <x:c r="G7" s="157" t="inlineStr">
        <x:is>
          <x:t xml:space="preserve">CFO</x:t>
        </x:is>
      </x:c>
      <x:c r="H7" s="157" t="inlineStr">
        <x:is>
          <x:t xml:space="preserve">FM-002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Break-even mensuel</x:t>
        </x:is>
      </x:c>
      <x:c r="B8" s="478" t="n">
        <x:f>'Économie Unitaire'!B34</x:f>
        <x:v>35.46567576740254</x:v>
      </x:c>
      <x:c r="C8" s="157" t="inlineStr">
        <x:is>
          <x:t xml:space="preserve">≤ ventes M6</x:t>
        </x:is>
      </x:c>
      <x:c r="D8" s="380" t="str">
        <x:f>IF(B8&lt;='Hypothèses'!G43,"PASS","FAIL")</x:f>
        <x:v>PASS</x:v>
      </x:c>
      <x:c r="E8" s="380" t="str">
        <x:f>D8</x:f>
        <x:v>PASS</x:v>
      </x:c>
      <x:c r="F8" s="157" t="inlineStr">
        <x:is>
          <x:t xml:space="preserve">Réduire OPEX ou augmenter contribution</x:t>
        </x:is>
      </x:c>
      <x:c r="G8" s="157" t="inlineStr">
        <x:is>
          <x:t xml:space="preserve">COO</x:t>
        </x:is>
      </x:c>
      <x:c r="H8" s="157" t="inlineStr">
        <x:is>
          <x:t xml:space="preserve">FM-003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Réserve / 1 000 achats</x:t>
        </x:is>
      </x:c>
      <x:c r="B9" s="452" t="n">
        <x:f>'Économie Unitaire'!B35</x:f>
        <x:v>7682400.81</x:v>
      </x:c>
      <x:c r="C9" s="157" t="inlineStr">
        <x:is>
          <x:t xml:space="preserve">Financée avant scale</x:t>
        </x:is>
      </x:c>
      <x:c r="D9" s="380" t="str">
        <x:f>IF('Hypothèses'!B37&gt;=B9,"PASS","PARTIEL")</x:f>
        <x:v>PARTIEL</x:v>
      </x:c>
      <x:c r="E9" s="380" t="str">
        <x:f>D9</x:f>
        <x:v>PARTIEL</x:v>
      </x:c>
      <x:c r="F9" s="157" t="inlineStr">
        <x:is>
          <x:t xml:space="preserve">Alimenter réserve avant acquisition</x:t>
        </x:is>
      </x:c>
      <x:c r="G9" s="157" t="inlineStr">
        <x:is>
          <x:t xml:space="preserve">CFO</x:t>
        </x:is>
      </x:c>
      <x:c r="H9" s="157" t="inlineStr">
        <x:is>
          <x:t xml:space="preserve">FM-004</x:t>
        </x:is>
      </x:c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Stress contribution</x:t>
        </x:is>
      </x:c>
      <x:c r="B10" s="452" t="n">
        <x:f>'Comparaison Scénarios'!D7</x:f>
        <x:v>7499.168216874998</x:v>
      </x:c>
      <x:c r="C10" s="157" t="inlineStr">
        <x:is>
          <x:t xml:space="preserve">&gt; 0</x:t>
        </x:is>
      </x:c>
      <x:c r="D10" s="380" t="str">
        <x:f>IF(B10&gt;0,"PASS","FAIL")</x:f>
        <x:v>PASS</x:v>
      </x:c>
      <x:c r="E10" s="380" t="str">
        <x:f>D10</x:f>
        <x:v>PASS</x:v>
      </x:c>
      <x:c r="F10" s="157" t="inlineStr">
        <x:is>
          <x:t xml:space="preserve">Ne pas lancer si négative</x:t>
        </x:is>
      </x:c>
      <x:c r="G10" s="157" t="inlineStr">
        <x:is>
          <x:t xml:space="preserve">CFO/CRO</x:t>
        </x:is>
      </x:c>
      <x:c r="H10" s="157" t="inlineStr">
        <x:is>
          <x:t xml:space="preserve">FM-005</x:t>
        </x:is>
      </x:c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25.5" customHeight="1">
      <x:c r="A11" s="488" t="str">
        <x:v>Ventes publiques 25K/50K/100K</x:v>
      </x:c>
      <x:c r="B11" s="489" t="n">
        <x:f>MIN('Prévision 24M'!B31:Y31)</x:f>
        <x:v>19.951903986292873</x:v>
      </x:c>
      <x:c r="C11" s="488" t="inlineStr">
        <x:is>
          <x:t xml:space="preserve">≥ 1,5x</x:t>
        </x:is>
      </x:c>
      <x:c r="D11" s="490" t="str">
        <x:f>IF(B11&gt;=1.5,"OPEN","SUSPEND")</x:f>
        <x:v>OPEN</x:v>
      </x:c>
      <x:c r="E11" s="490" t="str">
        <x:f>D11</x:f>
        <x:v>OPEN</x:v>
      </x:c>
      <x:c r="F11" s="488" t="str">
        <x:v>Flags 100K → 50K → 25K selon réserve</x:v>
      </x:c>
      <x:c r="G11" s="488" t="inlineStr">
        <x:is>
          <x:t xml:space="preserve">CFO/CRO</x:t>
        </x:is>
      </x:c>
      <x:c r="H11" s="488" t="inlineStr">
        <x:is>
          <x:t xml:space="preserve">FM-006</x:t>
        </x:is>
      </x:c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Cash exploitation M12</x:t>
        </x:is>
      </x:c>
      <x:c r="B12" s="452" t="n">
        <x:f>'Prévision 24M'!M28</x:f>
        <x:v>34150884.737078026</x:v>
      </x:c>
      <x:c r="C12" s="157" t="inlineStr">
        <x:is>
          <x:t xml:space="preserve">&gt; 0</x:t>
        </x:is>
      </x:c>
      <x:c r="D12" s="380" t="str">
        <x:f>IF(B12&gt;0,"PASS","FAIL")</x:f>
        <x:v>PASS</x:v>
      </x:c>
      <x:c r="E12" s="380" t="str">
        <x:f>D12</x:f>
        <x:v>PASS</x:v>
      </x:c>
      <x:c r="F12" s="157" t="inlineStr">
        <x:is>
          <x:t xml:space="preserve">Contrôler dépenses et croissance</x:t>
        </x:is>
      </x:c>
      <x:c r="G12" s="157" t="inlineStr">
        <x:is>
          <x:t xml:space="preserve">COO</x:t>
        </x:is>
      </x:c>
      <x:c r="H12" s="157" t="inlineStr">
        <x:is>
          <x:t xml:space="preserve">FM-007</x:t>
        </x:is>
      </x:c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inlineStr">
        <x:is>
          <x:t xml:space="preserve">Couverture minimum 24M</x:t>
        </x:is>
      </x:c>
      <x:c r="B13" s="479" t="n">
        <x:f>MIN('Prévision 24M'!B31:Y31)</x:f>
        <x:v>19.951903986292873</x:v>
      </x:c>
      <x:c r="C13" s="157" t="inlineStr">
        <x:is>
          <x:t xml:space="preserve">≥ 1,2x</x:t>
        </x:is>
      </x:c>
      <x:c r="D13" s="380" t="str">
        <x:f>IF(B13&gt;=1.2,"PASS","FAIL")</x:f>
        <x:v>PASS</x:v>
      </x:c>
      <x:c r="E13" s="380" t="str">
        <x:f>D13</x:f>
        <x:v>PASS</x:v>
      </x:c>
      <x:c r="F13" s="157" t="inlineStr">
        <x:is>
          <x:t xml:space="preserve">Suspendre nouvelles ventes si critique</x:t>
        </x:is>
      </x:c>
      <x:c r="G13" s="157" t="inlineStr">
        <x:is>
          <x:t xml:space="preserve">CFO</x:t>
        </x:is>
      </x:c>
      <x:c r="H13" s="157" t="inlineStr">
        <x:is>
          <x:t xml:space="preserve">FM-008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57" t="n"/>
      <x:c r="B14" s="157" t="n"/>
      <x:c r="C14" s="157" t="n"/>
      <x:c r="D14" s="157" t="n"/>
      <x:c r="E14" s="157" t="n"/>
      <x:c r="F14" s="157" t="n"/>
      <x:c r="G14" s="157" t="n"/>
      <x:c r="H14" s="157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57" t="n"/>
      <x:c r="B15" s="157" t="n"/>
      <x:c r="C15" s="157" t="n"/>
      <x:c r="D15" s="157" t="n"/>
      <x:c r="E15" s="157" t="n"/>
      <x:c r="F15" s="157" t="n"/>
      <x:c r="G15" s="157" t="n"/>
      <x:c r="H15" s="157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405" t="inlineStr">
        <x:is>
          <x:t xml:space="preserve">B. Gates non financiers</x:t>
        </x:is>
      </x:c>
      <x:c r="B16" s="1" t="n"/>
      <x:c r="C16" s="1" t="n"/>
      <x:c r="D16" s="1" t="n"/>
      <x:c r="E16" s="1" t="n"/>
      <x:c r="F16" s="1" t="n"/>
      <x:c r="G16" s="1" t="n"/>
      <x:c r="H16" s="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49" t="inlineStr">
        <x:is>
          <x:t xml:space="preserve">Gate</x:t>
        </x:is>
      </x:c>
      <x:c r="B17" s="149" t="inlineStr">
        <x:is>
          <x:t xml:space="preserve">Statut actuel</x:t>
        </x:is>
      </x:c>
      <x:c r="C17" s="149" t="inlineStr">
        <x:is>
          <x:t xml:space="preserve">Condition avant vente publique</x:t>
        </x:is>
      </x:c>
      <x:c r="D17" s="149" t="inlineStr">
        <x:is>
          <x:t xml:space="preserve">Responsable</x:t>
        </x:is>
      </x:c>
      <x:c r="E17" s="157" t="str"/>
      <x:c r="F17" s="157" t="str"/>
      <x:c r="G17" s="157" t="str"/>
      <x:c r="H17" s="157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inlineStr">
        <x:is>
          <x:t xml:space="preserve">Avis juridique local</x:t>
        </x:is>
      </x:c>
      <x:c r="B18" s="434" t="inlineStr">
        <x:is>
          <x:t xml:space="preserve">OPEN</x:t>
        </x:is>
      </x:c>
      <x:c r="C18" s="157" t="inlineStr">
        <x:is>
          <x:t xml:space="preserve">Position écrite et conditions contractuelles</x:t>
        </x:is>
      </x:c>
      <x:c r="D18" s="157" t="inlineStr">
        <x:is>
          <x:t xml:space="preserve">Legal</x:t>
        </x:is>
      </x:c>
      <x:c r="E18" s="157" t="str"/>
      <x:c r="F18" s="157" t="str"/>
      <x:c r="G18" s="157" t="str"/>
      <x:c r="H18" s="157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57" t="inlineStr">
        <x:is>
          <x:t xml:space="preserve">PSP marchand</x:t>
        </x:is>
      </x:c>
      <x:c r="B19" s="434" t="inlineStr">
        <x:is>
          <x:t xml:space="preserve">OPEN</x:t>
        </x:is>
      </x:c>
      <x:c r="C19" s="157" t="inlineStr">
        <x:is>
          <x:t xml:space="preserve">Contrat et webhooks testés</x:t>
        </x:is>
      </x:c>
      <x:c r="D19" s="157" t="inlineStr">
        <x:is>
          <x:t xml:space="preserve">Payments</x:t>
        </x:is>
      </x:c>
      <x:c r="E19" s="157" t="str"/>
      <x:c r="F19" s="157" t="str"/>
      <x:c r="G19" s="157" t="str"/>
      <x:c r="H19" s="157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Données de marché</x:t>
        </x:is>
      </x:c>
      <x:c r="B20" s="434" t="inlineStr">
        <x:is>
          <x:t xml:space="preserve">OPEN</x:t>
        </x:is>
      </x:c>
      <x:c r="C20" s="157" t="inlineStr">
        <x:is>
          <x:t xml:space="preserve">Licence commerciale et plan de continuité</x:t>
        </x:is>
      </x:c>
      <x:c r="D20" s="157" t="inlineStr">
        <x:is>
          <x:t xml:space="preserve">Market Data</x:t>
        </x:is>
      </x:c>
      <x:c r="E20" s="157" t="str"/>
      <x:c r="F20" s="157" t="str"/>
      <x:c r="G20" s="157" t="str"/>
      <x:c r="H20" s="157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KYC / payout</x:t>
        </x:is>
      </x:c>
      <x:c r="B21" s="434" t="inlineStr">
        <x:is>
          <x:t xml:space="preserve">OPEN</x:t>
        </x:is>
      </x:c>
      <x:c r="C21" s="157" t="inlineStr">
        <x:is>
          <x:t xml:space="preserve">Processus réel et privacy validés</x:t>
        </x:is>
      </x:c>
      <x:c r="D21" s="157" t="inlineStr">
        <x:is>
          <x:t xml:space="preserve">Operations</x:t>
        </x:is>
      </x:c>
      <x:c r="E21" s="157" t="str"/>
      <x:c r="F21" s="157" t="str"/>
      <x:c r="G21" s="157" t="str"/>
      <x:c r="H21" s="157" t="str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Sécurité</x:t>
        </x:is>
      </x:c>
      <x:c r="B22" s="434" t="inlineStr">
        <x:is>
          <x:t xml:space="preserve">OPEN</x:t>
        </x:is>
      </x:c>
      <x:c r="C22" s="157" t="inlineStr">
        <x:is>
          <x:t xml:space="preserve">Audit, RLS, secrets, backups et incident drills</x:t>
        </x:is>
      </x:c>
      <x:c r="D22" s="157" t="inlineStr">
        <x:is>
          <x:t xml:space="preserve">Security</x:t>
        </x:is>
      </x:c>
      <x:c r="E22" s="157" t="str"/>
      <x:c r="F22" s="157" t="str"/>
      <x:c r="G22" s="157" t="str"/>
      <x:c r="H22" s="157" t="str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inlineStr">
        <x:is>
          <x:t xml:space="preserve">Support et recours</x:t>
        </x:is>
      </x:c>
      <x:c r="B23" s="434" t="inlineStr">
        <x:is>
          <x:t xml:space="preserve">OPEN</x:t>
        </x:is>
      </x:c>
      <x:c r="C23" s="157" t="inlineStr">
        <x:is>
          <x:t xml:space="preserve">Runbooks, SLA réalistes et humain disponible</x:t>
        </x:is>
      </x:c>
      <x:c r="D23" s="157" t="inlineStr">
        <x:is>
          <x:t xml:space="preserve">Operations</x:t>
        </x:is>
      </x:c>
      <x:c r="E23" s="157" t="str"/>
      <x:c r="F23" s="157" t="str"/>
      <x:c r="G23" s="157" t="str"/>
      <x:c r="H23" s="157" t="str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57" t="inlineStr">
        <x:is>
          <x:t xml:space="preserve">Ancien WARIBA BRVM</x:t>
        </x:is>
      </x:c>
      <x:c r="B24" s="434" t="inlineStr">
        <x:is>
          <x:t xml:space="preserve">OPEN</x:t>
        </x:is>
      </x:c>
      <x:c r="C24" s="157" t="inlineStr">
        <x:is>
          <x:t xml:space="preserve">Renommage et séparation des actifs</x:t>
        </x:is>
      </x:c>
      <x:c r="D24" s="157" t="inlineStr">
        <x:is>
          <x:t xml:space="preserve">Brand/Legal</x:t>
        </x:is>
      </x:c>
      <x:c r="E24" s="157" t="str"/>
      <x:c r="F24" s="157" t="str"/>
      <x:c r="G24" s="157" t="str"/>
      <x:c r="H24" s="157" t="str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57" t="n"/>
      <x:c r="B25" s="157" t="n"/>
      <x:c r="C25" s="157" t="n"/>
      <x:c r="D25" s="157" t="n"/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n"/>
      <x:c r="B26" s="157" t="n"/>
      <x:c r="C26" s="157" t="n"/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n"/>
      <x:c r="B27" s="157" t="n"/>
      <x:c r="C27" s="157" t="n"/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57" t="n"/>
      <x:c r="B28" s="157" t="n"/>
      <x:c r="C28" s="157" t="n"/>
      <x:c r="D28" s="157" t="n"/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57" t="n"/>
      <x:c r="B29" s="157" t="n"/>
      <x:c r="C29" s="157" t="n"/>
      <x:c r="D29" s="157" t="n"/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n"/>
      <x:c r="B30" s="157" t="n"/>
      <x:c r="C30" s="157" t="n"/>
      <x:c r="D30" s="157" t="n"/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:H2"/>
    <x:mergeCell ref="A16:H16"/>
    <x:mergeCell ref="A1:H1"/>
  </x:mergeCells>
  <x:conditionalFormatting sqref="D6:E13">
    <x:cfRule type="expression" dxfId="0" priority="1">
      <x:formula>OR(D6="FAIL",D6="SUSPEND")</x:formula>
    </x:cfRule>
    <x:cfRule type="expression" dxfId="2" priority="2">
      <x:formula>OR(D6="PASS",D6="OPEN")</x:formula>
    </x:cfRule>
    <x:cfRule type="expression" dxfId="1" priority="3">
      <x:formula>D6="PARTIEL"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4" customWidth="1"/>
    <x:col min="4" max="4" width="14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</x:cols>
  <x:sheetData>
    <x:row r="1" ht="15" customHeight="1">
      <x:c r="A1" s="401" t="inlineStr">
        <x:is>
          <x:t xml:space="preserve">WARIBA — Dashboard financier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Vue de décision. Les paramètres restent CANDIDATE jusqu’au modèle stressé, à la bêta et aux launch gates.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61" t="n"/>
      <x:c r="N2" s="161" t="inlineStr">
        <x:is>
          <x:t xml:space="preserve">M1</x:t>
        </x:is>
      </x:c>
      <x:c r="O2" s="161" t="inlineStr">
        <x:is>
          <x:t xml:space="preserve">M2</x:t>
        </x:is>
      </x:c>
      <x:c r="P2" s="161" t="inlineStr">
        <x:is>
          <x:t xml:space="preserve">M3</x:t>
        </x:is>
      </x:c>
      <x:c r="Q2" s="161" t="inlineStr">
        <x:is>
          <x:t xml:space="preserve">M4</x:t>
        </x:is>
      </x:c>
      <x:c r="R2" s="161" t="inlineStr">
        <x:is>
          <x:t xml:space="preserve">M5</x:t>
        </x:is>
      </x:c>
      <x:c r="S2" s="161" t="inlineStr">
        <x:is>
          <x:t xml:space="preserve">M6</x:t>
        </x:is>
      </x:c>
      <x:c r="T2" s="161" t="inlineStr">
        <x:is>
          <x:t xml:space="preserve">M7</x:t>
        </x:is>
      </x:c>
      <x:c r="U2" s="161" t="inlineStr">
        <x:is>
          <x:t xml:space="preserve">M8</x:t>
        </x:is>
      </x:c>
      <x:c r="V2" s="161" t="inlineStr">
        <x:is>
          <x:t xml:space="preserve">M9</x:t>
        </x:is>
      </x:c>
      <x:c r="W2" s="161" t="inlineStr">
        <x:is>
          <x:t xml:space="preserve">M10</x:t>
        </x:is>
      </x:c>
      <x:c r="X2" s="161" t="inlineStr">
        <x:is>
          <x:t xml:space="preserve">M11</x:t>
        </x:is>
      </x:c>
      <x:c r="Y2" s="161" t="inlineStr">
        <x:is>
          <x:t xml:space="preserve">M12</x:t>
        </x:is>
      </x:c>
      <x:c r="Z2" s="161" t="inlineStr">
        <x:is>
          <x:t xml:space="preserve">M13</x:t>
        </x:is>
      </x:c>
      <x:c r="AA2" s="161" t="inlineStr">
        <x:is>
          <x:t xml:space="preserve">M14</x:t>
        </x:is>
      </x:c>
      <x:c r="AB2" s="161" t="inlineStr">
        <x:is>
          <x:t xml:space="preserve">M15</x:t>
        </x:is>
      </x:c>
      <x:c r="AC2" s="161" t="inlineStr">
        <x:is>
          <x:t xml:space="preserve">M16</x:t>
        </x:is>
      </x:c>
      <x:c r="AD2" s="161" t="inlineStr">
        <x:is>
          <x:t xml:space="preserve">M17</x:t>
        </x:is>
      </x:c>
      <x:c r="AE2" s="161" t="inlineStr">
        <x:is>
          <x:t xml:space="preserve">M18</x:t>
        </x:is>
      </x:c>
      <x:c r="AF2" s="161" t="inlineStr">
        <x:is>
          <x:t xml:space="preserve">M19</x:t>
        </x:is>
      </x:c>
      <x:c r="AG2" s="161" t="inlineStr">
        <x:is>
          <x:t xml:space="preserve">M20</x:t>
        </x:is>
      </x:c>
      <x:c r="AH2" s="161" t="inlineStr">
        <x:is>
          <x:t xml:space="preserve">M21</x:t>
        </x:is>
      </x:c>
      <x:c r="AI2" s="161" t="inlineStr">
        <x:is>
          <x:t xml:space="preserve">M22</x:t>
        </x:is>
      </x:c>
      <x:c r="AJ2" s="161" t="inlineStr">
        <x:is>
          <x:t xml:space="preserve">M23</x:t>
        </x:is>
      </x:c>
      <x:c r="AK2" s="161" t="inlineStr">
        <x:is>
          <x:t xml:space="preserve">M24</x:t>
        </x:is>
      </x:c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inlineStr">
        <x:is>
          <x:t xml:space="preserve">CA</x:t>
        </x:is>
      </x:c>
      <x:c r="N3" s="161" t="n">
        <x:f>'Prévision 24M'!B8</x:f>
        <x:v>914250</x:v>
      </x:c>
      <x:c r="O3" s="161" t="n">
        <x:f>'Prévision 24M'!C8</x:f>
        <x:v>1673077.5</x:v>
      </x:c>
      <x:c r="P3" s="161" t="n">
        <x:f>'Prévision 24M'!D8</x:f>
        <x:v>2579007.825</x:v>
      </x:c>
      <x:c r="Q3" s="161" t="n">
        <x:f>'Prévision 24M'!E8</x:f>
        <x:v>3518771.79975</x:v>
      </x:c>
      <x:c r="R3" s="161" t="n">
        <x:f>'Prévision 24M'!F8</x:f>
        <x:v>4466317.5139425</x:v>
      </x:c>
      <x:c r="S3" s="161" t="n">
        <x:f>'Prévision 24M'!G8</x:f>
        <x:v>5781353.028206775</x:v>
      </x:c>
      <x:c r="T3" s="161" t="n">
        <x:f>'Prévision 24M'!H8</x:f>
        <x:v>7180911.196487558</x:v>
      </x:c>
      <x:c r="U3" s="161" t="n">
        <x:f>'Prévision 24M'!I8</x:f>
        <x:v>8965609.575192139</x:v>
      </x:c>
      <x:c r="V3" s="161" t="n">
        <x:f>'Prévision 24M'!J8</x:f>
        <x:v>10838890.202294191</x:v>
      </x:c>
      <x:c r="W3" s="161" t="n">
        <x:f>'Prévision 24M'!K8</x:f>
        <x:v>12732544.746527664</x:v>
      </x:c>
      <x:c r="X3" s="161" t="n">
        <x:f>'Prévision 24M'!L8</x:f>
        <x:v>14630885.291701363</x:v>
      </x:c>
      <x:c r="Y3" s="161" t="n">
        <x:f>'Prévision 24M'!M8</x:f>
        <x:v>16530303.617091313</x:v>
      </x:c>
      <x:c r="Z3" s="161" t="n">
        <x:f>'Prévision 24M'!N8</x:f>
        <x:v>18429969.831931002</x:v>
      </x:c>
      <x:c r="AA3" s="161" t="n">
        <x:f>'Prévision 24M'!O8</x:f>
        <x:v>20695393.06134413</x:v>
      </x:c>
      <x:c r="AB3" s="161" t="n">
        <x:f>'Prévision 24M'!P8</x:f>
        <x:v>23044940.40410915</x:v>
      </x:c>
      <x:c r="AC3" s="161" t="n">
        <x:f>'Prévision 24M'!Q8</x:f>
        <x:v>25413836.292945106</x:v>
      </x:c>
      <x:c r="AD3" s="161" t="n">
        <x:f>'Prévision 24M'!R8</x:f>
        <x:v>27787182.34737737</x:v>
      </x:c>
      <x:c r="AE3" s="161" t="n">
        <x:f>'Prévision 24M'!S8</x:f>
        <x:v>30161551.939896792</x:v>
      </x:c>
      <x:c r="AF3" s="161" t="n">
        <x:f>'Prévision 24M'!T8</x:f>
        <x:v>32536156.946176264</x:v>
      </x:c>
      <x:c r="AG3" s="161" t="n">
        <x:f>'Prévision 24M'!U8</x:f>
        <x:v>34910816.09762054</x:v>
      </x:c>
      <x:c r="AH3" s="161" t="n">
        <x:f>'Prévision 24M'!V8</x:f>
        <x:v>37285487.70245273</x:v>
      </x:c>
      <x:c r="AI3" s="161" t="n">
        <x:f>'Prévision 24M'!W8</x:f>
        <x:v>39660162.171564125</x:v>
      </x:c>
      <x:c r="AJ3" s="161" t="n">
        <x:f>'Prévision 24M'!X8</x:f>
        <x:v>42034837.29945975</x:v>
      </x:c>
      <x:c r="AK3" s="161" t="n">
        <x:f>'Prévision 24M'!Y8</x:f>
        <x:v>46238012.57887574</x:v>
      </x:c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393" t="inlineStr">
        <x:is>
          <x:t xml:space="preserve">Scénario</x:t>
        </x:is>
      </x:c>
      <x:c r="B4" s="1" t="n"/>
      <x:c r="C4" s="1" t="n"/>
      <x:c r="D4" s="393" t="inlineStr">
        <x:is>
          <x:t xml:space="preserve">Prix moyen</x:t>
        </x:is>
      </x:c>
      <x:c r="E4" s="1" t="n"/>
      <x:c r="F4" s="1" t="n"/>
      <x:c r="G4" s="393" t="inlineStr">
        <x:is>
          <x:t xml:space="preserve">Contribution / achat</x:t>
        </x:is>
      </x:c>
      <x:c r="H4" s="1" t="n"/>
      <x:c r="I4" s="1" t="n"/>
      <x:c r="J4" s="393" t="inlineStr">
        <x:is>
          <x:t xml:space="preserve">Marge contribution</x:t>
        </x:is>
      </x:c>
      <x:c r="K4" s="1" t="n"/>
      <x:c r="L4" s="1" t="n"/>
      <x:c r="M4" s="161" t="inlineStr">
        <x:is>
          <x:t xml:space="preserve">Payouts</x:t>
        </x:is>
      </x:c>
      <x:c r="N4" s="161" t="n">
        <x:f>-'Prévision 24M'!B26</x:f>
        <x:v>0</x:v>
      </x:c>
      <x:c r="O4" s="161" t="n">
        <x:f>-'Prévision 24M'!C26</x:f>
        <x:v>0</x:v>
      </x:c>
      <x:c r="P4" s="161" t="n">
        <x:f>-'Prévision 24M'!D26</x:f>
        <x:v>41983.2</x:v>
      </x:c>
      <x:c r="Q4" s="161" t="n">
        <x:f>-'Prévision 24M'!E26</x:f>
        <x:v>99920.016</x:v>
      </x:c>
      <x:c r="R4" s="161" t="n">
        <x:f>-'Prévision 24M'!F26</x:f>
        <x:v>178004.56968000002</x:v>
      </x:c>
      <x:c r="S4" s="161" t="n">
        <x:f>-'Prévision 24M'!G26</x:f>
        <x:v>266207.1585264</x:v>
      </x:c>
      <x:c r="T4" s="161" t="n">
        <x:f>-'Prévision 24M'!H26</x:f>
        <x:v>362928.10548607196</x:v>
      </x:c>
      <x:c r="U4" s="161" t="n">
        <x:f>-'Prévision 24M'!I26</x:f>
        <x:v>477622.2416617966</x:v>
      </x:c>
      <x:c r="V4" s="161" t="n">
        <x:f>-'Prévision 24M'!J26</x:f>
        <x:v>606855.4850822132</x:v>
      </x:c>
      <x:c r="W4" s="161" t="n">
        <x:f>-'Prévision 24M'!K26</x:f>
        <x:v>763153.231168909</x:v>
      </x:c>
      <x:c r="X4" s="161" t="n">
        <x:f>-'Prévision 24M'!L26</x:f>
        <x:v>938029.369468849</x:v>
      </x:c>
      <x:c r="Y4" s="161" t="n">
        <x:f>-'Prévision 24M'!M26</x:f>
        <x:v>1126443.7054278352</x:v>
      </x:c>
      <x:c r="Z4" s="161" t="n">
        <x:f>-'Prévision 24M'!N26</x:f>
        <x:v>1321089.079448402</x:v>
      </x:c>
      <x:c r="AA4" s="161" t="n">
        <x:f>-'Prévision 24M'!O26</x:f>
        <x:v>1519505.5316731324</x:v>
      </x:c>
      <x:c r="AB4" s="161" t="n">
        <x:f>-'Prévision 24M'!P26</x:f>
        <x:v>1718789.3318848205</x:v>
      </x:c>
      <x:c r="AC4" s="161" t="n">
        <x:f>-'Prévision 24M'!Q26</x:f>
        <x:v>1935065.9021335088</x:v>
      </x:c>
      <x:c r="AD4" s="161" t="n">
        <x:f>-'Prévision 24M'!R26</x:f>
        <x:v>2164487.113490707</x:v>
      </x:c>
      <x:c r="AE4" s="161" t="n">
        <x:f>-'Prévision 24M'!S26</x:f>
        <x:v>2403858.820302862</x:v>
      </x:c>
      <x:c r="AF4" s="161" t="n">
        <x:f>-'Prévision 24M'!T26</x:f>
        <x:v>2648636.393669658</x:v>
      </x:c>
      <x:c r="AG4" s="161" t="n">
        <x:f>-'Prévision 24M'!U26</x:f>
        <x:v>2896995.2557940213</x:v>
      </x:c>
      <x:c r="AH4" s="161" t="n">
        <x:f>-'Prévision 24M'!V26</x:f>
        <x:v>3146177.814332625</x:v>
      </x:c>
      <x:c r="AI4" s="161" t="n">
        <x:f>-'Prévision 24M'!W26</x:f>
        <x:v>3395549.8230465036</x:v>
      </x:c>
      <x:c r="AJ4" s="161" t="n">
        <x:f>-'Prévision 24M'!X26</x:f>
        <x:v>3644965.405300696</x:v>
      </x:c>
      <x:c r="AK4" s="161" t="n">
        <x:f>-'Prévision 24M'!Y26</x:f>
        <x:v>3894391.009469159</x:v>
      </x:c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480" t="str">
        <x:f>'Hypothèses'!B3</x:f>
        <x:v>Base</x:v>
      </x:c>
      <x:c r="B5" s="1" t="n"/>
      <x:c r="C5" s="1" t="n"/>
      <x:c r="D5" s="481" t="n">
        <x:f>'Économie Unitaire'!B7</x:f>
        <x:v>36570</x:v>
      </x:c>
      <x:c r="E5" s="1" t="n"/>
      <x:c r="F5" s="1" t="n"/>
      <x:c r="G5" s="481" t="n">
        <x:f>'Économie Unitaire'!B32</x:f>
        <x:v>25376.648845</x:v>
      </x:c>
      <x:c r="H5" s="1" t="n"/>
      <x:c r="I5" s="1" t="n"/>
      <x:c r="J5" s="482" t="n">
        <x:f>'Économie Unitaire'!B33</x:f>
        <x:v>0.6939198480995351</x:v>
      </x:c>
      <x:c r="K5" s="1" t="n"/>
      <x:c r="L5" s="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" t="n"/>
      <x:c r="B6" s="1" t="n"/>
      <x:c r="C6" s="1" t="n"/>
      <x:c r="D6" s="1" t="n"/>
      <x:c r="E6" s="1" t="n"/>
      <x:c r="F6" s="1" t="n"/>
      <x:c r="G6" s="1" t="n"/>
      <x:c r="H6" s="1" t="n"/>
      <x:c r="I6" s="1" t="n"/>
      <x:c r="J6" s="1" t="n"/>
      <x:c r="K6" s="1" t="n"/>
      <x:c r="L6" s="1" t="n"/>
      <x:c r="M6" s="161" t="n"/>
      <x:c r="N6" s="161" t="inlineStr">
        <x:is>
          <x:t xml:space="preserve">M1</x:t>
        </x:is>
      </x:c>
      <x:c r="O6" s="161" t="inlineStr">
        <x:is>
          <x:t xml:space="preserve">M2</x:t>
        </x:is>
      </x:c>
      <x:c r="P6" s="161" t="inlineStr">
        <x:is>
          <x:t xml:space="preserve">M3</x:t>
        </x:is>
      </x:c>
      <x:c r="Q6" s="161" t="inlineStr">
        <x:is>
          <x:t xml:space="preserve">M4</x:t>
        </x:is>
      </x:c>
      <x:c r="R6" s="161" t="inlineStr">
        <x:is>
          <x:t xml:space="preserve">M5</x:t>
        </x:is>
      </x:c>
      <x:c r="S6" s="161" t="inlineStr">
        <x:is>
          <x:t xml:space="preserve">M6</x:t>
        </x:is>
      </x:c>
      <x:c r="T6" s="161" t="inlineStr">
        <x:is>
          <x:t xml:space="preserve">M7</x:t>
        </x:is>
      </x:c>
      <x:c r="U6" s="161" t="inlineStr">
        <x:is>
          <x:t xml:space="preserve">M8</x:t>
        </x:is>
      </x:c>
      <x:c r="V6" s="161" t="inlineStr">
        <x:is>
          <x:t xml:space="preserve">M9</x:t>
        </x:is>
      </x:c>
      <x:c r="W6" s="161" t="inlineStr">
        <x:is>
          <x:t xml:space="preserve">M10</x:t>
        </x:is>
      </x:c>
      <x:c r="X6" s="161" t="inlineStr">
        <x:is>
          <x:t xml:space="preserve">M11</x:t>
        </x:is>
      </x:c>
      <x:c r="Y6" s="161" t="inlineStr">
        <x:is>
          <x:t xml:space="preserve">M12</x:t>
        </x:is>
      </x:c>
      <x:c r="Z6" s="161" t="inlineStr">
        <x:is>
          <x:t xml:space="preserve">M13</x:t>
        </x:is>
      </x:c>
      <x:c r="AA6" s="161" t="inlineStr">
        <x:is>
          <x:t xml:space="preserve">M14</x:t>
        </x:is>
      </x:c>
      <x:c r="AB6" s="161" t="inlineStr">
        <x:is>
          <x:t xml:space="preserve">M15</x:t>
        </x:is>
      </x:c>
      <x:c r="AC6" s="161" t="inlineStr">
        <x:is>
          <x:t xml:space="preserve">M16</x:t>
        </x:is>
      </x:c>
      <x:c r="AD6" s="161" t="inlineStr">
        <x:is>
          <x:t xml:space="preserve">M17</x:t>
        </x:is>
      </x:c>
      <x:c r="AE6" s="161" t="inlineStr">
        <x:is>
          <x:t xml:space="preserve">M18</x:t>
        </x:is>
      </x:c>
      <x:c r="AF6" s="161" t="inlineStr">
        <x:is>
          <x:t xml:space="preserve">M19</x:t>
        </x:is>
      </x:c>
      <x:c r="AG6" s="161" t="inlineStr">
        <x:is>
          <x:t xml:space="preserve">M20</x:t>
        </x:is>
      </x:c>
      <x:c r="AH6" s="161" t="inlineStr">
        <x:is>
          <x:t xml:space="preserve">M21</x:t>
        </x:is>
      </x:c>
      <x:c r="AI6" s="161" t="inlineStr">
        <x:is>
          <x:t xml:space="preserve">M22</x:t>
        </x:is>
      </x:c>
      <x:c r="AJ6" s="161" t="inlineStr">
        <x:is>
          <x:t xml:space="preserve">M23</x:t>
        </x:is>
      </x:c>
      <x:c r="AK6" s="161" t="inlineStr">
        <x:is>
          <x:t xml:space="preserve">M24</x:t>
        </x:is>
      </x:c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n"/>
      <x:c r="B7" s="161" t="n"/>
      <x:c r="C7" s="161" t="n"/>
      <x:c r="D7" s="161" t="n"/>
      <x:c r="E7" s="161" t="n"/>
      <x:c r="F7" s="161" t="n"/>
      <x:c r="G7" s="161" t="n"/>
      <x:c r="H7" s="161" t="n"/>
      <x:c r="I7" s="161" t="n"/>
      <x:c r="J7" s="161" t="n"/>
      <x:c r="K7" s="161" t="n"/>
      <x:c r="L7" s="161" t="n"/>
      <x:c r="M7" s="161" t="n"/>
      <x:c r="N7" s="483" t="str">
        <x:f>'Prévision 24M'!B31</x:f>
      </x:c>
      <x:c r="O7" s="483" t="n">
        <x:f>'Prévision 24M'!C31</x:f>
        <x:v>68.1406328049821</x:v>
      </x:c>
      <x:c r="P7" s="483" t="n">
        <x:f>'Prévision 24M'!D31</x:f>
        <x:v>36.79715793558788</x:v>
      </x:c>
      <x:c r="Q7" s="483" t="n">
        <x:f>'Prévision 24M'!E31</x:f>
        <x:v>26.670611883437278</x:v>
      </x:c>
      <x:c r="R7" s="483" t="n">
        <x:f>'Prévision 24M'!F31</x:f>
        <x:v>22.746786804991576</x:v>
      </x:c>
      <x:c r="S7" s="483" t="n">
        <x:f>'Prévision 24M'!G31</x:f>
        <x:v>21.250799845342602</x:v>
      </x:c>
      <x:c r="T7" s="483" t="n">
        <x:f>'Prévision 24M'!H31</x:f>
        <x:v>20.3896637096062</x:v>
      </x:c>
      <x:c r="U7" s="483" t="n">
        <x:f>'Prévision 24M'!I31</x:f>
        <x:v>20.17555672072838</x:v>
      </x:c>
      <x:c r="V7" s="483" t="n">
        <x:f>'Prévision 24M'!J31</x:f>
        <x:v>19.973334045208187</x:v>
      </x:c>
      <x:c r="W7" s="483" t="n">
        <x:f>'Prévision 24M'!K31</x:f>
        <x:v>19.951903986292873</x:v>
      </x:c>
      <x:c r="X7" s="483" t="n">
        <x:f>'Prévision 24M'!L31</x:f>
        <x:v>20.103002237966923</x:v>
      </x:c>
      <x:c r="Y7" s="483" t="n">
        <x:f>'Prévision 24M'!M31</x:f>
        <x:v>20.451172023150033</x:v>
      </x:c>
      <x:c r="Z7" s="483" t="n">
        <x:f>'Prévision 24M'!N31</x:f>
        <x:v>20.946341921693076</x:v>
      </x:c>
      <x:c r="AA7" s="483" t="n">
        <x:f>'Prévision 24M'!O31</x:f>
        <x:v>21.639416284508737</x:v>
      </x:c>
      <x:c r="AB7" s="483" t="n">
        <x:f>'Prévision 24M'!P31</x:f>
        <x:v>22.294582148723364</x:v>
      </x:c>
      <x:c r="AC7" s="483" t="n">
        <x:f>'Prévision 24M'!Q31</x:f>
        <x:v>22.94362940138234</x:v>
      </x:c>
      <x:c r="AD7" s="483" t="n">
        <x:f>'Prévision 24M'!R31</x:f>
        <x:v>23.604151212432004</x:v>
      </x:c>
      <x:c r="AE7" s="483" t="n">
        <x:f>'Prévision 24M'!S31</x:f>
        <x:v>24.30361775081667</x:v>
      </x:c>
      <x:c r="AF7" s="483" t="n">
        <x:f>'Prévision 24M'!T31</x:f>
        <x:v>25.042174521110056</x:v>
      </x:c>
      <x:c r="AG7" s="483" t="n">
        <x:f>'Prévision 24M'!U31</x:f>
        <x:v>25.829540330282473</x:v>
      </x:c>
      <x:c r="AH7" s="483" t="n">
        <x:f>'Prévision 24M'!V31</x:f>
        <x:v>26.659136079300872</x:v>
      </x:c>
      <x:c r="AI7" s="483" t="n">
        <x:f>'Prévision 24M'!W31</x:f>
        <x:v>27.523214981560084</x:v>
      </x:c>
      <x:c r="AJ7" s="483" t="n">
        <x:f>'Prévision 24M'!X31</x:f>
        <x:v>28.41535636239254</x:v>
      </x:c>
      <x:c r="AK7" s="483" t="n">
        <x:f>'Prévision 24M'!Y31</x:f>
        <x:v>29.47733845361997</x:v>
      </x:c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393" t="inlineStr">
        <x:is>
          <x:t xml:space="preserve">Break-even mensuel</x:t>
        </x:is>
      </x:c>
      <x:c r="B8" s="1" t="n"/>
      <x:c r="C8" s="1" t="n"/>
      <x:c r="D8" s="393" t="inlineStr">
        <x:is>
          <x:t xml:space="preserve">CA 24M</x:t>
        </x:is>
      </x:c>
      <x:c r="E8" s="1" t="n"/>
      <x:c r="F8" s="1" t="n"/>
      <x:c r="G8" s="393" t="inlineStr">
        <x:is>
          <x:t xml:space="preserve">Payouts 24M</x:t>
        </x:is>
      </x:c>
      <x:c r="H8" s="1" t="n"/>
      <x:c r="I8" s="1" t="n"/>
      <x:c r="J8" s="393" t="inlineStr">
        <x:is>
          <x:t xml:space="preserve">Cash total M24</x:t>
        </x:is>
      </x:c>
      <x:c r="K8" s="1" t="n"/>
      <x:c r="L8" s="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484" t="n">
        <x:f>'Économie Unitaire'!B34</x:f>
        <x:v>35.46567576740254</x:v>
      </x:c>
      <x:c r="B9" s="1" t="n"/>
      <x:c r="C9" s="1" t="n"/>
      <x:c r="D9" s="481" t="n">
        <x:f>SUM('Prévision 24M'!B8:Y8)</x:f>
        <x:v>468010268.96994615</x:v>
      </x:c>
      <x:c r="E9" s="1" t="n"/>
      <x:c r="F9" s="1" t="n"/>
      <x:c r="G9" s="481" t="n">
        <x:f>-SUM('Prévision 24M'!B26:Y26)</x:f>
        <x:v>35550658.56304817</x:v>
      </x:c>
      <x:c r="H9" s="1" t="n"/>
      <x:c r="I9" s="1" t="n"/>
      <x:c r="J9" s="481" t="n">
        <x:f>'Prévision 24M'!Y32</x:f>
        <x:v>331706267.1022676</x:v>
      </x:c>
      <x:c r="K9" s="1" t="n"/>
      <x:c r="L9" s="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" t="n"/>
      <x:c r="B10" s="1" t="n"/>
      <x:c r="C10" s="1" t="n"/>
      <x:c r="D10" s="1" t="n"/>
      <x:c r="E10" s="1" t="n"/>
      <x:c r="F10" s="1" t="n"/>
      <x:c r="G10" s="1" t="n"/>
      <x:c r="H10" s="1" t="n"/>
      <x:c r="I10" s="1" t="n"/>
      <x:c r="J10" s="1" t="n"/>
      <x:c r="K10" s="1" t="n"/>
      <x:c r="L10" s="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n"/>
      <x:c r="B11" s="161" t="n"/>
      <x:c r="C11" s="161" t="n"/>
      <x:c r="D11" s="161" t="n"/>
      <x:c r="E11" s="161" t="n"/>
      <x:c r="F11" s="161" t="n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393" t="inlineStr">
        <x:is>
          <x:t xml:space="preserve">Réserve M24</x:t>
        </x:is>
      </x:c>
      <x:c r="B12" s="1" t="n"/>
      <x:c r="C12" s="1" t="n"/>
      <x:c r="D12" s="393" t="inlineStr">
        <x:is>
          <x:t xml:space="preserve">Couverture minimale</x:t>
        </x:is>
      </x:c>
      <x:c r="E12" s="1" t="n"/>
      <x:c r="F12" s="1" t="n"/>
      <x:c r="G12" s="393" t="inlineStr">
        <x:is>
          <x:t xml:space="preserve">Réserve / 1 000</x:t>
        </x:is>
      </x:c>
      <x:c r="H12" s="1" t="n"/>
      <x:c r="I12" s="1" t="n"/>
      <x:c r="J12" s="393" t="inlineStr">
        <x:is>
          <x:t xml:space="preserve">25K Gate</x:t>
        </x:is>
      </x:c>
      <x:c r="K12" s="1" t="n"/>
      <x:c r="L12" s="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481" t="n">
        <x:f>'Prévision 24M'!Y29</x:f>
        <x:v>122148752.75638217</x:v>
      </x:c>
      <x:c r="B13" s="1" t="n"/>
      <x:c r="C13" s="1" t="n"/>
      <x:c r="D13" s="485" t="n">
        <x:f>MIN('Prévision 24M'!B31:Y31)</x:f>
        <x:v>19.951903986292873</x:v>
      </x:c>
      <x:c r="E13" s="1" t="n"/>
      <x:c r="F13" s="1" t="n"/>
      <x:c r="G13" s="481" t="n">
        <x:f>'Économie Unitaire'!B35</x:f>
        <x:v>7682400.81</x:v>
      </x:c>
      <x:c r="H13" s="1" t="n"/>
      <x:c r="I13" s="1" t="n"/>
      <x:c r="J13" s="480" t="str">
        <x:f>'Decision Gates'!D11</x:f>
        <x:v>OPEN</x:v>
      </x:c>
      <x:c r="K13" s="1" t="n"/>
      <x:c r="L13" s="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" t="n"/>
      <x:c r="B14" s="1" t="n"/>
      <x:c r="C14" s="1" t="n"/>
      <x:c r="D14" s="1" t="n"/>
      <x:c r="E14" s="1" t="n"/>
      <x:c r="F14" s="1" t="n"/>
      <x:c r="G14" s="1" t="n"/>
      <x:c r="H14" s="1" t="n"/>
      <x:c r="I14" s="1" t="n"/>
      <x:c r="J14" s="1" t="n"/>
      <x:c r="K14" s="1" t="n"/>
      <x:c r="L14" s="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n"/>
      <x:c r="B15" s="161" t="n"/>
      <x:c r="C15" s="161" t="n"/>
      <x:c r="D15" s="161" t="n"/>
      <x:c r="E15" s="161" t="n"/>
      <x:c r="F15" s="161" t="n"/>
      <x:c r="G15" s="161" t="n"/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8" t="inlineStr">
        <x:is>
          <x:t xml:space="preserve">Décision immédiate</x:t>
        </x:is>
      </x:c>
      <x:c r="B16" s="1" t="n"/>
      <x:c r="C16" s="1" t="n"/>
      <x:c r="D16" s="1" t="n"/>
      <x:c r="E16" s="1" t="n"/>
      <x:c r="F16" s="1" t="n"/>
      <x:c r="G16" s="1" t="n"/>
      <x:c r="H16" s="1" t="n"/>
      <x:c r="I16" s="1" t="n"/>
      <x:c r="J16" s="1" t="n"/>
      <x:c r="K16" s="1" t="n"/>
      <x:c r="L16" s="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37" t="inlineStr">
        <x:is>
          <x:t xml:space="preserve">Question</x:t>
        </x:is>
      </x:c>
      <x:c r="B17" s="486" t="n"/>
      <x:c r="C17" s="486" t="n"/>
      <x:c r="D17" s="31" t="inlineStr">
        <x:is>
          <x:t xml:space="preserve">Réponse</x:t>
        </x:is>
      </x:c>
      <x:c r="E17" s="37" t="inlineStr">
        <x:is>
          <x:t xml:space="preserve">Lecture</x:t>
        </x:is>
      </x:c>
      <x:c r="F17" s="486" t="n"/>
      <x:c r="G17" s="486" t="n"/>
      <x:c r="H17" s="486" t="n"/>
      <x:c r="I17" s="486" t="n"/>
      <x:c r="J17" s="486" t="n"/>
      <x:c r="K17" s="486" t="n"/>
      <x:c r="L17" s="486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30" customHeight="1">
      <x:c r="A18" s="159" t="inlineStr">
        <x:is>
          <x:t xml:space="preserve">Le scénario actif est-il rentable ?</x:t>
        </x:is>
      </x:c>
      <x:c r="B18" s="1" t="n"/>
      <x:c r="C18" s="1" t="n"/>
      <x:c r="D18" s="380" t="str">
        <x:f>IF('Économie Unitaire'!B32&gt;0,"OUI","NON")</x:f>
        <x:v>OUI</x:v>
      </x:c>
      <x:c r="E18" s="159" t="inlineStr">
        <x:is>
          <x:t xml:space="preserve">Contribution positive dans le scénario actif ; contrôler aussi le scénario Stress.</x:t>
        </x:is>
      </x:c>
      <x:c r="F18" s="1" t="n"/>
      <x:c r="G18" s="1" t="n"/>
      <x:c r="H18" s="1" t="n"/>
      <x:c r="I18" s="1" t="n"/>
      <x:c r="J18" s="1" t="n"/>
      <x:c r="K18" s="1" t="n"/>
      <x:c r="L18" s="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25.5" customHeight="1">
      <x:c r="A19" s="488" t="str">
        <x:v>Les cinq tailles sont-elles actives en sandbox ?</x:v>
      </x:c>
      <x:c r="B19" s="491" t="n"/>
      <x:c r="C19" s="491" t="n"/>
      <x:c r="D19" s="490" t="str">
        <x:v>OUI</x:v>
      </x:c>
      <x:c r="E19" s="488" t="str">
        <x:v>OFFER-023 active 5K/10K/25K/50K/100K pour catalogue, checkout et Evaluation sandbox. Les ventes publiques restent gated.</x:v>
      </x:c>
      <x:c r="F19" s="1" t="n"/>
      <x:c r="G19" s="1" t="n"/>
      <x:c r="H19" s="1" t="n"/>
      <x:c r="I19" s="1" t="n"/>
      <x:c r="J19" s="1" t="n"/>
      <x:c r="K19" s="1" t="n"/>
      <x:c r="L19" s="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30" customHeight="1">
      <x:c r="A20" s="159" t="inlineStr">
        <x:is>
          <x:t xml:space="preserve">La réserve initiale couvre-t-elle 1 000 achats ?</x:t>
        </x:is>
      </x:c>
      <x:c r="B20" s="1" t="n"/>
      <x:c r="C20" s="1" t="n"/>
      <x:c r="D20" s="380" t="str">
        <x:f>IF('Hypothèses'!B37&gt;='Économie Unitaire'!B35,"OUI","NON")</x:f>
        <x:v>NON</x:v>
      </x:c>
      <x:c r="E20" s="159" t="inlineStr">
        <x:is>
          <x:t xml:space="preserve">Comparer la réserve initiale au besoin prudentiel à 2,0x.</x:t>
        </x:is>
      </x:c>
      <x:c r="F20" s="1" t="n"/>
      <x:c r="G20" s="1" t="n"/>
      <x:c r="H20" s="1" t="n"/>
      <x:c r="I20" s="1" t="n"/>
      <x:c r="J20" s="1" t="n"/>
      <x:c r="K20" s="1" t="n"/>
      <x:c r="L20" s="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30" customHeight="1">
      <x:c r="A21" s="159" t="inlineStr">
        <x:is>
          <x:t xml:space="preserve">Quel volume mensuel couvre l’OPEX ?</x:t>
        </x:is>
      </x:c>
      <x:c r="B21" s="1" t="n"/>
      <x:c r="C21" s="1" t="n"/>
      <x:c r="D21" s="487" t="n">
        <x:f>'Économie Unitaire'!B34</x:f>
        <x:v>35.46567576740254</x:v>
      </x:c>
      <x:c r="E21" s="159" t="inlineStr">
        <x:is>
          <x:t xml:space="preserve">Nombre d’achats mensuels requis au scénario actif.</x:t>
        </x:is>
      </x:c>
      <x:c r="F21" s="1" t="n"/>
      <x:c r="G21" s="1" t="n"/>
      <x:c r="H21" s="1" t="n"/>
      <x:c r="I21" s="1" t="n"/>
      <x:c r="J21" s="1" t="n"/>
      <x:c r="K21" s="1" t="n"/>
      <x:c r="L21" s="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30" customHeight="1">
      <x:c r="A22" s="159" t="inlineStr">
        <x:is>
          <x:t xml:space="preserve">Le lancement public est-il autorisé ?</x:t>
        </x:is>
      </x:c>
      <x:c r="B22" s="1" t="n"/>
      <x:c r="C22" s="1" t="n"/>
      <x:c r="D22" s="380" t="str">
        <x:f>"NON"</x:f>
        <x:v>NON</x:v>
      </x:c>
      <x:c r="E22" s="159" t="inlineStr">
        <x:is>
          <x:t xml:space="preserve">Les gates juridiques, PSP, données de marché, sécurité et opérations restent ouverts.</x:t>
        </x:is>
      </x:c>
      <x:c r="F22" s="1" t="n"/>
      <x:c r="G22" s="1" t="n"/>
      <x:c r="H22" s="1" t="n"/>
      <x:c r="I22" s="1" t="n"/>
      <x:c r="J22" s="1" t="n"/>
      <x:c r="K22" s="1" t="n"/>
      <x:c r="L22" s="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6:L16"/>
    <x:mergeCell ref="E18:L18"/>
    <x:mergeCell ref="E21:L21"/>
    <x:mergeCell ref="D5:F6"/>
    <x:mergeCell ref="G9:I10"/>
    <x:mergeCell ref="A18:C18"/>
    <x:mergeCell ref="J5:L6"/>
    <x:mergeCell ref="A9:C10"/>
    <x:mergeCell ref="J4:L4"/>
    <x:mergeCell ref="A21:C21"/>
    <x:mergeCell ref="A12:C12"/>
    <x:mergeCell ref="E17:L17"/>
    <x:mergeCell ref="A2:L2"/>
    <x:mergeCell ref="E20:L20"/>
    <x:mergeCell ref="A8:C8"/>
    <x:mergeCell ref="D4:F4"/>
    <x:mergeCell ref="J13:L14"/>
    <x:mergeCell ref="A22:C22"/>
    <x:mergeCell ref="D12:F12"/>
    <x:mergeCell ref="A17:C17"/>
    <x:mergeCell ref="G4:I4"/>
    <x:mergeCell ref="J9:L10"/>
    <x:mergeCell ref="E19:L19"/>
    <x:mergeCell ref="J12:L12"/>
    <x:mergeCell ref="D8:F8"/>
    <x:mergeCell ref="A4:C4"/>
    <x:mergeCell ref="G13:I14"/>
    <x:mergeCell ref="A20:C20"/>
    <x:mergeCell ref="A19:C19"/>
    <x:mergeCell ref="J8:L8"/>
    <x:mergeCell ref="G12:I12"/>
    <x:mergeCell ref="D13:F14"/>
    <x:mergeCell ref="A5:C6"/>
    <x:mergeCell ref="G5:I6"/>
    <x:mergeCell ref="A1:L1"/>
    <x:mergeCell ref="G8:I8"/>
    <x:mergeCell ref="A13:C14"/>
    <x:mergeCell ref="D9:F10"/>
    <x:mergeCell ref="E22:L22"/>
  </x:mergeCells>
  <x:pageMargins left="0.7" right="0.7" top="0.75" bottom="0.75" header="0.3" footer="0.3"/>
  <x:drawing xmlns:r="http://schemas.openxmlformats.org/officeDocument/2006/relationships" r:id="Rb92c8e7f02be44a9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28" customWidth="1"/>
    <x:col min="3" max="3" width="16" customWidth="1"/>
    <x:col min="4" max="4" width="18" customWidth="1"/>
    <x:col min="5" max="5" width="18" customWidth="1"/>
    <x:col min="6" max="6" width="18" customWidth="1"/>
    <x:col min="7" max="7" width="16" customWidth="1"/>
    <x:col min="8" max="8" width="32" customWidth="1"/>
  </x:cols>
  <x:sheetData>
    <x:row r="1" ht="15" customHeight="1">
      <x:c r="A1" s="404" t="inlineStr">
        <x:is>
          <x:t xml:space="preserve">WARIBA — Registre des hypothèses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Ce registre doit être mis à jour à chaque remplacement d’une hypothèse par une donnée réelle.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n"/>
      <x:c r="B3" s="157" t="n"/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49" t="inlineStr">
        <x:is>
          <x:t xml:space="preserve">ID</x:t>
        </x:is>
      </x:c>
      <x:c r="B4" s="149" t="inlineStr">
        <x:is>
          <x:t xml:space="preserve">Hypothèse</x:t>
        </x:is>
      </x:c>
      <x:c r="C4" s="149" t="inlineStr">
        <x:is>
          <x:t xml:space="preserve">Valeur active</x:t>
        </x:is>
      </x:c>
      <x:c r="D4" s="149" t="inlineStr">
        <x:is>
          <x:t xml:space="preserve">Source</x:t>
        </x:is>
      </x:c>
      <x:c r="E4" s="149" t="inlineStr">
        <x:is>
          <x:t xml:space="preserve">Statut</x:t>
        </x:is>
      </x:c>
      <x:c r="F4" s="149" t="inlineStr">
        <x:is>
          <x:t xml:space="preserve">Owner</x:t>
        </x:is>
      </x:c>
      <x:c r="G4" s="149" t="inlineStr">
        <x:is>
          <x:t xml:space="preserve">Dernière mise à jour</x:t>
        </x:is>
      </x:c>
      <x:c r="H4" s="149" t="inlineStr">
        <x:is>
          <x:t xml:space="preserve">Action suivante</x:t>
        </x:is>
      </x:c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57" t="inlineStr">
        <x:is>
          <x:t xml:space="preserve">AS-001</x:t>
        </x:is>
      </x:c>
      <x:c r="B5" s="157" t="inlineStr">
        <x:is>
          <x:t xml:space="preserve">Taux de réussite</x:t>
        </x:is>
      </x:c>
      <x:c r="C5" s="448" t="n">
        <x:f>'Hypothèses'!B7</x:f>
        <x:v>0.08</x:v>
      </x:c>
      <x:c r="D5" s="157" t="inlineStr">
        <x:is>
          <x:t xml:space="preserve">Management</x:t>
        </x:is>
      </x:c>
      <x:c r="E5" s="157" t="inlineStr">
        <x:is>
          <x:t xml:space="preserve">À calibrer</x:t>
        </x:is>
      </x:c>
      <x:c r="F5" s="157" t="inlineStr">
        <x:is>
          <x:t xml:space="preserve">Risk</x:t>
        </x:is>
      </x:c>
      <x:c r="G5" s="157" t="inlineStr">
        <x:is>
          <x:t xml:space="preserve">2026-08-01</x:t>
        </x:is>
      </x:c>
      <x:c r="H5" s="157" t="inlineStr">
        <x:is>
          <x:t xml:space="preserve">Mesurer sur bêta</x:t>
        </x:is>
      </x:c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57" t="inlineStr">
        <x:is>
          <x:t xml:space="preserve">AS-002</x:t>
        </x:is>
      </x:c>
      <x:c r="B6" s="157" t="inlineStr">
        <x:is>
          <x:t xml:space="preserve">Accès payout #1</x:t>
        </x:is>
      </x:c>
      <x:c r="C6" s="448" t="n">
        <x:f>'Hypothèses'!B8</x:f>
        <x:v>0.35</x:v>
      </x:c>
      <x:c r="D6" s="157" t="inlineStr">
        <x:is>
          <x:t xml:space="preserve">Management</x:t>
        </x:is>
      </x:c>
      <x:c r="E6" s="157" t="inlineStr">
        <x:is>
          <x:t xml:space="preserve">À calibrer</x:t>
        </x:is>
      </x:c>
      <x:c r="F6" s="157" t="inlineStr">
        <x:is>
          <x:t xml:space="preserve">Risk/Finance</x:t>
        </x:is>
      </x:c>
      <x:c r="G6" s="157" t="inlineStr">
        <x:is>
          <x:t xml:space="preserve">2026-08-01</x:t>
        </x:is>
      </x:c>
      <x:c r="H6" s="157" t="inlineStr">
        <x:is>
          <x:t xml:space="preserve">Mesurer sur cohortes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AS-003</x:t>
        </x:is>
      </x:c>
      <x:c r="B7" s="157" t="inlineStr">
        <x:is>
          <x:t xml:space="preserve">Utilisation caps</x:t>
        </x:is>
      </x:c>
      <x:c r="C7" s="448" t="n">
        <x:f>'Hypothèses'!B13</x:f>
        <x:v>0.7</x:v>
      </x:c>
      <x:c r="D7" s="157" t="inlineStr">
        <x:is>
          <x:t xml:space="preserve">Management</x:t>
        </x:is>
      </x:c>
      <x:c r="E7" s="157" t="inlineStr">
        <x:is>
          <x:t xml:space="preserve">À calibrer</x:t>
        </x:is>
      </x:c>
      <x:c r="F7" s="157" t="inlineStr">
        <x:is>
          <x:t xml:space="preserve">Finance</x:t>
        </x:is>
      </x:c>
      <x:c r="G7" s="157" t="inlineStr">
        <x:is>
          <x:t xml:space="preserve">2026-08-01</x:t>
        </x:is>
      </x:c>
      <x:c r="H7" s="157" t="inlineStr">
        <x:is>
          <x:t xml:space="preserve">Mesurer après payouts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AS-004</x:t>
        </x:is>
      </x:c>
      <x:c r="B8" s="157" t="inlineStr">
        <x:is>
          <x:t xml:space="preserve">Chargebacks</x:t>
        </x:is>
      </x:c>
      <x:c r="C8" s="448" t="n">
        <x:f>'Hypothèses'!B14</x:f>
        <x:v>0.015</x:v>
      </x:c>
      <x:c r="D8" s="157" t="inlineStr">
        <x:is>
          <x:t xml:space="preserve">Management</x:t>
        </x:is>
      </x:c>
      <x:c r="E8" s="157" t="inlineStr">
        <x:is>
          <x:t xml:space="preserve">À confirmer</x:t>
        </x:is>
      </x:c>
      <x:c r="F8" s="157" t="inlineStr">
        <x:is>
          <x:t xml:space="preserve">Payments</x:t>
        </x:is>
      </x:c>
      <x:c r="G8" s="157" t="inlineStr">
        <x:is>
          <x:t xml:space="preserve">2026-08-01</x:t>
        </x:is>
      </x:c>
      <x:c r="H8" s="157" t="inlineStr">
        <x:is>
          <x:t xml:space="preserve">Obtenir devis PSP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AS-005</x:t>
        </x:is>
      </x:c>
      <x:c r="B9" s="157" t="inlineStr">
        <x:is>
          <x:t xml:space="preserve">Frais PSP</x:t>
        </x:is>
      </x:c>
      <x:c r="C9" s="452" t="n">
        <x:f>'Hypothèses'!B15</x:f>
        <x:v>0.035</x:v>
      </x:c>
      <x:c r="D9" s="157" t="inlineStr">
        <x:is>
          <x:t xml:space="preserve">Aucun devis</x:t>
        </x:is>
      </x:c>
      <x:c r="E9" s="157" t="inlineStr">
        <x:is>
          <x:t xml:space="preserve">OPEN</x:t>
        </x:is>
      </x:c>
      <x:c r="F9" s="157" t="inlineStr">
        <x:is>
          <x:t xml:space="preserve">Payments</x:t>
        </x:is>
      </x:c>
      <x:c r="G9" s="157" t="inlineStr">
        <x:is>
          <x:t xml:space="preserve">2026-08-01</x:t>
        </x:is>
      </x:c>
      <x:c r="H9" s="157" t="inlineStr">
        <x:is>
          <x:t xml:space="preserve">Négocier PSP</x:t>
        </x:is>
      </x:c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AS-006</x:t>
        </x:is>
      </x:c>
      <x:c r="B10" s="157" t="inlineStr">
        <x:is>
          <x:t xml:space="preserve">CAC</x:t>
        </x:is>
      </x:c>
      <x:c r="C10" s="452" t="n">
        <x:f>'Hypothèses'!B16</x:f>
        <x:v>4500</x:v>
      </x:c>
      <x:c r="D10" s="157" t="inlineStr">
        <x:is>
          <x:t xml:space="preserve">Management</x:t>
        </x:is>
      </x:c>
      <x:c r="E10" s="157" t="inlineStr">
        <x:is>
          <x:t xml:space="preserve">À calibrer</x:t>
        </x:is>
      </x:c>
      <x:c r="F10" s="157" t="inlineStr">
        <x:is>
          <x:t xml:space="preserve">Growth</x:t>
        </x:is>
      </x:c>
      <x:c r="G10" s="157" t="inlineStr">
        <x:is>
          <x:t xml:space="preserve">2026-08-01</x:t>
        </x:is>
      </x:c>
      <x:c r="H10" s="157" t="inlineStr">
        <x:is>
          <x:t xml:space="preserve">Tester acquisition</x:t>
        </x:is>
      </x:c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AS-007</x:t>
        </x:is>
      </x:c>
      <x:c r="B11" s="157" t="inlineStr">
        <x:is>
          <x:t xml:space="preserve">Coût KYC</x:t>
        </x:is>
      </x:c>
      <x:c r="C11" s="452" t="n">
        <x:f>'Hypothèses'!B18</x:f>
        <x:v>2000</x:v>
      </x:c>
      <x:c r="D11" s="157" t="inlineStr">
        <x:is>
          <x:t xml:space="preserve">Aucun devis</x:t>
        </x:is>
      </x:c>
      <x:c r="E11" s="157" t="inlineStr">
        <x:is>
          <x:t xml:space="preserve">OPEN</x:t>
        </x:is>
      </x:c>
      <x:c r="F11" s="157" t="inlineStr">
        <x:is>
          <x:t xml:space="preserve">Operations</x:t>
        </x:is>
      </x:c>
      <x:c r="G11" s="157" t="inlineStr">
        <x:is>
          <x:t xml:space="preserve">2026-08-01</x:t>
        </x:is>
      </x:c>
      <x:c r="H11" s="157" t="inlineStr">
        <x:is>
          <x:t xml:space="preserve">Choisir fournisseur</x:t>
        </x:is>
      </x:c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AS-008</x:t>
        </x:is>
      </x:c>
      <x:c r="B12" s="157" t="inlineStr">
        <x:is>
          <x:t xml:space="preserve">Frais payout</x:t>
        </x:is>
      </x:c>
      <x:c r="C12" s="452" t="n">
        <x:f>'Hypothèses'!B19</x:f>
        <x:v>0.02</x:v>
      </x:c>
      <x:c r="D12" s="157" t="inlineStr">
        <x:is>
          <x:t xml:space="preserve">Aucun devis</x:t>
        </x:is>
      </x:c>
      <x:c r="E12" s="157" t="inlineStr">
        <x:is>
          <x:t xml:space="preserve">OPEN</x:t>
        </x:is>
      </x:c>
      <x:c r="F12" s="157" t="inlineStr">
        <x:is>
          <x:t xml:space="preserve">Payments</x:t>
        </x:is>
      </x:c>
      <x:c r="G12" s="157" t="inlineStr">
        <x:is>
          <x:t xml:space="preserve">2026-08-01</x:t>
        </x:is>
      </x:c>
      <x:c r="H12" s="157" t="inlineStr">
        <x:is>
          <x:t xml:space="preserve">Choisir rails</x:t>
        </x:is>
      </x:c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inlineStr">
        <x:is>
          <x:t xml:space="preserve">AS-009</x:t>
        </x:is>
      </x:c>
      <x:c r="B13" s="157" t="inlineStr">
        <x:is>
          <x:t xml:space="preserve">Provision fiscale</x:t>
        </x:is>
      </x:c>
      <x:c r="C13" s="448" t="n">
        <x:f>'Hypothèses'!B25</x:f>
        <x:v>0</x:v>
      </x:c>
      <x:c r="D13" s="157" t="inlineStr">
        <x:is>
          <x:t xml:space="preserve">Non validé</x:t>
        </x:is>
      </x:c>
      <x:c r="E13" s="157" t="inlineStr">
        <x:is>
          <x:t xml:space="preserve">OPEN</x:t>
        </x:is>
      </x:c>
      <x:c r="F13" s="157" t="inlineStr">
        <x:is>
          <x:t xml:space="preserve">Legal/Finance</x:t>
        </x:is>
      </x:c>
      <x:c r="G13" s="157" t="inlineStr">
        <x:is>
          <x:t xml:space="preserve">2026-08-01</x:t>
        </x:is>
      </x:c>
      <x:c r="H13" s="157" t="inlineStr">
        <x:is>
          <x:t xml:space="preserve">Conseil fiscal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57" t="inlineStr">
        <x:is>
          <x:t xml:space="preserve">AS-010</x:t>
        </x:is>
      </x:c>
      <x:c r="B14" s="157" t="inlineStr">
        <x:is>
          <x:t xml:space="preserve">FX FCFA/USD</x:t>
        </x:is>
      </x:c>
      <x:c r="C14" s="452" t="n">
        <x:f>'Hypothèses'!B35</x:f>
        <x:v>600</x:v>
      </x:c>
      <x:c r="D14" s="157" t="inlineStr">
        <x:is>
          <x:t xml:space="preserve">Hypothèse arrondie</x:t>
        </x:is>
      </x:c>
      <x:c r="E14" s="157" t="inlineStr">
        <x:is>
          <x:t xml:space="preserve">À actualiser</x:t>
        </x:is>
      </x:c>
      <x:c r="F14" s="157" t="inlineStr">
        <x:is>
          <x:t xml:space="preserve">Finance</x:t>
        </x:is>
      </x:c>
      <x:c r="G14" s="157" t="inlineStr">
        <x:is>
          <x:t xml:space="preserve">2026-08-01</x:t>
        </x:is>
      </x:c>
      <x:c r="H14" s="157" t="inlineStr">
        <x:is>
          <x:t xml:space="preserve">Fixer source et méthode</x:t>
        </x:is>
      </x:c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57" t="str">
        <x:v>AS-011</x:v>
      </x:c>
      <x:c r="B15" s="157" t="str">
        <x:v>Activation sandbox cinq tailles</x:v>
      </x:c>
      <x:c r="C15" s="157" t="str">
        <x:f>'Dashboard'!D19</x:f>
        <x:v>OUI</x:v>
      </x:c>
      <x:c r="D15" s="157" t="str">
        <x:v>OFFER-023</x:v>
      </x:c>
      <x:c r="E15" s="157" t="str">
        <x:v>LOCKED</x:v>
      </x:c>
      <x:c r="F15" s="157" t="str">
        <x:v>Product/Risk</x:v>
      </x:c>
      <x:c r="G15" s="157" t="str">
        <x:v>2026-08-03</x:v>
      </x:c>
      <x:c r="H15" s="157" t="str">
        <x:v>Mesurer cohortes avant public</x:v>
      </x:c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n"/>
      <x:c r="B16" s="157" t="n"/>
      <x:c r="C16" s="157" t="n"/>
      <x:c r="D16" s="157" t="n"/>
      <x:c r="E16" s="157" t="n"/>
      <x:c r="F16" s="157" t="n"/>
      <x:c r="G16" s="157" t="n"/>
      <x:c r="H16" s="157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n"/>
      <x:c r="B17" s="157" t="n"/>
      <x:c r="C17" s="157" t="n"/>
      <x:c r="D17" s="157" t="n"/>
      <x:c r="E17" s="157" t="n"/>
      <x:c r="F17" s="157" t="n"/>
      <x:c r="G17" s="157" t="n"/>
      <x:c r="H17" s="157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n"/>
      <x:c r="B18" s="157" t="n"/>
      <x:c r="C18" s="157" t="n"/>
      <x:c r="D18" s="157" t="n"/>
      <x:c r="E18" s="157" t="n"/>
      <x:c r="F18" s="157" t="n"/>
      <x:c r="G18" s="157" t="n"/>
      <x:c r="H18" s="157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57" t="n"/>
      <x:c r="B19" s="157" t="n"/>
      <x:c r="C19" s="157" t="n"/>
      <x:c r="D19" s="157" t="n"/>
      <x:c r="E19" s="157" t="n"/>
      <x:c r="F19" s="157" t="n"/>
      <x:c r="G19" s="157" t="n"/>
      <x:c r="H19" s="157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n"/>
      <x:c r="B20" s="157" t="n"/>
      <x:c r="C20" s="157" t="n"/>
      <x:c r="D20" s="157" t="n"/>
      <x:c r="E20" s="157" t="n"/>
      <x:c r="F20" s="157" t="n"/>
      <x:c r="G20" s="157" t="n"/>
      <x:c r="H20" s="157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n"/>
      <x:c r="B21" s="161" t="n"/>
      <x:c r="C21" s="161" t="n"/>
      <x:c r="D21" s="161" t="n"/>
      <x:c r="E21" s="161" t="n"/>
      <x:c r="F21" s="161" t="n"/>
      <x:c r="G21" s="161" t="n"/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n"/>
      <x:c r="B22" s="161" t="n"/>
      <x:c r="C22" s="161" t="n"/>
      <x:c r="D22" s="161" t="n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H2"/>
    <x:mergeCell ref="A1:H1"/>
  </x:mergeCells>
  <x:pageMargins left="0.7" right="0.7" top="0.75" bottom="0.75" header="0.3" footer="0.3"/>
</x:worksheet>
</file>